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3820"/>
  <bookViews>
    <workbookView xWindow="120" yWindow="45" windowWidth="15135" windowHeight="7650" activeTab="4"/>
  </bookViews>
  <sheets>
    <sheet name="INFORMASI" sheetId="17" r:id="rId1"/>
    <sheet name="HSP" sheetId="7" r:id="rId2"/>
    <sheet name="4. AHS LANDSKAP" sheetId="1" r:id="rId3"/>
    <sheet name="ANGKUTAN" sheetId="14" r:id="rId4"/>
    <sheet name="HSD UPAH,BAHAN,ALAT" sheetId="2" r:id="rId5"/>
  </sheets>
  <definedNames>
    <definedName name="_xlnm.Print_Area" localSheetId="2">'4. AHS LANDSKAP'!$A$1:$G$6361</definedName>
    <definedName name="_xlnm.Print_Area" localSheetId="3">ANGKUTAN!$A$1:$G$357</definedName>
    <definedName name="_xlnm.Print_Area" localSheetId="4">'HSD UPAH,BAHAN,ALAT'!$B$1:$G$324</definedName>
    <definedName name="_xlnm.Print_Area" localSheetId="1">HSP!$A$1:$D$397</definedName>
  </definedNames>
  <calcPr calcId="124519" iterate="1"/>
</workbook>
</file>

<file path=xl/calcChain.xml><?xml version="1.0" encoding="utf-8"?>
<calcChain xmlns="http://schemas.openxmlformats.org/spreadsheetml/2006/main">
  <c r="F34" i="7"/>
  <c r="F353" i="14" l="1"/>
  <c r="F350"/>
  <c r="F347"/>
  <c r="F346"/>
  <c r="F337"/>
  <c r="F334"/>
  <c r="F331"/>
  <c r="F330"/>
  <c r="F321"/>
  <c r="F318"/>
  <c r="F315"/>
  <c r="F314"/>
  <c r="F305"/>
  <c r="F302"/>
  <c r="G302" s="1"/>
  <c r="G303" s="1"/>
  <c r="F299"/>
  <c r="G299" s="1"/>
  <c r="F298"/>
  <c r="F289"/>
  <c r="G289" s="1"/>
  <c r="G290" s="1"/>
  <c r="F286"/>
  <c r="G286" s="1"/>
  <c r="G287" s="1"/>
  <c r="F273"/>
  <c r="G273" s="1"/>
  <c r="F272"/>
  <c r="F269"/>
  <c r="G269" s="1"/>
  <c r="G270" s="1"/>
  <c r="F266"/>
  <c r="F265"/>
  <c r="F256"/>
  <c r="F255"/>
  <c r="F252"/>
  <c r="G252" s="1"/>
  <c r="G253" s="1"/>
  <c r="F249"/>
  <c r="G249" s="1"/>
  <c r="F248"/>
  <c r="F239"/>
  <c r="G239" s="1"/>
  <c r="G240" s="1"/>
  <c r="F236"/>
  <c r="G236" s="1"/>
  <c r="G237" s="1"/>
  <c r="F233"/>
  <c r="G233" s="1"/>
  <c r="F232"/>
  <c r="F223"/>
  <c r="G223" s="1"/>
  <c r="G224" s="1"/>
  <c r="F220"/>
  <c r="G220" s="1"/>
  <c r="G221" s="1"/>
  <c r="F217"/>
  <c r="G217" s="1"/>
  <c r="F216"/>
  <c r="F207"/>
  <c r="G207" s="1"/>
  <c r="G208" s="1"/>
  <c r="F204"/>
  <c r="G204" s="1"/>
  <c r="G205" s="1"/>
  <c r="F201"/>
  <c r="F200"/>
  <c r="F191"/>
  <c r="G191" s="1"/>
  <c r="G192" s="1"/>
  <c r="F188"/>
  <c r="G188" s="1"/>
  <c r="G189" s="1"/>
  <c r="F185"/>
  <c r="F184"/>
  <c r="F175"/>
  <c r="F172"/>
  <c r="G172" s="1"/>
  <c r="G173" s="1"/>
  <c r="F169"/>
  <c r="G169" s="1"/>
  <c r="F168"/>
  <c r="F159"/>
  <c r="G159" s="1"/>
  <c r="G160" s="1"/>
  <c r="F156"/>
  <c r="G156" s="1"/>
  <c r="G157" s="1"/>
  <c r="F143"/>
  <c r="G143" s="1"/>
  <c r="G144" s="1"/>
  <c r="F140"/>
  <c r="G140" s="1"/>
  <c r="G141" s="1"/>
  <c r="F137"/>
  <c r="F136"/>
  <c r="F127"/>
  <c r="F126"/>
  <c r="F123"/>
  <c r="G123" s="1"/>
  <c r="G124" s="1"/>
  <c r="F110"/>
  <c r="G110" s="1"/>
  <c r="F109"/>
  <c r="F106"/>
  <c r="F93"/>
  <c r="F92"/>
  <c r="F89"/>
  <c r="G89" s="1"/>
  <c r="G90" s="1"/>
  <c r="F76"/>
  <c r="F75"/>
  <c r="G75" s="1"/>
  <c r="F72"/>
  <c r="F69"/>
  <c r="G69" s="1"/>
  <c r="F68"/>
  <c r="G68" s="1"/>
  <c r="F59"/>
  <c r="G59" s="1"/>
  <c r="G60" s="1"/>
  <c r="F56"/>
  <c r="G56" s="1"/>
  <c r="G57" s="1"/>
  <c r="F53"/>
  <c r="G53" s="1"/>
  <c r="F52"/>
  <c r="F43"/>
  <c r="G43" s="1"/>
  <c r="G44" s="1"/>
  <c r="F40"/>
  <c r="G40" s="1"/>
  <c r="G41" s="1"/>
  <c r="F37"/>
  <c r="G37" s="1"/>
  <c r="F36"/>
  <c r="G36" s="1"/>
  <c r="F27"/>
  <c r="G27" s="1"/>
  <c r="G28" s="1"/>
  <c r="F21"/>
  <c r="F20"/>
  <c r="F24"/>
  <c r="G24" s="1"/>
  <c r="G25" s="1"/>
  <c r="F11"/>
  <c r="G11" s="1"/>
  <c r="G12" s="1"/>
  <c r="F8"/>
  <c r="G8" s="1"/>
  <c r="G9" s="1"/>
  <c r="F5"/>
  <c r="G5" s="1"/>
  <c r="F4"/>
  <c r="G353"/>
  <c r="G354" s="1"/>
  <c r="G350"/>
  <c r="G351" s="1"/>
  <c r="G347"/>
  <c r="G346"/>
  <c r="G337"/>
  <c r="G338" s="1"/>
  <c r="G334"/>
  <c r="G335" s="1"/>
  <c r="G331"/>
  <c r="G330"/>
  <c r="G321"/>
  <c r="G322" s="1"/>
  <c r="G318"/>
  <c r="G319" s="1"/>
  <c r="G315"/>
  <c r="G314"/>
  <c r="G305"/>
  <c r="G306" s="1"/>
  <c r="G298"/>
  <c r="F283"/>
  <c r="G283" s="1"/>
  <c r="F282"/>
  <c r="G282" s="1"/>
  <c r="G272"/>
  <c r="G266"/>
  <c r="G265"/>
  <c r="G256"/>
  <c r="G255"/>
  <c r="G248"/>
  <c r="G232"/>
  <c r="G216"/>
  <c r="G201"/>
  <c r="G200"/>
  <c r="G185"/>
  <c r="G184"/>
  <c r="G175"/>
  <c r="G176" s="1"/>
  <c r="G168"/>
  <c r="F153"/>
  <c r="G153" s="1"/>
  <c r="F152"/>
  <c r="G152" s="1"/>
  <c r="G137"/>
  <c r="G136"/>
  <c r="G127"/>
  <c r="G126"/>
  <c r="F120"/>
  <c r="G120" s="1"/>
  <c r="F119"/>
  <c r="G119" s="1"/>
  <c r="G109"/>
  <c r="G106"/>
  <c r="G107" s="1"/>
  <c r="F103"/>
  <c r="G103" s="1"/>
  <c r="F102"/>
  <c r="G102" s="1"/>
  <c r="G93"/>
  <c r="G92"/>
  <c r="F86"/>
  <c r="G86" s="1"/>
  <c r="F85"/>
  <c r="G85" s="1"/>
  <c r="G76"/>
  <c r="G72"/>
  <c r="G73" s="1"/>
  <c r="G52"/>
  <c r="G21"/>
  <c r="G20"/>
  <c r="G4"/>
  <c r="F4861" i="1"/>
  <c r="G4861" s="1"/>
  <c r="G4868"/>
  <c r="F4865"/>
  <c r="G4865" s="1"/>
  <c r="F4864"/>
  <c r="G4864" s="1"/>
  <c r="F4863"/>
  <c r="G4863" s="1"/>
  <c r="F4860"/>
  <c r="G4860" s="1"/>
  <c r="F4857"/>
  <c r="G4857" s="1"/>
  <c r="F4856"/>
  <c r="G4856" s="1"/>
  <c r="G4825"/>
  <c r="F4822"/>
  <c r="G4822" s="1"/>
  <c r="F4821"/>
  <c r="G4821" s="1"/>
  <c r="F4820"/>
  <c r="G4820" s="1"/>
  <c r="F4818"/>
  <c r="G4818" s="1"/>
  <c r="F4817"/>
  <c r="G4817" s="1"/>
  <c r="F4814"/>
  <c r="G4814" s="1"/>
  <c r="F4813"/>
  <c r="G4813" s="1"/>
  <c r="G4404"/>
  <c r="F4401"/>
  <c r="G4401" s="1"/>
  <c r="F4400"/>
  <c r="G4400" s="1"/>
  <c r="F4399"/>
  <c r="G4399" s="1"/>
  <c r="F4397"/>
  <c r="G4397" s="1"/>
  <c r="F4396"/>
  <c r="G4396" s="1"/>
  <c r="F4393"/>
  <c r="G4393" s="1"/>
  <c r="F4392"/>
  <c r="G4392" s="1"/>
  <c r="G4383"/>
  <c r="F4380"/>
  <c r="G4380" s="1"/>
  <c r="F4379"/>
  <c r="G4379" s="1"/>
  <c r="F4378"/>
  <c r="G4378" s="1"/>
  <c r="F4376"/>
  <c r="G4376" s="1"/>
  <c r="F4375"/>
  <c r="G4375" s="1"/>
  <c r="F4372"/>
  <c r="G4372" s="1"/>
  <c r="F4371"/>
  <c r="G4371" s="1"/>
  <c r="G4362"/>
  <c r="F4359"/>
  <c r="G4359" s="1"/>
  <c r="F4358"/>
  <c r="G4358" s="1"/>
  <c r="F4357"/>
  <c r="G4357" s="1"/>
  <c r="F4355"/>
  <c r="G4355" s="1"/>
  <c r="F4354"/>
  <c r="G4354" s="1"/>
  <c r="F4351"/>
  <c r="G4351" s="1"/>
  <c r="F4350"/>
  <c r="G4350" s="1"/>
  <c r="G4341"/>
  <c r="F4338"/>
  <c r="G4338" s="1"/>
  <c r="F4337"/>
  <c r="G4337" s="1"/>
  <c r="F4336"/>
  <c r="G4336" s="1"/>
  <c r="F4334"/>
  <c r="G4334" s="1"/>
  <c r="F4333"/>
  <c r="G4333" s="1"/>
  <c r="F4330"/>
  <c r="G4330" s="1"/>
  <c r="F4329"/>
  <c r="G4329" s="1"/>
  <c r="G4320"/>
  <c r="F4317"/>
  <c r="G4317" s="1"/>
  <c r="F4316"/>
  <c r="G4316" s="1"/>
  <c r="F4315"/>
  <c r="G4315" s="1"/>
  <c r="F4313"/>
  <c r="G4313" s="1"/>
  <c r="F4312"/>
  <c r="G4312" s="1"/>
  <c r="F4309"/>
  <c r="G4309" s="1"/>
  <c r="F4308"/>
  <c r="G4308" s="1"/>
  <c r="F3790"/>
  <c r="G3752"/>
  <c r="F3749"/>
  <c r="G3749" s="1"/>
  <c r="F3748"/>
  <c r="G3748" s="1"/>
  <c r="F3747"/>
  <c r="G3747" s="1"/>
  <c r="F3745"/>
  <c r="G3745" s="1"/>
  <c r="F3744"/>
  <c r="G3744" s="1"/>
  <c r="F3741"/>
  <c r="G3741" s="1"/>
  <c r="F3740"/>
  <c r="G3740" s="1"/>
  <c r="G3731"/>
  <c r="F3728"/>
  <c r="G3728" s="1"/>
  <c r="F3727"/>
  <c r="G3727" s="1"/>
  <c r="F3726"/>
  <c r="G3726" s="1"/>
  <c r="F3724"/>
  <c r="G3724" s="1"/>
  <c r="F3723"/>
  <c r="G3723" s="1"/>
  <c r="F3720"/>
  <c r="G3720" s="1"/>
  <c r="F3719"/>
  <c r="G3719" s="1"/>
  <c r="G3710"/>
  <c r="F3707"/>
  <c r="G3707" s="1"/>
  <c r="F3706"/>
  <c r="G3706" s="1"/>
  <c r="F3705"/>
  <c r="G3705" s="1"/>
  <c r="F3703"/>
  <c r="G3703" s="1"/>
  <c r="F3702"/>
  <c r="G3702" s="1"/>
  <c r="F3699"/>
  <c r="G3699" s="1"/>
  <c r="F3698"/>
  <c r="G3698" s="1"/>
  <c r="G3689"/>
  <c r="F3686"/>
  <c r="G3686" s="1"/>
  <c r="F3685"/>
  <c r="G3685" s="1"/>
  <c r="F3684"/>
  <c r="G3684" s="1"/>
  <c r="F3682"/>
  <c r="G3682" s="1"/>
  <c r="F3681"/>
  <c r="G3681" s="1"/>
  <c r="F3678"/>
  <c r="G3678" s="1"/>
  <c r="F3677"/>
  <c r="G3677" s="1"/>
  <c r="G3668"/>
  <c r="F3665"/>
  <c r="G3665" s="1"/>
  <c r="F3664"/>
  <c r="G3664" s="1"/>
  <c r="F3663"/>
  <c r="G3663" s="1"/>
  <c r="F3661"/>
  <c r="G3661" s="1"/>
  <c r="F3660"/>
  <c r="G3660" s="1"/>
  <c r="F3657"/>
  <c r="G3657" s="1"/>
  <c r="F3656"/>
  <c r="G3656" s="1"/>
  <c r="G3647"/>
  <c r="F3644"/>
  <c r="G3644" s="1"/>
  <c r="F3643"/>
  <c r="G3643" s="1"/>
  <c r="F3642"/>
  <c r="G3642" s="1"/>
  <c r="F3640"/>
  <c r="G3640" s="1"/>
  <c r="F3639"/>
  <c r="G3639" s="1"/>
  <c r="F3636"/>
  <c r="G3636" s="1"/>
  <c r="F3635"/>
  <c r="G3635" s="1"/>
  <c r="G3626"/>
  <c r="F3623"/>
  <c r="G3623" s="1"/>
  <c r="F3622"/>
  <c r="G3622" s="1"/>
  <c r="F3621"/>
  <c r="G3621" s="1"/>
  <c r="F3619"/>
  <c r="G3619" s="1"/>
  <c r="F3618"/>
  <c r="G3618" s="1"/>
  <c r="F3615"/>
  <c r="G3615" s="1"/>
  <c r="F3614"/>
  <c r="G3614" s="1"/>
  <c r="F3576"/>
  <c r="F3307"/>
  <c r="G3307" s="1"/>
  <c r="G3308" s="1"/>
  <c r="F3304"/>
  <c r="G3304" s="1"/>
  <c r="F3303"/>
  <c r="G3303" s="1"/>
  <c r="F3302"/>
  <c r="G3302" s="1"/>
  <c r="G3301"/>
  <c r="F3300"/>
  <c r="G3300" s="1"/>
  <c r="F3299"/>
  <c r="G3299" s="1"/>
  <c r="G3298"/>
  <c r="F3297"/>
  <c r="G3297" s="1"/>
  <c r="F3296"/>
  <c r="G3296" s="1"/>
  <c r="F3293"/>
  <c r="G3293" s="1"/>
  <c r="F3292"/>
  <c r="G3292" s="1"/>
  <c r="F3290"/>
  <c r="G3290" s="1"/>
  <c r="F3281"/>
  <c r="G3281" s="1"/>
  <c r="G3282" s="1"/>
  <c r="F3278"/>
  <c r="G3278" s="1"/>
  <c r="F3277"/>
  <c r="G3277" s="1"/>
  <c r="F3276"/>
  <c r="G3276" s="1"/>
  <c r="G3275"/>
  <c r="F3274"/>
  <c r="G3274" s="1"/>
  <c r="F3273"/>
  <c r="G3273" s="1"/>
  <c r="G3272"/>
  <c r="F3271"/>
  <c r="G3271" s="1"/>
  <c r="F3270"/>
  <c r="G3270" s="1"/>
  <c r="F3267"/>
  <c r="G3267" s="1"/>
  <c r="F3266"/>
  <c r="G3266" s="1"/>
  <c r="F3264"/>
  <c r="G3264" s="1"/>
  <c r="F3255"/>
  <c r="G3255" s="1"/>
  <c r="G3256" s="1"/>
  <c r="F3252"/>
  <c r="G3252" s="1"/>
  <c r="F3251"/>
  <c r="G3251" s="1"/>
  <c r="F3250"/>
  <c r="G3250" s="1"/>
  <c r="G3249"/>
  <c r="F3248"/>
  <c r="G3248" s="1"/>
  <c r="F3247"/>
  <c r="G3247" s="1"/>
  <c r="G3246"/>
  <c r="F3245"/>
  <c r="G3245" s="1"/>
  <c r="F3244"/>
  <c r="G3244" s="1"/>
  <c r="F3241"/>
  <c r="G3241" s="1"/>
  <c r="F3240"/>
  <c r="G3240" s="1"/>
  <c r="F3238"/>
  <c r="G3238" s="1"/>
  <c r="F3229"/>
  <c r="G3229" s="1"/>
  <c r="G3230" s="1"/>
  <c r="F3226"/>
  <c r="G3226" s="1"/>
  <c r="F3225"/>
  <c r="G3225" s="1"/>
  <c r="F3224"/>
  <c r="G3224" s="1"/>
  <c r="G3223"/>
  <c r="F3222"/>
  <c r="G3222" s="1"/>
  <c r="F3221"/>
  <c r="G3221" s="1"/>
  <c r="G3220"/>
  <c r="F3219"/>
  <c r="G3219" s="1"/>
  <c r="F3218"/>
  <c r="G3218" s="1"/>
  <c r="G3227" s="1"/>
  <c r="F3215"/>
  <c r="G3215" s="1"/>
  <c r="F3214"/>
  <c r="G3214" s="1"/>
  <c r="F3212"/>
  <c r="G3212" s="1"/>
  <c r="F3203"/>
  <c r="G3203" s="1"/>
  <c r="G3204" s="1"/>
  <c r="F3200"/>
  <c r="G3200" s="1"/>
  <c r="F3199"/>
  <c r="G3199" s="1"/>
  <c r="F3198"/>
  <c r="G3198" s="1"/>
  <c r="G3197"/>
  <c r="F3196"/>
  <c r="G3196" s="1"/>
  <c r="F3195"/>
  <c r="G3195" s="1"/>
  <c r="G3194"/>
  <c r="F3193"/>
  <c r="G3193" s="1"/>
  <c r="F3192"/>
  <c r="G3192" s="1"/>
  <c r="F3189"/>
  <c r="G3189" s="1"/>
  <c r="F3188"/>
  <c r="G3188" s="1"/>
  <c r="F3186"/>
  <c r="G3186" s="1"/>
  <c r="F3177"/>
  <c r="G3177" s="1"/>
  <c r="G3178" s="1"/>
  <c r="F3174"/>
  <c r="G3174" s="1"/>
  <c r="F3173"/>
  <c r="G3173" s="1"/>
  <c r="F3172"/>
  <c r="G3172" s="1"/>
  <c r="G3171"/>
  <c r="F3170"/>
  <c r="G3170" s="1"/>
  <c r="F3169"/>
  <c r="G3169" s="1"/>
  <c r="G3168"/>
  <c r="F3167"/>
  <c r="G3167" s="1"/>
  <c r="F3166"/>
  <c r="G3166" s="1"/>
  <c r="F3163"/>
  <c r="G3163" s="1"/>
  <c r="F3162"/>
  <c r="G3162" s="1"/>
  <c r="F3160"/>
  <c r="G3160" s="1"/>
  <c r="F3151"/>
  <c r="G3151" s="1"/>
  <c r="G3152" s="1"/>
  <c r="F3148"/>
  <c r="G3148" s="1"/>
  <c r="F3147"/>
  <c r="G3147" s="1"/>
  <c r="F3146"/>
  <c r="G3146" s="1"/>
  <c r="G3145"/>
  <c r="F3144"/>
  <c r="G3144" s="1"/>
  <c r="F3143"/>
  <c r="G3143" s="1"/>
  <c r="G3142"/>
  <c r="F3141"/>
  <c r="G3141" s="1"/>
  <c r="F3140"/>
  <c r="G3140" s="1"/>
  <c r="F3137"/>
  <c r="G3137" s="1"/>
  <c r="F3136"/>
  <c r="G3136" s="1"/>
  <c r="F3134"/>
  <c r="G3134" s="1"/>
  <c r="F3125"/>
  <c r="G3125" s="1"/>
  <c r="G3126" s="1"/>
  <c r="F3122"/>
  <c r="G3122" s="1"/>
  <c r="F3121"/>
  <c r="G3121" s="1"/>
  <c r="F3120"/>
  <c r="G3120" s="1"/>
  <c r="G3119"/>
  <c r="F3118"/>
  <c r="G3118" s="1"/>
  <c r="F3117"/>
  <c r="G3117" s="1"/>
  <c r="G3116"/>
  <c r="F3115"/>
  <c r="G3115" s="1"/>
  <c r="F3114"/>
  <c r="G3114" s="1"/>
  <c r="F3111"/>
  <c r="G3111" s="1"/>
  <c r="F3110"/>
  <c r="G3110" s="1"/>
  <c r="F3108"/>
  <c r="G3108" s="1"/>
  <c r="F3098"/>
  <c r="G3098" s="1"/>
  <c r="G3099" s="1"/>
  <c r="F3095"/>
  <c r="G3095" s="1"/>
  <c r="F3094"/>
  <c r="G3094" s="1"/>
  <c r="F3093"/>
  <c r="G3093" s="1"/>
  <c r="G3092"/>
  <c r="F3091"/>
  <c r="G3091" s="1"/>
  <c r="F3090"/>
  <c r="G3090" s="1"/>
  <c r="G3089"/>
  <c r="F3088"/>
  <c r="G3088" s="1"/>
  <c r="F3087"/>
  <c r="G3087" s="1"/>
  <c r="F3084"/>
  <c r="G3084" s="1"/>
  <c r="F3083"/>
  <c r="G3083" s="1"/>
  <c r="F3081"/>
  <c r="G3081" s="1"/>
  <c r="F3072"/>
  <c r="G3072" s="1"/>
  <c r="G3073" s="1"/>
  <c r="F3069"/>
  <c r="G3069" s="1"/>
  <c r="F3068"/>
  <c r="G3068" s="1"/>
  <c r="F3067"/>
  <c r="G3067" s="1"/>
  <c r="G3066"/>
  <c r="F3065"/>
  <c r="G3065" s="1"/>
  <c r="F3064"/>
  <c r="G3064" s="1"/>
  <c r="G3063"/>
  <c r="F3062"/>
  <c r="G3062" s="1"/>
  <c r="F3061"/>
  <c r="G3061" s="1"/>
  <c r="F3058"/>
  <c r="G3058" s="1"/>
  <c r="F3057"/>
  <c r="G3057" s="1"/>
  <c r="F3055"/>
  <c r="G3055" s="1"/>
  <c r="F3046"/>
  <c r="G3046" s="1"/>
  <c r="G3047" s="1"/>
  <c r="F3043"/>
  <c r="G3043" s="1"/>
  <c r="F3042"/>
  <c r="G3042" s="1"/>
  <c r="F3041"/>
  <c r="G3041" s="1"/>
  <c r="G3040"/>
  <c r="F3039"/>
  <c r="G3039" s="1"/>
  <c r="F3038"/>
  <c r="G3038" s="1"/>
  <c r="G3037"/>
  <c r="F3036"/>
  <c r="G3036" s="1"/>
  <c r="F3035"/>
  <c r="G3035" s="1"/>
  <c r="F3032"/>
  <c r="G3032" s="1"/>
  <c r="F3031"/>
  <c r="G3031" s="1"/>
  <c r="F3029"/>
  <c r="G3029" s="1"/>
  <c r="F3020"/>
  <c r="G3020" s="1"/>
  <c r="G3021" s="1"/>
  <c r="F3017"/>
  <c r="G3017" s="1"/>
  <c r="F3016"/>
  <c r="G3016" s="1"/>
  <c r="F3015"/>
  <c r="G3015" s="1"/>
  <c r="G3014"/>
  <c r="F3013"/>
  <c r="G3013" s="1"/>
  <c r="F3012"/>
  <c r="G3012" s="1"/>
  <c r="G3011"/>
  <c r="F3010"/>
  <c r="G3010" s="1"/>
  <c r="F3009"/>
  <c r="G3009" s="1"/>
  <c r="G3018" s="1"/>
  <c r="F3006"/>
  <c r="G3006" s="1"/>
  <c r="F3005"/>
  <c r="G3005" s="1"/>
  <c r="F3003"/>
  <c r="G3003" s="1"/>
  <c r="F2994"/>
  <c r="G2994" s="1"/>
  <c r="G2995" s="1"/>
  <c r="F2991"/>
  <c r="G2991" s="1"/>
  <c r="F2990"/>
  <c r="G2990" s="1"/>
  <c r="F2989"/>
  <c r="G2989" s="1"/>
  <c r="G2988"/>
  <c r="F2987"/>
  <c r="G2987" s="1"/>
  <c r="F2986"/>
  <c r="G2986" s="1"/>
  <c r="G2985"/>
  <c r="F2984"/>
  <c r="G2984" s="1"/>
  <c r="F2983"/>
  <c r="G2983" s="1"/>
  <c r="F2980"/>
  <c r="G2980" s="1"/>
  <c r="F2979"/>
  <c r="G2979" s="1"/>
  <c r="F2977"/>
  <c r="G2977" s="1"/>
  <c r="F2968"/>
  <c r="G2968" s="1"/>
  <c r="G2969" s="1"/>
  <c r="F2965"/>
  <c r="G2965" s="1"/>
  <c r="F2964"/>
  <c r="G2964" s="1"/>
  <c r="F2963"/>
  <c r="G2963" s="1"/>
  <c r="G2962"/>
  <c r="F2961"/>
  <c r="G2961" s="1"/>
  <c r="F2960"/>
  <c r="G2960" s="1"/>
  <c r="G2959"/>
  <c r="F2958"/>
  <c r="G2958" s="1"/>
  <c r="F2957"/>
  <c r="G2957" s="1"/>
  <c r="F2954"/>
  <c r="G2954" s="1"/>
  <c r="F2953"/>
  <c r="G2953" s="1"/>
  <c r="F2951"/>
  <c r="G2951" s="1"/>
  <c r="F2942"/>
  <c r="G2942" s="1"/>
  <c r="G2943" s="1"/>
  <c r="F2939"/>
  <c r="G2939" s="1"/>
  <c r="F2938"/>
  <c r="G2938" s="1"/>
  <c r="F2937"/>
  <c r="G2937" s="1"/>
  <c r="G2936"/>
  <c r="F2935"/>
  <c r="G2935" s="1"/>
  <c r="F2934"/>
  <c r="G2934" s="1"/>
  <c r="G2933"/>
  <c r="F2932"/>
  <c r="G2932" s="1"/>
  <c r="F2931"/>
  <c r="G2931" s="1"/>
  <c r="F2928"/>
  <c r="G2928" s="1"/>
  <c r="F2927"/>
  <c r="G2927" s="1"/>
  <c r="F2925"/>
  <c r="G2925" s="1"/>
  <c r="F2916"/>
  <c r="G2916" s="1"/>
  <c r="G2917" s="1"/>
  <c r="F2913"/>
  <c r="G2913" s="1"/>
  <c r="F2912"/>
  <c r="G2912" s="1"/>
  <c r="F2911"/>
  <c r="G2911" s="1"/>
  <c r="G2910"/>
  <c r="F2909"/>
  <c r="G2909" s="1"/>
  <c r="F2908"/>
  <c r="G2908" s="1"/>
  <c r="G2907"/>
  <c r="F2906"/>
  <c r="G2906" s="1"/>
  <c r="F2905"/>
  <c r="G2905" s="1"/>
  <c r="F2902"/>
  <c r="G2902" s="1"/>
  <c r="F2901"/>
  <c r="G2901" s="1"/>
  <c r="F2899"/>
  <c r="G2899" s="1"/>
  <c r="G2890"/>
  <c r="F2887"/>
  <c r="G2887" s="1"/>
  <c r="F2886"/>
  <c r="G2886" s="1"/>
  <c r="F2885"/>
  <c r="G2885" s="1"/>
  <c r="G2884"/>
  <c r="F2883"/>
  <c r="G2883" s="1"/>
  <c r="F2882"/>
  <c r="G2882" s="1"/>
  <c r="G2881"/>
  <c r="F2880"/>
  <c r="G2880" s="1"/>
  <c r="F2879"/>
  <c r="G2879" s="1"/>
  <c r="F2876"/>
  <c r="G2876" s="1"/>
  <c r="F2875"/>
  <c r="G2875" s="1"/>
  <c r="F2873"/>
  <c r="G2873" s="1"/>
  <c r="G2865"/>
  <c r="F2862"/>
  <c r="G2862" s="1"/>
  <c r="F2861"/>
  <c r="G2861" s="1"/>
  <c r="F2860"/>
  <c r="G2860" s="1"/>
  <c r="G2859"/>
  <c r="F2858"/>
  <c r="G2858" s="1"/>
  <c r="F2857"/>
  <c r="G2857" s="1"/>
  <c r="G2856"/>
  <c r="F2855"/>
  <c r="G2855" s="1"/>
  <c r="F2854"/>
  <c r="G2854" s="1"/>
  <c r="F2851"/>
  <c r="G2851" s="1"/>
  <c r="F2850"/>
  <c r="G2850" s="1"/>
  <c r="F2848"/>
  <c r="G2848" s="1"/>
  <c r="F2833"/>
  <c r="G2833" s="1"/>
  <c r="F2832"/>
  <c r="G2832" s="1"/>
  <c r="G2831"/>
  <c r="F2823"/>
  <c r="G2823" s="1"/>
  <c r="G2840"/>
  <c r="F2837"/>
  <c r="G2837" s="1"/>
  <c r="F2836"/>
  <c r="G2836" s="1"/>
  <c r="F2835"/>
  <c r="G2835" s="1"/>
  <c r="G2834"/>
  <c r="F2830"/>
  <c r="G2830" s="1"/>
  <c r="F2829"/>
  <c r="G2829" s="1"/>
  <c r="F2826"/>
  <c r="G2826" s="1"/>
  <c r="F2825"/>
  <c r="G2825" s="1"/>
  <c r="G2814"/>
  <c r="F2811"/>
  <c r="G2811" s="1"/>
  <c r="F2810"/>
  <c r="G2810" s="1"/>
  <c r="F2809"/>
  <c r="G2809" s="1"/>
  <c r="G2808"/>
  <c r="F2807"/>
  <c r="G2807" s="1"/>
  <c r="F2806"/>
  <c r="G2806" s="1"/>
  <c r="F2803"/>
  <c r="G2803" s="1"/>
  <c r="F2802"/>
  <c r="G2802" s="1"/>
  <c r="G2793"/>
  <c r="F2790"/>
  <c r="G2790" s="1"/>
  <c r="F2789"/>
  <c r="G2789" s="1"/>
  <c r="F2788"/>
  <c r="G2788" s="1"/>
  <c r="G2787"/>
  <c r="F2786"/>
  <c r="G2786" s="1"/>
  <c r="F2785"/>
  <c r="G2785" s="1"/>
  <c r="F2782"/>
  <c r="G2782" s="1"/>
  <c r="F2781"/>
  <c r="G2781" s="1"/>
  <c r="G2772"/>
  <c r="F2769"/>
  <c r="G2769" s="1"/>
  <c r="F2768"/>
  <c r="G2768" s="1"/>
  <c r="F2767"/>
  <c r="G2767" s="1"/>
  <c r="G2766"/>
  <c r="F2765"/>
  <c r="G2765" s="1"/>
  <c r="F2764"/>
  <c r="G2764" s="1"/>
  <c r="F2761"/>
  <c r="G2761" s="1"/>
  <c r="F2760"/>
  <c r="G2760" s="1"/>
  <c r="G2750"/>
  <c r="F2747"/>
  <c r="G2747" s="1"/>
  <c r="F2746"/>
  <c r="G2746" s="1"/>
  <c r="F2745"/>
  <c r="G2745" s="1"/>
  <c r="G2744"/>
  <c r="F2743"/>
  <c r="G2743" s="1"/>
  <c r="F2742"/>
  <c r="G2742" s="1"/>
  <c r="G2741"/>
  <c r="F2740"/>
  <c r="G2740" s="1"/>
  <c r="F2739"/>
  <c r="G2739" s="1"/>
  <c r="F2736"/>
  <c r="G2736" s="1"/>
  <c r="F2735"/>
  <c r="G2735" s="1"/>
  <c r="F2733"/>
  <c r="G2733" s="1"/>
  <c r="G2725"/>
  <c r="F2722"/>
  <c r="G2722" s="1"/>
  <c r="F2721"/>
  <c r="G2721" s="1"/>
  <c r="F2720"/>
  <c r="G2720" s="1"/>
  <c r="G2719"/>
  <c r="F2718"/>
  <c r="G2718" s="1"/>
  <c r="F2717"/>
  <c r="G2717" s="1"/>
  <c r="G2716"/>
  <c r="F2715"/>
  <c r="G2715" s="1"/>
  <c r="F2714"/>
  <c r="G2714" s="1"/>
  <c r="F2711"/>
  <c r="G2711" s="1"/>
  <c r="F2710"/>
  <c r="G2710" s="1"/>
  <c r="F2708"/>
  <c r="G2708" s="1"/>
  <c r="G2700"/>
  <c r="F2697"/>
  <c r="G2697" s="1"/>
  <c r="F2696"/>
  <c r="G2696" s="1"/>
  <c r="F2695"/>
  <c r="G2695" s="1"/>
  <c r="G2694"/>
  <c r="F2693"/>
  <c r="G2693" s="1"/>
  <c r="F2692"/>
  <c r="G2692" s="1"/>
  <c r="G2691"/>
  <c r="F2690"/>
  <c r="G2690" s="1"/>
  <c r="F2689"/>
  <c r="G2689" s="1"/>
  <c r="F2686"/>
  <c r="G2686" s="1"/>
  <c r="F2685"/>
  <c r="G2685" s="1"/>
  <c r="F2683"/>
  <c r="G2683" s="1"/>
  <c r="G2674"/>
  <c r="F2671"/>
  <c r="G2671" s="1"/>
  <c r="F2670"/>
  <c r="G2670" s="1"/>
  <c r="F2669"/>
  <c r="G2669" s="1"/>
  <c r="G2668"/>
  <c r="F2667"/>
  <c r="G2667" s="1"/>
  <c r="F2666"/>
  <c r="G2666" s="1"/>
  <c r="F2663"/>
  <c r="G2663" s="1"/>
  <c r="F2662"/>
  <c r="G2662" s="1"/>
  <c r="G2653"/>
  <c r="F2650"/>
  <c r="G2650" s="1"/>
  <c r="F2649"/>
  <c r="G2649" s="1"/>
  <c r="F2648"/>
  <c r="G2648" s="1"/>
  <c r="G2647"/>
  <c r="F2646"/>
  <c r="G2646" s="1"/>
  <c r="F2645"/>
  <c r="G2645" s="1"/>
  <c r="F2642"/>
  <c r="G2642" s="1"/>
  <c r="F2641"/>
  <c r="G2641" s="1"/>
  <c r="G2632"/>
  <c r="F2629"/>
  <c r="G2629" s="1"/>
  <c r="F2628"/>
  <c r="G2628" s="1"/>
  <c r="F2627"/>
  <c r="G2627" s="1"/>
  <c r="G2626"/>
  <c r="F2625"/>
  <c r="G2625" s="1"/>
  <c r="F2624"/>
  <c r="G2624" s="1"/>
  <c r="F2621"/>
  <c r="G2621" s="1"/>
  <c r="F2620"/>
  <c r="G2620" s="1"/>
  <c r="G2610"/>
  <c r="F2607"/>
  <c r="G2607" s="1"/>
  <c r="F2606"/>
  <c r="G2606" s="1"/>
  <c r="F2605"/>
  <c r="G2605" s="1"/>
  <c r="G2604"/>
  <c r="F2603"/>
  <c r="G2603" s="1"/>
  <c r="F2602"/>
  <c r="G2602" s="1"/>
  <c r="F2599"/>
  <c r="G2599" s="1"/>
  <c r="F2598"/>
  <c r="G2598" s="1"/>
  <c r="G2589"/>
  <c r="F2586"/>
  <c r="G2586" s="1"/>
  <c r="F2585"/>
  <c r="G2585" s="1"/>
  <c r="F2584"/>
  <c r="G2584" s="1"/>
  <c r="G2583"/>
  <c r="F2582"/>
  <c r="G2582" s="1"/>
  <c r="F2581"/>
  <c r="G2581" s="1"/>
  <c r="F2578"/>
  <c r="G2578" s="1"/>
  <c r="F2577"/>
  <c r="G2577" s="1"/>
  <c r="G1605"/>
  <c r="F1602"/>
  <c r="G1602" s="1"/>
  <c r="F1601"/>
  <c r="G1601" s="1"/>
  <c r="F1600"/>
  <c r="G1600" s="1"/>
  <c r="G1599"/>
  <c r="F1598"/>
  <c r="G1598" s="1"/>
  <c r="F1597"/>
  <c r="G1597" s="1"/>
  <c r="G1596"/>
  <c r="F1595"/>
  <c r="G1595" s="1"/>
  <c r="F1594"/>
  <c r="G1594" s="1"/>
  <c r="F1591"/>
  <c r="G1591" s="1"/>
  <c r="F1590"/>
  <c r="G1590" s="1"/>
  <c r="F1588"/>
  <c r="G1588" s="1"/>
  <c r="G1580"/>
  <c r="F1577"/>
  <c r="G1577" s="1"/>
  <c r="F1576"/>
  <c r="G1576" s="1"/>
  <c r="F1575"/>
  <c r="G1575" s="1"/>
  <c r="G1574"/>
  <c r="F1573"/>
  <c r="G1573" s="1"/>
  <c r="F1572"/>
  <c r="G1572" s="1"/>
  <c r="G1571"/>
  <c r="F1570"/>
  <c r="G1570" s="1"/>
  <c r="F1569"/>
  <c r="G1569" s="1"/>
  <c r="F1566"/>
  <c r="G1566" s="1"/>
  <c r="F1565"/>
  <c r="G1565" s="1"/>
  <c r="F1563"/>
  <c r="G1563" s="1"/>
  <c r="G1555"/>
  <c r="F1552"/>
  <c r="G1552" s="1"/>
  <c r="F1551"/>
  <c r="G1551" s="1"/>
  <c r="F1550"/>
  <c r="G1550" s="1"/>
  <c r="G1549"/>
  <c r="F1548"/>
  <c r="G1548" s="1"/>
  <c r="F1547"/>
  <c r="G1547" s="1"/>
  <c r="G1546"/>
  <c r="F1545"/>
  <c r="G1545" s="1"/>
  <c r="F1544"/>
  <c r="G1544" s="1"/>
  <c r="F1541"/>
  <c r="G1541" s="1"/>
  <c r="F1540"/>
  <c r="G1540" s="1"/>
  <c r="F1538"/>
  <c r="G1538" s="1"/>
  <c r="G1530"/>
  <c r="F1527"/>
  <c r="G1527" s="1"/>
  <c r="F1526"/>
  <c r="G1526" s="1"/>
  <c r="F1525"/>
  <c r="G1525" s="1"/>
  <c r="G1524"/>
  <c r="F1523"/>
  <c r="G1523" s="1"/>
  <c r="F1522"/>
  <c r="G1522" s="1"/>
  <c r="G1521"/>
  <c r="F1520"/>
  <c r="G1520" s="1"/>
  <c r="F1519"/>
  <c r="G1519" s="1"/>
  <c r="F1516"/>
  <c r="G1516" s="1"/>
  <c r="F1515"/>
  <c r="G1515" s="1"/>
  <c r="F1513"/>
  <c r="G1513" s="1"/>
  <c r="G1054"/>
  <c r="F1051"/>
  <c r="G1051" s="1"/>
  <c r="F1050"/>
  <c r="G1050" s="1"/>
  <c r="F1049"/>
  <c r="G1049" s="1"/>
  <c r="F1047"/>
  <c r="G1047" s="1"/>
  <c r="F1046"/>
  <c r="G1046" s="1"/>
  <c r="G1045"/>
  <c r="F1044"/>
  <c r="G1044" s="1"/>
  <c r="F1043"/>
  <c r="G1043" s="1"/>
  <c r="F1040"/>
  <c r="G1040" s="1"/>
  <c r="F1039"/>
  <c r="G1039" s="1"/>
  <c r="F1037"/>
  <c r="G1037" s="1"/>
  <c r="G1029"/>
  <c r="F1026"/>
  <c r="G1026" s="1"/>
  <c r="F1025"/>
  <c r="G1025" s="1"/>
  <c r="F1024"/>
  <c r="G1024" s="1"/>
  <c r="F1022"/>
  <c r="G1022" s="1"/>
  <c r="F1021"/>
  <c r="G1021" s="1"/>
  <c r="G1020"/>
  <c r="F1019"/>
  <c r="G1019" s="1"/>
  <c r="F1018"/>
  <c r="G1018" s="1"/>
  <c r="F1015"/>
  <c r="G1015" s="1"/>
  <c r="F1014"/>
  <c r="G1014" s="1"/>
  <c r="F1012"/>
  <c r="G1012" s="1"/>
  <c r="G1004"/>
  <c r="F1001"/>
  <c r="G1001" s="1"/>
  <c r="F1000"/>
  <c r="G1000" s="1"/>
  <c r="F999"/>
  <c r="G999" s="1"/>
  <c r="F997"/>
  <c r="G997" s="1"/>
  <c r="F996"/>
  <c r="G996" s="1"/>
  <c r="G995"/>
  <c r="F994"/>
  <c r="G994" s="1"/>
  <c r="F993"/>
  <c r="G993" s="1"/>
  <c r="F990"/>
  <c r="G990" s="1"/>
  <c r="F989"/>
  <c r="G989" s="1"/>
  <c r="F987"/>
  <c r="G987" s="1"/>
  <c r="G979"/>
  <c r="F976"/>
  <c r="G976" s="1"/>
  <c r="F975"/>
  <c r="G975" s="1"/>
  <c r="F974"/>
  <c r="G974" s="1"/>
  <c r="F972"/>
  <c r="G972" s="1"/>
  <c r="F971"/>
  <c r="G971" s="1"/>
  <c r="G970"/>
  <c r="F969"/>
  <c r="G969" s="1"/>
  <c r="F968"/>
  <c r="G968" s="1"/>
  <c r="F965"/>
  <c r="G965" s="1"/>
  <c r="F964"/>
  <c r="G964" s="1"/>
  <c r="F962"/>
  <c r="G962" s="1"/>
  <c r="G929"/>
  <c r="G77" i="14" l="1"/>
  <c r="G274"/>
  <c r="G94"/>
  <c r="G128"/>
  <c r="G257"/>
  <c r="G111"/>
  <c r="G234"/>
  <c r="G241" s="1"/>
  <c r="G300"/>
  <c r="G332"/>
  <c r="G339" s="1"/>
  <c r="G170"/>
  <c r="G38"/>
  <c r="G45" s="1"/>
  <c r="G70"/>
  <c r="G104"/>
  <c r="G112" s="1"/>
  <c r="G138"/>
  <c r="G6"/>
  <c r="G202"/>
  <c r="G209" s="1"/>
  <c r="G267"/>
  <c r="G275" s="1"/>
  <c r="G54"/>
  <c r="G87"/>
  <c r="G95" s="1"/>
  <c r="G121"/>
  <c r="G186"/>
  <c r="G193" s="1"/>
  <c r="G250"/>
  <c r="G284"/>
  <c r="G291" s="1"/>
  <c r="G348"/>
  <c r="G22"/>
  <c r="G29" s="1"/>
  <c r="G154"/>
  <c r="G218"/>
  <c r="G225" s="1"/>
  <c r="G316"/>
  <c r="G13"/>
  <c r="G61"/>
  <c r="G78"/>
  <c r="G129"/>
  <c r="G145"/>
  <c r="G161"/>
  <c r="G177"/>
  <c r="G258"/>
  <c r="G307"/>
  <c r="G323"/>
  <c r="G355"/>
  <c r="G3149" i="1"/>
  <c r="G3175"/>
  <c r="G3201"/>
  <c r="G3253"/>
  <c r="G3279"/>
  <c r="G3305"/>
  <c r="G2723"/>
  <c r="G2748"/>
  <c r="G2863"/>
  <c r="G2888"/>
  <c r="G2940"/>
  <c r="G3044"/>
  <c r="G3070"/>
  <c r="G3096"/>
  <c r="G1027"/>
  <c r="G1052"/>
  <c r="G2587"/>
  <c r="G2608"/>
  <c r="G2630"/>
  <c r="G2651"/>
  <c r="G2672"/>
  <c r="G2770"/>
  <c r="G2791"/>
  <c r="G2812"/>
  <c r="G2838"/>
  <c r="G4866"/>
  <c r="G4823"/>
  <c r="G4402"/>
  <c r="G4381"/>
  <c r="G4360"/>
  <c r="G4339"/>
  <c r="G4318"/>
  <c r="G3750"/>
  <c r="G3729"/>
  <c r="G3708"/>
  <c r="G3687"/>
  <c r="G3666"/>
  <c r="G3645"/>
  <c r="G3624"/>
  <c r="G3123"/>
  <c r="G2966"/>
  <c r="G2914"/>
  <c r="G2992"/>
  <c r="G2698"/>
  <c r="G1603"/>
  <c r="G1578"/>
  <c r="G1553"/>
  <c r="G1528"/>
  <c r="G1002"/>
  <c r="G977"/>
  <c r="G340" i="14" l="1"/>
  <c r="G341" s="1"/>
  <c r="D29" i="7" s="1"/>
  <c r="G308" i="14"/>
  <c r="G309" s="1"/>
  <c r="D27" i="7" s="1"/>
  <c r="G276" i="14"/>
  <c r="G277" s="1"/>
  <c r="D25" i="7" s="1"/>
  <c r="G242" i="14"/>
  <c r="G243" s="1"/>
  <c r="D23" i="7" s="1"/>
  <c r="G210" i="14"/>
  <c r="G211" s="1"/>
  <c r="D21" i="7" s="1"/>
  <c r="G178" i="14"/>
  <c r="G179" s="1"/>
  <c r="D19" i="7" s="1"/>
  <c r="G146" i="14"/>
  <c r="G147" s="1"/>
  <c r="D17" i="7" s="1"/>
  <c r="G113" i="14"/>
  <c r="G114" s="1"/>
  <c r="D15" i="7" s="1"/>
  <c r="G79" i="14"/>
  <c r="G80" s="1"/>
  <c r="D13" i="7" s="1"/>
  <c r="G46" i="14"/>
  <c r="G47" s="1"/>
  <c r="D11" i="7" s="1"/>
  <c r="G14" i="14"/>
  <c r="G15" s="1"/>
  <c r="D9" i="7" s="1"/>
  <c r="G356" i="14"/>
  <c r="G357" s="1"/>
  <c r="D30" i="7" s="1"/>
  <c r="G324" i="14"/>
  <c r="G325" s="1"/>
  <c r="D28" i="7" s="1"/>
  <c r="G292" i="14"/>
  <c r="G293" s="1"/>
  <c r="D26" i="7" s="1"/>
  <c r="G259" i="14"/>
  <c r="G260" s="1"/>
  <c r="D24" i="7" s="1"/>
  <c r="G226" i="14"/>
  <c r="G227" s="1"/>
  <c r="D22" i="7" s="1"/>
  <c r="G194" i="14"/>
  <c r="G195" s="1"/>
  <c r="D20" i="7" s="1"/>
  <c r="G162" i="14"/>
  <c r="G163" s="1"/>
  <c r="D18" i="7" s="1"/>
  <c r="G130" i="14"/>
  <c r="G131" s="1"/>
  <c r="D16" i="7" s="1"/>
  <c r="G96" i="14"/>
  <c r="G97" s="1"/>
  <c r="D14" i="7" s="1"/>
  <c r="G62" i="14"/>
  <c r="G63" s="1"/>
  <c r="D12" i="7" s="1"/>
  <c r="G30" i="14"/>
  <c r="G31" s="1"/>
  <c r="D10" i="7" s="1"/>
  <c r="F1631" i="1" l="1"/>
  <c r="G1631" s="1"/>
  <c r="G1632" s="1"/>
  <c r="G6121"/>
  <c r="G6136"/>
  <c r="G6151"/>
  <c r="G6166"/>
  <c r="G6183"/>
  <c r="G6199"/>
  <c r="G6216"/>
  <c r="G6233"/>
  <c r="G6302"/>
  <c r="G6319"/>
  <c r="G6334"/>
  <c r="G22"/>
  <c r="F6354"/>
  <c r="G6354" s="1"/>
  <c r="F6353"/>
  <c r="G6353" s="1"/>
  <c r="F6352"/>
  <c r="G6352" s="1"/>
  <c r="F6351"/>
  <c r="G6351" s="1"/>
  <c r="F6348"/>
  <c r="G6348" s="1"/>
  <c r="F6347"/>
  <c r="G6347" s="1"/>
  <c r="F6345"/>
  <c r="G6345" s="1"/>
  <c r="F6331"/>
  <c r="G6331" s="1"/>
  <c r="F6315"/>
  <c r="G6315" s="1"/>
  <c r="F6298"/>
  <c r="G6298" s="1"/>
  <c r="F6297"/>
  <c r="G6297" s="1"/>
  <c r="F6287"/>
  <c r="G6287" s="1"/>
  <c r="G6288" s="1"/>
  <c r="F6284"/>
  <c r="G6284" s="1"/>
  <c r="F6283"/>
  <c r="G6283" s="1"/>
  <c r="F6280"/>
  <c r="G6280" s="1"/>
  <c r="F6270"/>
  <c r="G6270" s="1"/>
  <c r="G6271" s="1"/>
  <c r="F6267"/>
  <c r="G6267" s="1"/>
  <c r="F6266"/>
  <c r="G6266" s="1"/>
  <c r="F6263"/>
  <c r="G6263" s="1"/>
  <c r="F6253"/>
  <c r="G6253" s="1"/>
  <c r="G6254" s="1"/>
  <c r="F6218"/>
  <c r="G6218" s="1"/>
  <c r="G6219" s="1"/>
  <c r="F6235"/>
  <c r="G6235" s="1"/>
  <c r="G6236" s="1"/>
  <c r="F6250"/>
  <c r="G6250" s="1"/>
  <c r="F6249"/>
  <c r="G6249" s="1"/>
  <c r="F6246"/>
  <c r="G6246" s="1"/>
  <c r="F6229"/>
  <c r="G6229" s="1"/>
  <c r="F6227"/>
  <c r="G6227" s="1"/>
  <c r="F6212"/>
  <c r="G6212" s="1"/>
  <c r="F6210"/>
  <c r="G6210" s="1"/>
  <c r="F6195"/>
  <c r="G6195" s="1"/>
  <c r="F6179"/>
  <c r="G6179" s="1"/>
  <c r="F6162"/>
  <c r="G6162" s="1"/>
  <c r="F6148"/>
  <c r="G6148" s="1"/>
  <c r="F6133"/>
  <c r="G6133" s="1"/>
  <c r="F6118"/>
  <c r="G6118" s="1"/>
  <c r="F6103"/>
  <c r="G6103" s="1"/>
  <c r="F6102"/>
  <c r="G6102" s="1"/>
  <c r="F6098"/>
  <c r="G6098" s="1"/>
  <c r="F6086"/>
  <c r="G6086" s="1"/>
  <c r="F6085"/>
  <c r="G6085" s="1"/>
  <c r="F6081"/>
  <c r="G6081" s="1"/>
  <c r="F6072"/>
  <c r="G6072" s="1"/>
  <c r="G6073" s="1"/>
  <c r="F6069"/>
  <c r="G6069" s="1"/>
  <c r="F6068"/>
  <c r="G6068" s="1"/>
  <c r="F6065"/>
  <c r="G6065" s="1"/>
  <c r="F6055"/>
  <c r="G6055" s="1"/>
  <c r="G6056" s="1"/>
  <c r="F6052"/>
  <c r="G6052" s="1"/>
  <c r="F6051"/>
  <c r="G6051" s="1"/>
  <c r="F6048"/>
  <c r="G6048" s="1"/>
  <c r="F6038"/>
  <c r="G6038" s="1"/>
  <c r="G6039" s="1"/>
  <c r="F6035"/>
  <c r="G6035" s="1"/>
  <c r="F6034"/>
  <c r="G6034" s="1"/>
  <c r="F6031"/>
  <c r="G6031" s="1"/>
  <c r="F6018"/>
  <c r="G6018" s="1"/>
  <c r="G6019" s="1"/>
  <c r="F6015"/>
  <c r="G6015" s="1"/>
  <c r="F6003"/>
  <c r="G6003" s="1"/>
  <c r="G6004" s="1"/>
  <c r="F6000"/>
  <c r="G6000" s="1"/>
  <c r="F5986"/>
  <c r="G5986" s="1"/>
  <c r="G5987" s="1"/>
  <c r="F5983"/>
  <c r="G5983" s="1"/>
  <c r="F5982"/>
  <c r="G5982" s="1"/>
  <c r="F5970"/>
  <c r="G5970" s="1"/>
  <c r="G5971" s="1"/>
  <c r="F5967"/>
  <c r="G5967" s="1"/>
  <c r="F5966"/>
  <c r="G5966" s="1"/>
  <c r="F5952"/>
  <c r="G5952" s="1"/>
  <c r="G5953" s="1"/>
  <c r="F5949"/>
  <c r="G5949" s="1"/>
  <c r="F5948"/>
  <c r="G5948" s="1"/>
  <c r="F5936"/>
  <c r="G5936" s="1"/>
  <c r="G5937" s="1"/>
  <c r="F5933"/>
  <c r="G5933" s="1"/>
  <c r="F5932"/>
  <c r="G5932" s="1"/>
  <c r="F5920"/>
  <c r="G5920" s="1"/>
  <c r="G5921" s="1"/>
  <c r="F5917"/>
  <c r="G5917" s="1"/>
  <c r="F5916"/>
  <c r="G5916" s="1"/>
  <c r="F5907"/>
  <c r="G5907" s="1"/>
  <c r="G5908" s="1"/>
  <c r="F5904"/>
  <c r="G5904" s="1"/>
  <c r="G5905" s="1"/>
  <c r="F5901"/>
  <c r="G5901" s="1"/>
  <c r="F5900"/>
  <c r="G5900" s="1"/>
  <c r="F5891"/>
  <c r="G5891" s="1"/>
  <c r="G5892" s="1"/>
  <c r="F5888"/>
  <c r="G5888" s="1"/>
  <c r="G5889" s="1"/>
  <c r="F5885"/>
  <c r="G5885" s="1"/>
  <c r="F5884"/>
  <c r="G5884" s="1"/>
  <c r="F5875"/>
  <c r="G5875" s="1"/>
  <c r="G5876" s="1"/>
  <c r="F5872"/>
  <c r="G5872" s="1"/>
  <c r="G5873" s="1"/>
  <c r="F5869"/>
  <c r="G5869" s="1"/>
  <c r="F5868"/>
  <c r="G5868" s="1"/>
  <c r="F5855"/>
  <c r="G5855" s="1"/>
  <c r="G5856" s="1"/>
  <c r="F5852"/>
  <c r="G5852" s="1"/>
  <c r="F5851"/>
  <c r="G5851" s="1"/>
  <c r="F5839"/>
  <c r="G5839" s="1"/>
  <c r="G5840" s="1"/>
  <c r="F5836"/>
  <c r="G5836" s="1"/>
  <c r="F5835"/>
  <c r="G5835" s="1"/>
  <c r="F5823"/>
  <c r="G5823" s="1"/>
  <c r="G5824" s="1"/>
  <c r="F5820"/>
  <c r="G5820" s="1"/>
  <c r="F5819"/>
  <c r="G5819" s="1"/>
  <c r="F5806"/>
  <c r="G5806" s="1"/>
  <c r="G5807" s="1"/>
  <c r="F5803"/>
  <c r="G5803" s="1"/>
  <c r="F5802"/>
  <c r="G5802" s="1"/>
  <c r="F5790"/>
  <c r="G5790" s="1"/>
  <c r="G5791" s="1"/>
  <c r="F5787"/>
  <c r="G5787" s="1"/>
  <c r="F5786"/>
  <c r="G5786" s="1"/>
  <c r="F5774"/>
  <c r="G5774" s="1"/>
  <c r="G5775" s="1"/>
  <c r="F5771"/>
  <c r="G5771" s="1"/>
  <c r="F5770"/>
  <c r="G5770" s="1"/>
  <c r="F5758"/>
  <c r="G5758" s="1"/>
  <c r="G5759" s="1"/>
  <c r="F5755"/>
  <c r="G5755" s="1"/>
  <c r="F5754"/>
  <c r="G5754" s="1"/>
  <c r="F5742"/>
  <c r="G5742" s="1"/>
  <c r="G5743" s="1"/>
  <c r="F5739"/>
  <c r="G5739" s="1"/>
  <c r="F5738"/>
  <c r="G5738" s="1"/>
  <c r="F5729"/>
  <c r="G5729" s="1"/>
  <c r="G5730" s="1"/>
  <c r="F5726"/>
  <c r="G5726" s="1"/>
  <c r="G5727" s="1"/>
  <c r="F5723"/>
  <c r="G5723" s="1"/>
  <c r="F5722"/>
  <c r="G5722" s="1"/>
  <c r="F5713"/>
  <c r="G5713" s="1"/>
  <c r="G5714" s="1"/>
  <c r="F5710"/>
  <c r="G5710" s="1"/>
  <c r="G5711" s="1"/>
  <c r="F5707"/>
  <c r="G5707" s="1"/>
  <c r="F5706"/>
  <c r="G5706" s="1"/>
  <c r="F5697"/>
  <c r="G5697" s="1"/>
  <c r="G5698" s="1"/>
  <c r="F5694"/>
  <c r="G5694" s="1"/>
  <c r="G5695" s="1"/>
  <c r="F5691"/>
  <c r="G5691" s="1"/>
  <c r="F5690"/>
  <c r="G5690" s="1"/>
  <c r="F5681"/>
  <c r="G5681" s="1"/>
  <c r="G5682" s="1"/>
  <c r="F5678"/>
  <c r="G5678" s="1"/>
  <c r="G5679" s="1"/>
  <c r="F5675"/>
  <c r="G5675" s="1"/>
  <c r="F5674"/>
  <c r="G5674" s="1"/>
  <c r="F5665"/>
  <c r="G5665" s="1"/>
  <c r="G5666" s="1"/>
  <c r="F5662"/>
  <c r="G5662" s="1"/>
  <c r="G5663" s="1"/>
  <c r="F5659"/>
  <c r="G5659" s="1"/>
  <c r="F5658"/>
  <c r="G5658" s="1"/>
  <c r="F5645"/>
  <c r="G5645" s="1"/>
  <c r="G5646" s="1"/>
  <c r="F5642"/>
  <c r="G5642" s="1"/>
  <c r="F5641"/>
  <c r="G5641" s="1"/>
  <c r="F5629"/>
  <c r="G5629" s="1"/>
  <c r="G5630" s="1"/>
  <c r="F5626"/>
  <c r="G5626" s="1"/>
  <c r="F5625"/>
  <c r="G5625" s="1"/>
  <c r="F5613"/>
  <c r="G5613" s="1"/>
  <c r="G5614" s="1"/>
  <c r="F5610"/>
  <c r="G5610" s="1"/>
  <c r="F5609"/>
  <c r="G5609" s="1"/>
  <c r="F5597"/>
  <c r="G5597" s="1"/>
  <c r="G5598" s="1"/>
  <c r="F5594"/>
  <c r="G5594" s="1"/>
  <c r="F5593"/>
  <c r="G5593" s="1"/>
  <c r="F5581"/>
  <c r="G5581" s="1"/>
  <c r="G5582" s="1"/>
  <c r="F5578"/>
  <c r="G5578" s="1"/>
  <c r="G5579" s="1"/>
  <c r="F5567"/>
  <c r="G5567" s="1"/>
  <c r="G5568" s="1"/>
  <c r="F5564"/>
  <c r="G5564" s="1"/>
  <c r="G5565" s="1"/>
  <c r="F5561"/>
  <c r="G5561" s="1"/>
  <c r="F5560"/>
  <c r="G5560" s="1"/>
  <c r="F5551"/>
  <c r="G5551" s="1"/>
  <c r="G5552" s="1"/>
  <c r="F5548"/>
  <c r="G5548" s="1"/>
  <c r="F5547"/>
  <c r="G5547" s="1"/>
  <c r="F5544"/>
  <c r="G5544" s="1"/>
  <c r="F5543"/>
  <c r="G5543" s="1"/>
  <c r="F5534"/>
  <c r="G5534" s="1"/>
  <c r="G5535" s="1"/>
  <c r="F5531"/>
  <c r="G5531" s="1"/>
  <c r="G5532" s="1"/>
  <c r="F5528"/>
  <c r="G5528" s="1"/>
  <c r="F5527"/>
  <c r="G5527" s="1"/>
  <c r="F5517"/>
  <c r="G5517" s="1"/>
  <c r="G5518" s="1"/>
  <c r="F5514"/>
  <c r="G5514" s="1"/>
  <c r="F5513"/>
  <c r="G5513" s="1"/>
  <c r="F5512"/>
  <c r="G5512" s="1"/>
  <c r="F5509"/>
  <c r="G5509" s="1"/>
  <c r="F5508"/>
  <c r="G5508" s="1"/>
  <c r="F5499"/>
  <c r="G5499" s="1"/>
  <c r="G5500" s="1"/>
  <c r="F5496"/>
  <c r="G5496" s="1"/>
  <c r="F5495"/>
  <c r="G5495" s="1"/>
  <c r="F5492"/>
  <c r="G5492" s="1"/>
  <c r="F5491"/>
  <c r="G5491" s="1"/>
  <c r="F5482"/>
  <c r="G5482" s="1"/>
  <c r="G5483" s="1"/>
  <c r="F5479"/>
  <c r="G5479" s="1"/>
  <c r="F5478"/>
  <c r="G5478" s="1"/>
  <c r="F5475"/>
  <c r="G5475" s="1"/>
  <c r="G5476" s="1"/>
  <c r="F5465"/>
  <c r="G5465" s="1"/>
  <c r="G5466" s="1"/>
  <c r="F5462"/>
  <c r="G5462" s="1"/>
  <c r="F5461"/>
  <c r="G5461" s="1"/>
  <c r="F5458"/>
  <c r="G5458" s="1"/>
  <c r="F5457"/>
  <c r="G5457" s="1"/>
  <c r="F5448"/>
  <c r="G5448" s="1"/>
  <c r="G5449" s="1"/>
  <c r="F5445"/>
  <c r="G5445" s="1"/>
  <c r="F5444"/>
  <c r="G5444" s="1"/>
  <c r="F5443"/>
  <c r="G5443" s="1"/>
  <c r="F5440"/>
  <c r="G5440" s="1"/>
  <c r="F5439"/>
  <c r="G5439" s="1"/>
  <c r="F5430"/>
  <c r="G5430" s="1"/>
  <c r="G5431" s="1"/>
  <c r="F5427"/>
  <c r="G5427" s="1"/>
  <c r="F5426"/>
  <c r="G5426" s="1"/>
  <c r="F5423"/>
  <c r="G5423" s="1"/>
  <c r="F5422"/>
  <c r="G5422" s="1"/>
  <c r="F5413"/>
  <c r="G5413" s="1"/>
  <c r="G5414" s="1"/>
  <c r="F5410"/>
  <c r="G5410" s="1"/>
  <c r="F5409"/>
  <c r="G5409" s="1"/>
  <c r="F5406"/>
  <c r="G5406" s="1"/>
  <c r="F5405"/>
  <c r="G5405" s="1"/>
  <c r="F5396"/>
  <c r="G5396" s="1"/>
  <c r="G5397" s="1"/>
  <c r="F5393"/>
  <c r="G5393" s="1"/>
  <c r="F5392"/>
  <c r="G5392" s="1"/>
  <c r="F5391"/>
  <c r="G5391" s="1"/>
  <c r="F5388"/>
  <c r="G5388" s="1"/>
  <c r="F5387"/>
  <c r="G5387" s="1"/>
  <c r="F5378"/>
  <c r="G5378" s="1"/>
  <c r="G5379" s="1"/>
  <c r="F5375"/>
  <c r="G5375" s="1"/>
  <c r="F5374"/>
  <c r="G5374" s="1"/>
  <c r="F5371"/>
  <c r="G5371" s="1"/>
  <c r="F5370"/>
  <c r="G5370" s="1"/>
  <c r="F5361"/>
  <c r="G5361" s="1"/>
  <c r="G5362" s="1"/>
  <c r="F5358"/>
  <c r="G5358" s="1"/>
  <c r="F5357"/>
  <c r="G5357" s="1"/>
  <c r="F5354"/>
  <c r="G5354" s="1"/>
  <c r="F5353"/>
  <c r="G5353" s="1"/>
  <c r="F5318"/>
  <c r="G5318" s="1"/>
  <c r="F5317"/>
  <c r="G5317" s="1"/>
  <c r="F5316"/>
  <c r="G5316" s="1"/>
  <c r="F5315"/>
  <c r="G5315" s="1"/>
  <c r="F5314"/>
  <c r="G5314" s="1"/>
  <c r="F5313"/>
  <c r="G5313" s="1"/>
  <c r="F5312"/>
  <c r="G5312" s="1"/>
  <c r="F5309"/>
  <c r="G5309" s="1"/>
  <c r="F5306"/>
  <c r="G5306" s="1"/>
  <c r="F5297"/>
  <c r="G5297" s="1"/>
  <c r="G5298" s="1"/>
  <c r="F5294"/>
  <c r="G5294" s="1"/>
  <c r="F5293"/>
  <c r="G5293" s="1"/>
  <c r="F5292"/>
  <c r="G5292" s="1"/>
  <c r="F5291"/>
  <c r="G5291" s="1"/>
  <c r="F5290"/>
  <c r="G5290" s="1"/>
  <c r="F5289"/>
  <c r="G5289" s="1"/>
  <c r="F5288"/>
  <c r="G5288" s="1"/>
  <c r="F5285"/>
  <c r="G5285" s="1"/>
  <c r="F5282"/>
  <c r="G5282" s="1"/>
  <c r="F5270"/>
  <c r="G5270" s="1"/>
  <c r="F5269"/>
  <c r="G5269" s="1"/>
  <c r="F5268"/>
  <c r="G5268" s="1"/>
  <c r="F5267"/>
  <c r="G5267" s="1"/>
  <c r="F5266"/>
  <c r="G5266" s="1"/>
  <c r="F5265"/>
  <c r="G5265" s="1"/>
  <c r="F5264"/>
  <c r="G5264" s="1"/>
  <c r="F5261"/>
  <c r="G5261" s="1"/>
  <c r="F5258"/>
  <c r="G5258" s="1"/>
  <c r="F5249"/>
  <c r="G5249" s="1"/>
  <c r="G5250" s="1"/>
  <c r="F5246"/>
  <c r="G5246" s="1"/>
  <c r="F5245"/>
  <c r="G5245" s="1"/>
  <c r="F5244"/>
  <c r="G5244" s="1"/>
  <c r="F5243"/>
  <c r="G5243" s="1"/>
  <c r="F5242"/>
  <c r="G5242" s="1"/>
  <c r="F5241"/>
  <c r="G5241" s="1"/>
  <c r="F5240"/>
  <c r="G5240" s="1"/>
  <c r="F5237"/>
  <c r="G5237" s="1"/>
  <c r="F5234"/>
  <c r="G5234" s="1"/>
  <c r="F5222"/>
  <c r="G5222" s="1"/>
  <c r="F5221"/>
  <c r="G5221" s="1"/>
  <c r="F5220"/>
  <c r="G5220" s="1"/>
  <c r="F5219"/>
  <c r="G5219" s="1"/>
  <c r="F5218"/>
  <c r="G5218" s="1"/>
  <c r="F5217"/>
  <c r="G5217" s="1"/>
  <c r="F5216"/>
  <c r="G5216" s="1"/>
  <c r="F5213"/>
  <c r="G5213" s="1"/>
  <c r="F5210"/>
  <c r="G5210" s="1"/>
  <c r="F5201"/>
  <c r="G5201" s="1"/>
  <c r="G5202" s="1"/>
  <c r="F5198"/>
  <c r="G5198" s="1"/>
  <c r="F5197"/>
  <c r="G5197" s="1"/>
  <c r="F5196"/>
  <c r="G5196" s="1"/>
  <c r="F5195"/>
  <c r="G5195" s="1"/>
  <c r="F5194"/>
  <c r="G5194" s="1"/>
  <c r="F5193"/>
  <c r="G5193" s="1"/>
  <c r="F5192"/>
  <c r="G5192" s="1"/>
  <c r="F5189"/>
  <c r="G5189" s="1"/>
  <c r="F5186"/>
  <c r="G5186" s="1"/>
  <c r="F5174"/>
  <c r="G5174" s="1"/>
  <c r="F5173"/>
  <c r="G5173" s="1"/>
  <c r="F5172"/>
  <c r="G5172" s="1"/>
  <c r="F5171"/>
  <c r="G5171" s="1"/>
  <c r="F5170"/>
  <c r="G5170" s="1"/>
  <c r="F5169"/>
  <c r="G5169" s="1"/>
  <c r="F5168"/>
  <c r="G5168" s="1"/>
  <c r="F5165"/>
  <c r="G5165" s="1"/>
  <c r="F5162"/>
  <c r="G5162" s="1"/>
  <c r="F5153"/>
  <c r="G5153" s="1"/>
  <c r="G5154" s="1"/>
  <c r="F5150"/>
  <c r="G5150" s="1"/>
  <c r="F5149"/>
  <c r="G5149" s="1"/>
  <c r="F5148"/>
  <c r="G5148" s="1"/>
  <c r="F5147"/>
  <c r="G5147" s="1"/>
  <c r="F5146"/>
  <c r="G5146" s="1"/>
  <c r="F5145"/>
  <c r="G5145" s="1"/>
  <c r="F5144"/>
  <c r="G5144" s="1"/>
  <c r="F5141"/>
  <c r="G5141" s="1"/>
  <c r="F5138"/>
  <c r="G5138" s="1"/>
  <c r="F5126"/>
  <c r="G5126" s="1"/>
  <c r="F5125"/>
  <c r="G5125" s="1"/>
  <c r="F5124"/>
  <c r="G5124" s="1"/>
  <c r="F5123"/>
  <c r="G5123" s="1"/>
  <c r="F5122"/>
  <c r="G5122" s="1"/>
  <c r="F5121"/>
  <c r="G5121" s="1"/>
  <c r="F5120"/>
  <c r="G5120" s="1"/>
  <c r="F5117"/>
  <c r="G5117" s="1"/>
  <c r="F5114"/>
  <c r="G5114" s="1"/>
  <c r="F5105"/>
  <c r="G5105" s="1"/>
  <c r="G5106" s="1"/>
  <c r="F5102"/>
  <c r="G5102" s="1"/>
  <c r="F5101"/>
  <c r="G5101" s="1"/>
  <c r="F5100"/>
  <c r="G5100" s="1"/>
  <c r="F5099"/>
  <c r="G5099" s="1"/>
  <c r="F5098"/>
  <c r="G5098" s="1"/>
  <c r="F5097"/>
  <c r="G5097" s="1"/>
  <c r="F5096"/>
  <c r="G5096" s="1"/>
  <c r="F5093"/>
  <c r="G5093" s="1"/>
  <c r="F5090"/>
  <c r="G5090" s="1"/>
  <c r="F5078"/>
  <c r="G5078" s="1"/>
  <c r="F5077"/>
  <c r="G5077" s="1"/>
  <c r="F5076"/>
  <c r="G5076" s="1"/>
  <c r="F5075"/>
  <c r="G5075" s="1"/>
  <c r="F5074"/>
  <c r="G5074" s="1"/>
  <c r="F5073"/>
  <c r="G5073" s="1"/>
  <c r="F5072"/>
  <c r="G5072" s="1"/>
  <c r="F5069"/>
  <c r="G5069" s="1"/>
  <c r="F5066"/>
  <c r="G5066" s="1"/>
  <c r="F5057"/>
  <c r="G5057" s="1"/>
  <c r="G5058" s="1"/>
  <c r="F5054"/>
  <c r="G5054" s="1"/>
  <c r="F5053"/>
  <c r="G5053" s="1"/>
  <c r="F5052"/>
  <c r="G5052" s="1"/>
  <c r="F5051"/>
  <c r="G5051" s="1"/>
  <c r="F5050"/>
  <c r="G5050" s="1"/>
  <c r="F5049"/>
  <c r="G5049" s="1"/>
  <c r="F5048"/>
  <c r="G5048" s="1"/>
  <c r="F5045"/>
  <c r="G5045" s="1"/>
  <c r="F5042"/>
  <c r="G5042" s="1"/>
  <c r="F5030"/>
  <c r="G5030" s="1"/>
  <c r="F5029"/>
  <c r="G5029" s="1"/>
  <c r="F5027"/>
  <c r="G5027" s="1"/>
  <c r="F5024"/>
  <c r="G5024" s="1"/>
  <c r="F5021"/>
  <c r="G5021" s="1"/>
  <c r="F5009"/>
  <c r="G5009" s="1"/>
  <c r="F5010"/>
  <c r="G5010" s="1"/>
  <c r="F5007"/>
  <c r="G5007" s="1"/>
  <c r="F5004"/>
  <c r="G5004" s="1"/>
  <c r="F5001"/>
  <c r="G5001" s="1"/>
  <c r="F4990"/>
  <c r="G4990" s="1"/>
  <c r="F4989"/>
  <c r="G4989" s="1"/>
  <c r="F4987"/>
  <c r="G4987" s="1"/>
  <c r="F4984"/>
  <c r="G4984" s="1"/>
  <c r="F4981"/>
  <c r="G4981" s="1"/>
  <c r="F4970"/>
  <c r="G4970" s="1"/>
  <c r="F4969"/>
  <c r="G4969" s="1"/>
  <c r="F4967"/>
  <c r="G4967" s="1"/>
  <c r="F4964"/>
  <c r="G4964" s="1"/>
  <c r="F4961"/>
  <c r="G4961" s="1"/>
  <c r="F4949"/>
  <c r="G4949" s="1"/>
  <c r="F4948"/>
  <c r="G4948" s="1"/>
  <c r="F4947"/>
  <c r="G4947" s="1"/>
  <c r="F4945"/>
  <c r="G4945" s="1"/>
  <c r="F4944"/>
  <c r="G4944" s="1"/>
  <c r="F4941"/>
  <c r="G4941" s="1"/>
  <c r="F4928"/>
  <c r="G4928" s="1"/>
  <c r="F4927"/>
  <c r="G4927" s="1"/>
  <c r="F4926"/>
  <c r="G4926" s="1"/>
  <c r="F4924"/>
  <c r="G4924" s="1"/>
  <c r="F4923"/>
  <c r="G4923" s="1"/>
  <c r="F4920"/>
  <c r="G4920" s="1"/>
  <c r="F4907"/>
  <c r="G4907" s="1"/>
  <c r="F4906"/>
  <c r="G4906" s="1"/>
  <c r="F4905"/>
  <c r="G4905" s="1"/>
  <c r="F4903"/>
  <c r="G4903" s="1"/>
  <c r="F4902"/>
  <c r="G4902" s="1"/>
  <c r="F4899"/>
  <c r="G4899" s="1"/>
  <c r="F4886"/>
  <c r="G4886" s="1"/>
  <c r="F4885"/>
  <c r="G4885" s="1"/>
  <c r="F4884"/>
  <c r="G4884" s="1"/>
  <c r="F4882"/>
  <c r="G4882" s="1"/>
  <c r="F4881"/>
  <c r="G4881" s="1"/>
  <c r="F4878"/>
  <c r="G4878" s="1"/>
  <c r="F4844"/>
  <c r="G4844" s="1"/>
  <c r="F4843"/>
  <c r="G4843" s="1"/>
  <c r="F4842"/>
  <c r="G4842" s="1"/>
  <c r="F4840"/>
  <c r="G4840" s="1"/>
  <c r="F4839"/>
  <c r="G4839" s="1"/>
  <c r="F4836"/>
  <c r="G4836" s="1"/>
  <c r="F4801"/>
  <c r="G4801" s="1"/>
  <c r="F4800"/>
  <c r="G4800" s="1"/>
  <c r="F4799"/>
  <c r="G4799" s="1"/>
  <c r="F4797"/>
  <c r="G4797" s="1"/>
  <c r="F4796"/>
  <c r="G4796" s="1"/>
  <c r="F4793"/>
  <c r="G4793" s="1"/>
  <c r="F4780"/>
  <c r="G4780" s="1"/>
  <c r="F4779"/>
  <c r="G4779" s="1"/>
  <c r="F4778"/>
  <c r="G4778" s="1"/>
  <c r="F4776"/>
  <c r="G4776" s="1"/>
  <c r="F4775"/>
  <c r="G4775" s="1"/>
  <c r="F4772"/>
  <c r="G4772" s="1"/>
  <c r="F4759"/>
  <c r="G4759" s="1"/>
  <c r="F4758"/>
  <c r="G4758" s="1"/>
  <c r="F4757"/>
  <c r="G4757" s="1"/>
  <c r="F4755"/>
  <c r="G4755" s="1"/>
  <c r="F4754"/>
  <c r="G4754" s="1"/>
  <c r="F4751"/>
  <c r="G4751" s="1"/>
  <c r="F4738"/>
  <c r="G4738" s="1"/>
  <c r="F4737"/>
  <c r="G4737" s="1"/>
  <c r="F4736"/>
  <c r="G4736" s="1"/>
  <c r="F4734"/>
  <c r="G4734" s="1"/>
  <c r="F4733"/>
  <c r="G4733" s="1"/>
  <c r="F4730"/>
  <c r="G4730" s="1"/>
  <c r="F4717"/>
  <c r="G4717" s="1"/>
  <c r="F4716"/>
  <c r="G4716" s="1"/>
  <c r="F4715"/>
  <c r="G4715" s="1"/>
  <c r="F4713"/>
  <c r="G4713" s="1"/>
  <c r="F4712"/>
  <c r="G4712" s="1"/>
  <c r="F4709"/>
  <c r="G4709" s="1"/>
  <c r="F4696"/>
  <c r="G4696" s="1"/>
  <c r="F4695"/>
  <c r="G4695" s="1"/>
  <c r="F4694"/>
  <c r="G4694" s="1"/>
  <c r="F4692"/>
  <c r="G4692" s="1"/>
  <c r="F4691"/>
  <c r="G4691" s="1"/>
  <c r="F4688"/>
  <c r="G4688" s="1"/>
  <c r="F4675"/>
  <c r="G4675" s="1"/>
  <c r="F4674"/>
  <c r="G4674" s="1"/>
  <c r="F4673"/>
  <c r="G4673" s="1"/>
  <c r="F4671"/>
  <c r="G4671" s="1"/>
  <c r="F4670"/>
  <c r="G4670" s="1"/>
  <c r="F4667"/>
  <c r="G4667" s="1"/>
  <c r="F4654"/>
  <c r="G4654" s="1"/>
  <c r="F4653"/>
  <c r="G4653" s="1"/>
  <c r="F4652"/>
  <c r="G4652" s="1"/>
  <c r="F4650"/>
  <c r="G4650" s="1"/>
  <c r="F4649"/>
  <c r="G4649" s="1"/>
  <c r="F4646"/>
  <c r="G4646" s="1"/>
  <c r="F4633"/>
  <c r="G4633" s="1"/>
  <c r="F4632"/>
  <c r="G4632" s="1"/>
  <c r="F4631"/>
  <c r="G4631" s="1"/>
  <c r="F4629"/>
  <c r="G4629" s="1"/>
  <c r="F4628"/>
  <c r="G4628" s="1"/>
  <c r="F4625"/>
  <c r="G4625" s="1"/>
  <c r="F4612"/>
  <c r="G4612" s="1"/>
  <c r="F4611"/>
  <c r="G4611" s="1"/>
  <c r="F4610"/>
  <c r="G4610" s="1"/>
  <c r="F4608"/>
  <c r="G4608" s="1"/>
  <c r="F4607"/>
  <c r="G4607" s="1"/>
  <c r="F4604"/>
  <c r="G4604" s="1"/>
  <c r="F4591"/>
  <c r="G4591" s="1"/>
  <c r="F4590"/>
  <c r="G4590" s="1"/>
  <c r="F4589"/>
  <c r="G4589" s="1"/>
  <c r="F4587"/>
  <c r="G4587" s="1"/>
  <c r="F4586"/>
  <c r="G4586" s="1"/>
  <c r="F4583"/>
  <c r="G4583" s="1"/>
  <c r="F4570"/>
  <c r="G4570" s="1"/>
  <c r="F4569"/>
  <c r="G4569" s="1"/>
  <c r="F4568"/>
  <c r="G4568" s="1"/>
  <c r="F4566"/>
  <c r="G4566" s="1"/>
  <c r="F4565"/>
  <c r="G4565" s="1"/>
  <c r="F4562"/>
  <c r="G4562" s="1"/>
  <c r="F4549"/>
  <c r="G4549" s="1"/>
  <c r="F4548"/>
  <c r="G4548" s="1"/>
  <c r="F4547"/>
  <c r="G4547" s="1"/>
  <c r="F4545"/>
  <c r="G4545" s="1"/>
  <c r="F4544"/>
  <c r="G4544" s="1"/>
  <c r="F4541"/>
  <c r="G4541" s="1"/>
  <c r="F4528"/>
  <c r="G4528" s="1"/>
  <c r="F4527"/>
  <c r="G4527" s="1"/>
  <c r="F4526"/>
  <c r="G4526" s="1"/>
  <c r="F4524"/>
  <c r="G4524" s="1"/>
  <c r="F4523"/>
  <c r="G4523" s="1"/>
  <c r="F4520"/>
  <c r="G4520" s="1"/>
  <c r="F4507"/>
  <c r="G4507" s="1"/>
  <c r="F4506"/>
  <c r="G4506" s="1"/>
  <c r="F4505"/>
  <c r="G4505" s="1"/>
  <c r="F4503"/>
  <c r="G4503" s="1"/>
  <c r="F4502"/>
  <c r="G4502" s="1"/>
  <c r="F4499"/>
  <c r="G4499" s="1"/>
  <c r="F4486"/>
  <c r="G4486" s="1"/>
  <c r="F4485"/>
  <c r="G4485" s="1"/>
  <c r="F4484"/>
  <c r="G4484" s="1"/>
  <c r="F4482"/>
  <c r="G4482" s="1"/>
  <c r="F4481"/>
  <c r="G4481" s="1"/>
  <c r="F4478"/>
  <c r="G4478" s="1"/>
  <c r="F4465"/>
  <c r="G4465" s="1"/>
  <c r="F4464"/>
  <c r="G4464" s="1"/>
  <c r="F4463"/>
  <c r="G4463" s="1"/>
  <c r="F4461"/>
  <c r="G4461" s="1"/>
  <c r="F4460"/>
  <c r="G4460" s="1"/>
  <c r="F4457"/>
  <c r="G4457" s="1"/>
  <c r="F4444"/>
  <c r="G4444" s="1"/>
  <c r="F4443"/>
  <c r="G4443" s="1"/>
  <c r="F4442"/>
  <c r="G4442" s="1"/>
  <c r="F4440"/>
  <c r="G4440" s="1"/>
  <c r="F4439"/>
  <c r="G4439" s="1"/>
  <c r="F4436"/>
  <c r="G4436" s="1"/>
  <c r="F4423"/>
  <c r="G4423" s="1"/>
  <c r="F4422"/>
  <c r="G4422" s="1"/>
  <c r="F4421"/>
  <c r="G4421" s="1"/>
  <c r="F4419"/>
  <c r="G4419" s="1"/>
  <c r="F4418"/>
  <c r="G4418" s="1"/>
  <c r="F4415"/>
  <c r="G4415" s="1"/>
  <c r="F4296"/>
  <c r="G4296" s="1"/>
  <c r="F4295"/>
  <c r="G4295" s="1"/>
  <c r="F4294"/>
  <c r="G4294" s="1"/>
  <c r="F4292"/>
  <c r="G4292" s="1"/>
  <c r="F4291"/>
  <c r="G4291" s="1"/>
  <c r="F4288"/>
  <c r="G4288" s="1"/>
  <c r="F4275"/>
  <c r="G4275" s="1"/>
  <c r="F4274"/>
  <c r="G4274" s="1"/>
  <c r="F4273"/>
  <c r="G4273" s="1"/>
  <c r="F4271"/>
  <c r="G4271" s="1"/>
  <c r="F4270"/>
  <c r="G4270" s="1"/>
  <c r="F4267"/>
  <c r="G4267" s="1"/>
  <c r="F4254"/>
  <c r="G4254" s="1"/>
  <c r="F4253"/>
  <c r="G4253" s="1"/>
  <c r="F4252"/>
  <c r="G4252" s="1"/>
  <c r="F4250"/>
  <c r="G4250" s="1"/>
  <c r="F4249"/>
  <c r="G4249" s="1"/>
  <c r="F4246"/>
  <c r="G4246" s="1"/>
  <c r="F4233"/>
  <c r="G4233" s="1"/>
  <c r="F4232"/>
  <c r="G4232" s="1"/>
  <c r="F4231"/>
  <c r="G4231" s="1"/>
  <c r="G4230"/>
  <c r="F4229"/>
  <c r="G4229" s="1"/>
  <c r="F4228"/>
  <c r="G4228" s="1"/>
  <c r="F4225"/>
  <c r="G4225" s="1"/>
  <c r="F4212"/>
  <c r="G4212" s="1"/>
  <c r="F4211"/>
  <c r="G4211" s="1"/>
  <c r="F4210"/>
  <c r="G4210" s="1"/>
  <c r="F4208"/>
  <c r="G4208" s="1"/>
  <c r="F4207"/>
  <c r="G4207" s="1"/>
  <c r="F4204"/>
  <c r="G4204" s="1"/>
  <c r="F4191"/>
  <c r="G4191" s="1"/>
  <c r="F4190"/>
  <c r="G4190" s="1"/>
  <c r="F4189"/>
  <c r="G4189" s="1"/>
  <c r="F4187"/>
  <c r="G4187" s="1"/>
  <c r="F4186"/>
  <c r="G4186" s="1"/>
  <c r="F4183"/>
  <c r="G4183" s="1"/>
  <c r="F4170"/>
  <c r="G4170" s="1"/>
  <c r="F4169"/>
  <c r="G4169" s="1"/>
  <c r="F4168"/>
  <c r="G4168" s="1"/>
  <c r="F4166"/>
  <c r="G4166" s="1"/>
  <c r="F4165"/>
  <c r="G4165" s="1"/>
  <c r="F4162"/>
  <c r="G4162" s="1"/>
  <c r="F4149"/>
  <c r="G4149" s="1"/>
  <c r="F4148"/>
  <c r="G4148" s="1"/>
  <c r="F4147"/>
  <c r="G4147" s="1"/>
  <c r="F4145"/>
  <c r="G4145" s="1"/>
  <c r="F4144"/>
  <c r="G4144" s="1"/>
  <c r="F4141"/>
  <c r="G4141" s="1"/>
  <c r="F4128"/>
  <c r="G4128" s="1"/>
  <c r="F4127"/>
  <c r="G4127" s="1"/>
  <c r="F4126"/>
  <c r="G4126" s="1"/>
  <c r="F4124"/>
  <c r="G4124" s="1"/>
  <c r="F4123"/>
  <c r="G4123" s="1"/>
  <c r="F4120"/>
  <c r="G4120" s="1"/>
  <c r="F4107"/>
  <c r="G4107" s="1"/>
  <c r="F4106"/>
  <c r="G4106" s="1"/>
  <c r="F4105"/>
  <c r="G4105" s="1"/>
  <c r="F4103"/>
  <c r="G4103" s="1"/>
  <c r="F4102"/>
  <c r="G4102" s="1"/>
  <c r="F4099"/>
  <c r="G4099" s="1"/>
  <c r="F4086"/>
  <c r="G4086" s="1"/>
  <c r="F4085"/>
  <c r="G4085" s="1"/>
  <c r="F4084"/>
  <c r="G4084" s="1"/>
  <c r="F4082"/>
  <c r="G4082" s="1"/>
  <c r="F4081"/>
  <c r="G4081" s="1"/>
  <c r="F4078"/>
  <c r="G4078" s="1"/>
  <c r="F4065"/>
  <c r="G4065" s="1"/>
  <c r="F4064"/>
  <c r="G4064" s="1"/>
  <c r="F4063"/>
  <c r="G4063" s="1"/>
  <c r="F4061"/>
  <c r="G4061" s="1"/>
  <c r="F4060"/>
  <c r="G4060" s="1"/>
  <c r="F4057"/>
  <c r="G4057" s="1"/>
  <c r="F4044"/>
  <c r="G4044" s="1"/>
  <c r="F4043"/>
  <c r="G4043" s="1"/>
  <c r="F4042"/>
  <c r="G4042" s="1"/>
  <c r="F4040"/>
  <c r="G4040" s="1"/>
  <c r="F4039"/>
  <c r="G4039" s="1"/>
  <c r="F4036"/>
  <c r="G4036" s="1"/>
  <c r="F4023"/>
  <c r="G4023" s="1"/>
  <c r="F4022"/>
  <c r="G4022" s="1"/>
  <c r="F4021"/>
  <c r="G4021" s="1"/>
  <c r="F4019"/>
  <c r="G4019" s="1"/>
  <c r="F4018"/>
  <c r="G4018" s="1"/>
  <c r="F4015"/>
  <c r="G4015" s="1"/>
  <c r="F4002"/>
  <c r="G4002" s="1"/>
  <c r="F4001"/>
  <c r="G4001" s="1"/>
  <c r="F4000"/>
  <c r="G4000" s="1"/>
  <c r="F3998"/>
  <c r="G3998" s="1"/>
  <c r="F3997"/>
  <c r="G3997" s="1"/>
  <c r="F3994"/>
  <c r="G3994" s="1"/>
  <c r="F3981"/>
  <c r="G3981" s="1"/>
  <c r="F3980"/>
  <c r="G3980" s="1"/>
  <c r="F3979"/>
  <c r="G3979" s="1"/>
  <c r="F3977"/>
  <c r="G3977" s="1"/>
  <c r="F3976"/>
  <c r="G3976" s="1"/>
  <c r="F3973"/>
  <c r="G3973" s="1"/>
  <c r="F3960"/>
  <c r="G3960" s="1"/>
  <c r="F3959"/>
  <c r="G3959" s="1"/>
  <c r="F3958"/>
  <c r="G3958" s="1"/>
  <c r="F3956"/>
  <c r="G3956" s="1"/>
  <c r="F3955"/>
  <c r="G3955" s="1"/>
  <c r="F3952"/>
  <c r="G3952" s="1"/>
  <c r="F3939"/>
  <c r="G3939" s="1"/>
  <c r="F3938"/>
  <c r="G3938" s="1"/>
  <c r="F3937"/>
  <c r="G3937" s="1"/>
  <c r="F3935"/>
  <c r="G3935" s="1"/>
  <c r="F3934"/>
  <c r="G3934" s="1"/>
  <c r="F3931"/>
  <c r="G3931" s="1"/>
  <c r="F3918"/>
  <c r="G3918" s="1"/>
  <c r="F3917"/>
  <c r="G3917" s="1"/>
  <c r="F3916"/>
  <c r="G3916" s="1"/>
  <c r="F3914"/>
  <c r="G3914" s="1"/>
  <c r="F3913"/>
  <c r="G3913" s="1"/>
  <c r="F3910"/>
  <c r="G3910" s="1"/>
  <c r="F3897"/>
  <c r="G3897" s="1"/>
  <c r="F3896"/>
  <c r="G3896" s="1"/>
  <c r="F3895"/>
  <c r="G3895" s="1"/>
  <c r="F3893"/>
  <c r="G3893" s="1"/>
  <c r="F3892"/>
  <c r="G3892" s="1"/>
  <c r="F3889"/>
  <c r="G3889" s="1"/>
  <c r="F3876"/>
  <c r="G3876" s="1"/>
  <c r="F3875"/>
  <c r="G3875" s="1"/>
  <c r="F3874"/>
  <c r="G3874" s="1"/>
  <c r="G3873"/>
  <c r="F3872"/>
  <c r="G3872" s="1"/>
  <c r="F3871"/>
  <c r="G3871" s="1"/>
  <c r="F3868"/>
  <c r="G3868" s="1"/>
  <c r="F3855"/>
  <c r="G3855" s="1"/>
  <c r="F3854"/>
  <c r="G3854" s="1"/>
  <c r="F3853"/>
  <c r="G3853" s="1"/>
  <c r="F3851"/>
  <c r="G3851" s="1"/>
  <c r="F3850"/>
  <c r="G3850" s="1"/>
  <c r="F3847"/>
  <c r="G3847" s="1"/>
  <c r="F3834"/>
  <c r="G3834" s="1"/>
  <c r="F3833"/>
  <c r="G3833" s="1"/>
  <c r="F3832"/>
  <c r="G3832" s="1"/>
  <c r="F3830"/>
  <c r="G3830" s="1"/>
  <c r="F3829"/>
  <c r="G3829" s="1"/>
  <c r="F3826"/>
  <c r="G3826" s="1"/>
  <c r="F3813"/>
  <c r="G3813" s="1"/>
  <c r="F3812"/>
  <c r="G3812" s="1"/>
  <c r="F3811"/>
  <c r="G3811" s="1"/>
  <c r="F3809"/>
  <c r="G3809" s="1"/>
  <c r="F3808"/>
  <c r="G3808" s="1"/>
  <c r="F3805"/>
  <c r="G3805" s="1"/>
  <c r="F3792"/>
  <c r="G3792" s="1"/>
  <c r="F3791"/>
  <c r="G3791" s="1"/>
  <c r="G3790"/>
  <c r="F3788"/>
  <c r="G3788" s="1"/>
  <c r="F3787"/>
  <c r="G3787" s="1"/>
  <c r="F3784"/>
  <c r="G3784" s="1"/>
  <c r="F3771"/>
  <c r="G3771" s="1"/>
  <c r="F3770"/>
  <c r="G3770" s="1"/>
  <c r="F3769"/>
  <c r="G3769" s="1"/>
  <c r="F3767"/>
  <c r="G3767" s="1"/>
  <c r="F3766"/>
  <c r="G3766" s="1"/>
  <c r="F3763"/>
  <c r="G3763" s="1"/>
  <c r="F3602"/>
  <c r="G3602" s="1"/>
  <c r="F3601"/>
  <c r="G3601" s="1"/>
  <c r="F3600"/>
  <c r="G3600" s="1"/>
  <c r="F3598"/>
  <c r="G3598" s="1"/>
  <c r="F3597"/>
  <c r="G3597" s="1"/>
  <c r="F3594"/>
  <c r="G3594" s="1"/>
  <c r="F3581"/>
  <c r="G3581" s="1"/>
  <c r="F3580"/>
  <c r="G3580" s="1"/>
  <c r="F3579"/>
  <c r="G3579" s="1"/>
  <c r="F3577"/>
  <c r="G3577" s="1"/>
  <c r="G3576"/>
  <c r="F3573"/>
  <c r="G3573" s="1"/>
  <c r="F3560"/>
  <c r="G3560" s="1"/>
  <c r="F3559"/>
  <c r="G3559" s="1"/>
  <c r="F3558"/>
  <c r="G3558" s="1"/>
  <c r="F3556"/>
  <c r="G3556" s="1"/>
  <c r="F3555"/>
  <c r="G3555" s="1"/>
  <c r="F3552"/>
  <c r="G3552" s="1"/>
  <c r="F3539"/>
  <c r="G3539" s="1"/>
  <c r="F3538"/>
  <c r="G3538" s="1"/>
  <c r="F3537"/>
  <c r="G3537" s="1"/>
  <c r="F3535"/>
  <c r="G3535" s="1"/>
  <c r="F3534"/>
  <c r="G3534" s="1"/>
  <c r="F3531"/>
  <c r="G3531" s="1"/>
  <c r="F3518"/>
  <c r="G3518" s="1"/>
  <c r="F3517"/>
  <c r="G3517" s="1"/>
  <c r="F3516"/>
  <c r="G3516" s="1"/>
  <c r="F3514"/>
  <c r="G3514" s="1"/>
  <c r="F3513"/>
  <c r="G3513" s="1"/>
  <c r="F3510"/>
  <c r="G3510" s="1"/>
  <c r="F3497"/>
  <c r="G3497" s="1"/>
  <c r="F3496"/>
  <c r="G3496" s="1"/>
  <c r="F3495"/>
  <c r="G3495" s="1"/>
  <c r="F3493"/>
  <c r="G3493" s="1"/>
  <c r="F3492"/>
  <c r="G3492" s="1"/>
  <c r="F3489"/>
  <c r="G3489" s="1"/>
  <c r="F3476"/>
  <c r="G3476" s="1"/>
  <c r="F3475"/>
  <c r="G3475" s="1"/>
  <c r="F3474"/>
  <c r="G3474" s="1"/>
  <c r="F3472"/>
  <c r="G3472" s="1"/>
  <c r="F3471"/>
  <c r="G3471" s="1"/>
  <c r="F3468"/>
  <c r="G3468" s="1"/>
  <c r="F3455"/>
  <c r="G3455" s="1"/>
  <c r="F3454"/>
  <c r="G3454" s="1"/>
  <c r="F3453"/>
  <c r="G3453" s="1"/>
  <c r="F3451"/>
  <c r="G3451" s="1"/>
  <c r="F3450"/>
  <c r="G3450" s="1"/>
  <c r="F3447"/>
  <c r="G3447" s="1"/>
  <c r="F3434"/>
  <c r="G3434" s="1"/>
  <c r="F3433"/>
  <c r="G3433" s="1"/>
  <c r="F3432"/>
  <c r="G3432" s="1"/>
  <c r="F3430"/>
  <c r="G3430" s="1"/>
  <c r="F3429"/>
  <c r="G3429" s="1"/>
  <c r="F3426"/>
  <c r="G3426" s="1"/>
  <c r="F3413"/>
  <c r="G3413" s="1"/>
  <c r="F3412"/>
  <c r="G3412" s="1"/>
  <c r="F3411"/>
  <c r="G3411" s="1"/>
  <c r="F3409"/>
  <c r="G3409" s="1"/>
  <c r="F3408"/>
  <c r="G3408" s="1"/>
  <c r="F3405"/>
  <c r="G3405" s="1"/>
  <c r="G3395"/>
  <c r="F3392"/>
  <c r="G3392" s="1"/>
  <c r="F3391"/>
  <c r="G3391" s="1"/>
  <c r="F3390"/>
  <c r="G3390" s="1"/>
  <c r="F3388"/>
  <c r="G3388" s="1"/>
  <c r="F3387"/>
  <c r="G3387" s="1"/>
  <c r="F3384"/>
  <c r="G3384" s="1"/>
  <c r="F3371"/>
  <c r="G3371" s="1"/>
  <c r="F3370"/>
  <c r="G3370" s="1"/>
  <c r="F3369"/>
  <c r="G3369" s="1"/>
  <c r="F3367"/>
  <c r="G3367" s="1"/>
  <c r="F3366"/>
  <c r="G3366" s="1"/>
  <c r="F3363"/>
  <c r="G3363" s="1"/>
  <c r="G3353"/>
  <c r="F3350"/>
  <c r="G3350" s="1"/>
  <c r="F3349"/>
  <c r="G3349" s="1"/>
  <c r="F3348"/>
  <c r="G3348" s="1"/>
  <c r="F3346"/>
  <c r="G3346" s="1"/>
  <c r="F3345"/>
  <c r="G3345" s="1"/>
  <c r="F3342"/>
  <c r="G3342" s="1"/>
  <c r="F3329"/>
  <c r="G3329" s="1"/>
  <c r="F3328"/>
  <c r="G3328" s="1"/>
  <c r="F3327"/>
  <c r="G3327" s="1"/>
  <c r="F3325"/>
  <c r="G3325" s="1"/>
  <c r="F3324"/>
  <c r="G3324" s="1"/>
  <c r="F3321"/>
  <c r="G3321" s="1"/>
  <c r="F2565"/>
  <c r="G2565" s="1"/>
  <c r="F2564"/>
  <c r="G2564" s="1"/>
  <c r="F2563"/>
  <c r="G2563" s="1"/>
  <c r="G2562"/>
  <c r="F2561"/>
  <c r="G2561" s="1"/>
  <c r="F2560"/>
  <c r="G2560" s="1"/>
  <c r="F2557"/>
  <c r="G2557" s="1"/>
  <c r="F2544"/>
  <c r="G2544" s="1"/>
  <c r="G2545" s="1"/>
  <c r="F2541"/>
  <c r="G2541" s="1"/>
  <c r="F2540"/>
  <c r="G2540" s="1"/>
  <c r="F2539"/>
  <c r="G2539" s="1"/>
  <c r="G2538"/>
  <c r="F2537"/>
  <c r="G2537" s="1"/>
  <c r="F2536"/>
  <c r="G2536" s="1"/>
  <c r="G2535"/>
  <c r="F2534"/>
  <c r="G2534" s="1"/>
  <c r="F2533"/>
  <c r="G2533" s="1"/>
  <c r="F2530"/>
  <c r="G2530" s="1"/>
  <c r="F2527"/>
  <c r="G2527" s="1"/>
  <c r="F2518"/>
  <c r="G2518" s="1"/>
  <c r="G2519" s="1"/>
  <c r="F2515"/>
  <c r="G2515" s="1"/>
  <c r="F2514"/>
  <c r="G2514" s="1"/>
  <c r="F2513"/>
  <c r="G2513" s="1"/>
  <c r="G2512"/>
  <c r="F2511"/>
  <c r="G2511" s="1"/>
  <c r="F2510"/>
  <c r="G2510" s="1"/>
  <c r="G2509"/>
  <c r="F2508"/>
  <c r="G2508" s="1"/>
  <c r="F2507"/>
  <c r="G2507" s="1"/>
  <c r="F2504"/>
  <c r="G2504" s="1"/>
  <c r="F2501"/>
  <c r="G2501" s="1"/>
  <c r="F2492"/>
  <c r="G2492" s="1"/>
  <c r="G2493" s="1"/>
  <c r="F2489"/>
  <c r="G2489" s="1"/>
  <c r="F2488"/>
  <c r="G2488" s="1"/>
  <c r="F2487"/>
  <c r="G2487" s="1"/>
  <c r="G2486"/>
  <c r="F2485"/>
  <c r="G2485" s="1"/>
  <c r="F2484"/>
  <c r="G2484" s="1"/>
  <c r="G2483"/>
  <c r="F2482"/>
  <c r="G2482" s="1"/>
  <c r="F2481"/>
  <c r="G2481" s="1"/>
  <c r="F2478"/>
  <c r="G2478" s="1"/>
  <c r="F2475"/>
  <c r="G2475" s="1"/>
  <c r="F2466"/>
  <c r="G2466" s="1"/>
  <c r="G2467" s="1"/>
  <c r="F2463"/>
  <c r="G2463" s="1"/>
  <c r="F2462"/>
  <c r="G2462" s="1"/>
  <c r="F2461"/>
  <c r="G2461" s="1"/>
  <c r="G2460"/>
  <c r="F2459"/>
  <c r="G2459" s="1"/>
  <c r="F2458"/>
  <c r="G2458" s="1"/>
  <c r="G2457"/>
  <c r="F2456"/>
  <c r="G2456" s="1"/>
  <c r="F2455"/>
  <c r="G2455" s="1"/>
  <c r="F2452"/>
  <c r="G2452" s="1"/>
  <c r="F2449"/>
  <c r="G2449" s="1"/>
  <c r="F2440"/>
  <c r="G2440" s="1"/>
  <c r="G2441" s="1"/>
  <c r="F2437"/>
  <c r="G2437" s="1"/>
  <c r="F2436"/>
  <c r="G2436" s="1"/>
  <c r="F2435"/>
  <c r="G2435" s="1"/>
  <c r="G2434"/>
  <c r="F2433"/>
  <c r="G2433" s="1"/>
  <c r="F2432"/>
  <c r="G2432" s="1"/>
  <c r="G2431"/>
  <c r="F2430"/>
  <c r="G2430" s="1"/>
  <c r="F2429"/>
  <c r="G2429" s="1"/>
  <c r="F2426"/>
  <c r="G2426" s="1"/>
  <c r="F2423"/>
  <c r="G2423" s="1"/>
  <c r="F2414"/>
  <c r="G2414" s="1"/>
  <c r="G2415" s="1"/>
  <c r="F2411"/>
  <c r="G2411" s="1"/>
  <c r="F2410"/>
  <c r="G2410" s="1"/>
  <c r="F2409"/>
  <c r="G2409" s="1"/>
  <c r="G2408"/>
  <c r="F2407"/>
  <c r="G2407" s="1"/>
  <c r="F2406"/>
  <c r="G2406" s="1"/>
  <c r="G2405"/>
  <c r="F2404"/>
  <c r="G2404" s="1"/>
  <c r="F2403"/>
  <c r="G2403" s="1"/>
  <c r="F2400"/>
  <c r="G2400" s="1"/>
  <c r="F2397"/>
  <c r="G2397" s="1"/>
  <c r="F2388"/>
  <c r="G2388" s="1"/>
  <c r="G2389" s="1"/>
  <c r="F2385"/>
  <c r="G2385" s="1"/>
  <c r="F2384"/>
  <c r="G2384" s="1"/>
  <c r="F2383"/>
  <c r="G2383" s="1"/>
  <c r="G2382"/>
  <c r="F2381"/>
  <c r="G2381" s="1"/>
  <c r="F2380"/>
  <c r="G2380" s="1"/>
  <c r="G2379"/>
  <c r="F2378"/>
  <c r="G2378" s="1"/>
  <c r="F2377"/>
  <c r="G2377" s="1"/>
  <c r="F2374"/>
  <c r="G2374" s="1"/>
  <c r="F2371"/>
  <c r="G2371" s="1"/>
  <c r="F2361"/>
  <c r="G2361" s="1"/>
  <c r="G2362" s="1"/>
  <c r="F2358"/>
  <c r="G2358" s="1"/>
  <c r="F2357"/>
  <c r="G2357" s="1"/>
  <c r="F2356"/>
  <c r="G2356" s="1"/>
  <c r="G2355"/>
  <c r="F2354"/>
  <c r="G2354" s="1"/>
  <c r="F2353"/>
  <c r="G2353" s="1"/>
  <c r="G2352"/>
  <c r="F2351"/>
  <c r="G2351" s="1"/>
  <c r="F2350"/>
  <c r="G2350" s="1"/>
  <c r="F2347"/>
  <c r="G2347" s="1"/>
  <c r="F2344"/>
  <c r="G2344" s="1"/>
  <c r="F2335"/>
  <c r="G2335" s="1"/>
  <c r="G2336" s="1"/>
  <c r="F2332"/>
  <c r="G2332" s="1"/>
  <c r="F2331"/>
  <c r="G2331" s="1"/>
  <c r="F2330"/>
  <c r="G2330" s="1"/>
  <c r="G2329"/>
  <c r="F2328"/>
  <c r="G2328" s="1"/>
  <c r="F2327"/>
  <c r="G2327" s="1"/>
  <c r="G2326"/>
  <c r="F2325"/>
  <c r="G2325" s="1"/>
  <c r="F2324"/>
  <c r="G2324" s="1"/>
  <c r="F2321"/>
  <c r="G2321" s="1"/>
  <c r="F2318"/>
  <c r="G2318" s="1"/>
  <c r="F2309"/>
  <c r="G2309" s="1"/>
  <c r="G2310" s="1"/>
  <c r="F2306"/>
  <c r="G2306" s="1"/>
  <c r="F2305"/>
  <c r="G2305" s="1"/>
  <c r="F2304"/>
  <c r="G2304" s="1"/>
  <c r="G2303"/>
  <c r="F2302"/>
  <c r="G2302" s="1"/>
  <c r="F2301"/>
  <c r="G2301" s="1"/>
  <c r="G2300"/>
  <c r="F2299"/>
  <c r="G2299" s="1"/>
  <c r="F2298"/>
  <c r="G2298" s="1"/>
  <c r="F2295"/>
  <c r="G2295" s="1"/>
  <c r="F2292"/>
  <c r="G2292" s="1"/>
  <c r="F2283"/>
  <c r="G2283" s="1"/>
  <c r="G2284" s="1"/>
  <c r="F2280"/>
  <c r="G2280" s="1"/>
  <c r="F2279"/>
  <c r="G2279" s="1"/>
  <c r="F2278"/>
  <c r="G2278" s="1"/>
  <c r="G2277"/>
  <c r="F2276"/>
  <c r="G2276" s="1"/>
  <c r="F2275"/>
  <c r="G2275" s="1"/>
  <c r="G2274"/>
  <c r="F2273"/>
  <c r="G2273" s="1"/>
  <c r="F2272"/>
  <c r="G2272" s="1"/>
  <c r="F2269"/>
  <c r="G2269" s="1"/>
  <c r="F2266"/>
  <c r="G2266" s="1"/>
  <c r="F2257"/>
  <c r="G2257" s="1"/>
  <c r="G2258" s="1"/>
  <c r="F2254"/>
  <c r="G2254" s="1"/>
  <c r="F2253"/>
  <c r="G2253" s="1"/>
  <c r="F2252"/>
  <c r="G2252" s="1"/>
  <c r="G2251"/>
  <c r="F2250"/>
  <c r="G2250" s="1"/>
  <c r="F2249"/>
  <c r="G2249" s="1"/>
  <c r="G2248"/>
  <c r="F2247"/>
  <c r="G2247" s="1"/>
  <c r="F2246"/>
  <c r="G2246" s="1"/>
  <c r="F2243"/>
  <c r="G2243" s="1"/>
  <c r="F2240"/>
  <c r="G2240" s="1"/>
  <c r="F2231"/>
  <c r="G2231" s="1"/>
  <c r="G2232" s="1"/>
  <c r="F2228"/>
  <c r="G2228" s="1"/>
  <c r="F2227"/>
  <c r="G2227" s="1"/>
  <c r="F2226"/>
  <c r="G2226" s="1"/>
  <c r="G2225"/>
  <c r="F2224"/>
  <c r="G2224" s="1"/>
  <c r="F2223"/>
  <c r="G2223" s="1"/>
  <c r="G2222"/>
  <c r="F2221"/>
  <c r="G2221" s="1"/>
  <c r="F2220"/>
  <c r="G2220" s="1"/>
  <c r="F2217"/>
  <c r="G2217" s="1"/>
  <c r="F2214"/>
  <c r="G2214" s="1"/>
  <c r="F2205"/>
  <c r="G2205" s="1"/>
  <c r="G2206" s="1"/>
  <c r="F2202"/>
  <c r="G2202" s="1"/>
  <c r="F2201"/>
  <c r="G2201" s="1"/>
  <c r="F2200"/>
  <c r="G2200" s="1"/>
  <c r="F2198"/>
  <c r="G2198" s="1"/>
  <c r="F2197"/>
  <c r="G2197" s="1"/>
  <c r="F2195"/>
  <c r="G2195" s="1"/>
  <c r="F2194"/>
  <c r="G2194" s="1"/>
  <c r="F2191"/>
  <c r="G2191" s="1"/>
  <c r="F2188"/>
  <c r="G2188" s="1"/>
  <c r="F2178"/>
  <c r="G2178" s="1"/>
  <c r="G2179" s="1"/>
  <c r="F2175"/>
  <c r="G2175" s="1"/>
  <c r="F2174"/>
  <c r="G2174" s="1"/>
  <c r="F2173"/>
  <c r="G2173" s="1"/>
  <c r="F2171"/>
  <c r="G2171" s="1"/>
  <c r="F2170"/>
  <c r="G2170" s="1"/>
  <c r="F2168"/>
  <c r="G2168" s="1"/>
  <c r="F2167"/>
  <c r="G2167" s="1"/>
  <c r="F2164"/>
  <c r="G2164" s="1"/>
  <c r="F2161"/>
  <c r="G2161" s="1"/>
  <c r="F2152"/>
  <c r="G2152" s="1"/>
  <c r="G2153" s="1"/>
  <c r="F2149"/>
  <c r="G2149" s="1"/>
  <c r="F2148"/>
  <c r="G2148" s="1"/>
  <c r="F2147"/>
  <c r="G2147" s="1"/>
  <c r="G2146"/>
  <c r="F2145"/>
  <c r="G2145" s="1"/>
  <c r="F2144"/>
  <c r="G2144" s="1"/>
  <c r="F2142"/>
  <c r="G2142" s="1"/>
  <c r="F2141"/>
  <c r="G2141" s="1"/>
  <c r="F2138"/>
  <c r="G2138" s="1"/>
  <c r="F2135"/>
  <c r="G2135" s="1"/>
  <c r="F2126"/>
  <c r="G2126" s="1"/>
  <c r="G2127" s="1"/>
  <c r="F2123"/>
  <c r="G2123" s="1"/>
  <c r="F2122"/>
  <c r="G2122" s="1"/>
  <c r="F2121"/>
  <c r="G2121" s="1"/>
  <c r="G2120"/>
  <c r="F2119"/>
  <c r="G2119" s="1"/>
  <c r="F2118"/>
  <c r="G2118" s="1"/>
  <c r="G2117"/>
  <c r="F2116"/>
  <c r="G2116" s="1"/>
  <c r="F2115"/>
  <c r="G2115" s="1"/>
  <c r="F2112"/>
  <c r="G2112" s="1"/>
  <c r="F2109"/>
  <c r="G2109" s="1"/>
  <c r="F2100"/>
  <c r="G2100" s="1"/>
  <c r="G2101" s="1"/>
  <c r="F2097"/>
  <c r="G2097" s="1"/>
  <c r="F2096"/>
  <c r="G2096" s="1"/>
  <c r="F2095"/>
  <c r="G2095" s="1"/>
  <c r="G2094"/>
  <c r="F2093"/>
  <c r="G2093" s="1"/>
  <c r="F2092"/>
  <c r="G2092" s="1"/>
  <c r="G2091"/>
  <c r="F2090"/>
  <c r="G2090" s="1"/>
  <c r="F2089"/>
  <c r="G2089" s="1"/>
  <c r="F2086"/>
  <c r="G2086" s="1"/>
  <c r="F2083"/>
  <c r="G2083" s="1"/>
  <c r="F2074"/>
  <c r="G2074" s="1"/>
  <c r="G2075" s="1"/>
  <c r="F2071"/>
  <c r="G2071" s="1"/>
  <c r="F2070"/>
  <c r="G2070" s="1"/>
  <c r="F2069"/>
  <c r="G2069" s="1"/>
  <c r="G2068"/>
  <c r="F2067"/>
  <c r="G2067" s="1"/>
  <c r="F2066"/>
  <c r="G2066" s="1"/>
  <c r="G2065"/>
  <c r="F2064"/>
  <c r="G2064" s="1"/>
  <c r="F2063"/>
  <c r="G2063" s="1"/>
  <c r="F2060"/>
  <c r="G2060" s="1"/>
  <c r="F2057"/>
  <c r="G2057" s="1"/>
  <c r="F2048"/>
  <c r="G2048" s="1"/>
  <c r="G2049" s="1"/>
  <c r="F2045"/>
  <c r="G2045" s="1"/>
  <c r="F2044"/>
  <c r="G2044" s="1"/>
  <c r="F2043"/>
  <c r="G2043" s="1"/>
  <c r="G2042"/>
  <c r="F2041"/>
  <c r="G2041" s="1"/>
  <c r="F2040"/>
  <c r="G2040" s="1"/>
  <c r="G2039"/>
  <c r="F2038"/>
  <c r="G2038" s="1"/>
  <c r="F2037"/>
  <c r="G2037" s="1"/>
  <c r="F2034"/>
  <c r="G2034" s="1"/>
  <c r="F2031"/>
  <c r="G2031" s="1"/>
  <c r="F2022"/>
  <c r="G2022" s="1"/>
  <c r="G2023" s="1"/>
  <c r="F2019"/>
  <c r="G2019" s="1"/>
  <c r="F2018"/>
  <c r="G2018" s="1"/>
  <c r="F2017"/>
  <c r="G2017" s="1"/>
  <c r="G2016"/>
  <c r="F2015"/>
  <c r="G2015" s="1"/>
  <c r="F2014"/>
  <c r="G2014" s="1"/>
  <c r="G2013"/>
  <c r="F2012"/>
  <c r="G2012" s="1"/>
  <c r="F2011"/>
  <c r="G2011" s="1"/>
  <c r="F2008"/>
  <c r="G2008" s="1"/>
  <c r="F2005"/>
  <c r="G2005" s="1"/>
  <c r="F1996"/>
  <c r="G1996" s="1"/>
  <c r="G1997" s="1"/>
  <c r="F1993"/>
  <c r="G1993" s="1"/>
  <c r="F1992"/>
  <c r="G1992" s="1"/>
  <c r="F1991"/>
  <c r="G1991" s="1"/>
  <c r="G1990"/>
  <c r="F1989"/>
  <c r="G1989" s="1"/>
  <c r="F1988"/>
  <c r="G1988" s="1"/>
  <c r="G1987"/>
  <c r="F1986"/>
  <c r="G1986" s="1"/>
  <c r="F1985"/>
  <c r="G1985" s="1"/>
  <c r="F1982"/>
  <c r="G1982" s="1"/>
  <c r="F1979"/>
  <c r="G1979" s="1"/>
  <c r="F1969"/>
  <c r="G1969" s="1"/>
  <c r="G1970" s="1"/>
  <c r="F1966"/>
  <c r="G1966" s="1"/>
  <c r="F1965"/>
  <c r="G1965" s="1"/>
  <c r="F1964"/>
  <c r="G1964" s="1"/>
  <c r="G1963"/>
  <c r="F1962"/>
  <c r="G1962" s="1"/>
  <c r="F1961"/>
  <c r="G1961" s="1"/>
  <c r="G1960"/>
  <c r="F1959"/>
  <c r="G1959" s="1"/>
  <c r="F1958"/>
  <c r="G1958" s="1"/>
  <c r="F1955"/>
  <c r="G1955" s="1"/>
  <c r="F1952"/>
  <c r="G1952" s="1"/>
  <c r="F1943"/>
  <c r="G1943" s="1"/>
  <c r="G1944" s="1"/>
  <c r="F1940"/>
  <c r="G1940" s="1"/>
  <c r="F1939"/>
  <c r="G1939" s="1"/>
  <c r="F1938"/>
  <c r="G1938" s="1"/>
  <c r="G1937"/>
  <c r="F1936"/>
  <c r="G1936" s="1"/>
  <c r="F1935"/>
  <c r="G1935" s="1"/>
  <c r="G1934"/>
  <c r="F1933"/>
  <c r="G1933" s="1"/>
  <c r="F1932"/>
  <c r="G1932" s="1"/>
  <c r="F1929"/>
  <c r="G1929" s="1"/>
  <c r="F1926"/>
  <c r="G1926" s="1"/>
  <c r="F1917"/>
  <c r="G1917" s="1"/>
  <c r="G1918" s="1"/>
  <c r="F1914"/>
  <c r="G1914" s="1"/>
  <c r="F1913"/>
  <c r="G1913" s="1"/>
  <c r="F1912"/>
  <c r="G1912" s="1"/>
  <c r="G1911"/>
  <c r="F1910"/>
  <c r="G1910" s="1"/>
  <c r="F1909"/>
  <c r="G1909" s="1"/>
  <c r="G1908"/>
  <c r="F1907"/>
  <c r="G1907" s="1"/>
  <c r="F1906"/>
  <c r="G1906" s="1"/>
  <c r="F1903"/>
  <c r="G1903" s="1"/>
  <c r="F1900"/>
  <c r="G1900" s="1"/>
  <c r="F1891"/>
  <c r="G1891" s="1"/>
  <c r="G1892" s="1"/>
  <c r="F1888"/>
  <c r="G1888" s="1"/>
  <c r="F1887"/>
  <c r="G1887" s="1"/>
  <c r="F1886"/>
  <c r="G1886" s="1"/>
  <c r="G1885"/>
  <c r="F1884"/>
  <c r="G1884" s="1"/>
  <c r="F1883"/>
  <c r="G1883" s="1"/>
  <c r="G1882"/>
  <c r="F1881"/>
  <c r="G1881" s="1"/>
  <c r="F1880"/>
  <c r="G1880" s="1"/>
  <c r="F1877"/>
  <c r="G1877" s="1"/>
  <c r="F1874"/>
  <c r="G1874" s="1"/>
  <c r="F1865"/>
  <c r="G1865" s="1"/>
  <c r="G1866" s="1"/>
  <c r="F1862"/>
  <c r="G1862" s="1"/>
  <c r="F1861"/>
  <c r="G1861" s="1"/>
  <c r="F1860"/>
  <c r="G1860" s="1"/>
  <c r="G1859"/>
  <c r="F1858"/>
  <c r="G1858" s="1"/>
  <c r="F1857"/>
  <c r="G1857" s="1"/>
  <c r="G1856"/>
  <c r="F1855"/>
  <c r="G1855" s="1"/>
  <c r="F1854"/>
  <c r="G1854" s="1"/>
  <c r="F1851"/>
  <c r="G1851" s="1"/>
  <c r="F1848"/>
  <c r="G1848" s="1"/>
  <c r="F1839"/>
  <c r="G1839" s="1"/>
  <c r="G1840" s="1"/>
  <c r="F1836"/>
  <c r="G1836" s="1"/>
  <c r="F1835"/>
  <c r="G1835" s="1"/>
  <c r="F1834"/>
  <c r="G1834" s="1"/>
  <c r="G1833"/>
  <c r="F1832"/>
  <c r="G1832" s="1"/>
  <c r="F1831"/>
  <c r="G1831" s="1"/>
  <c r="G1830"/>
  <c r="F1829"/>
  <c r="G1829" s="1"/>
  <c r="F1828"/>
  <c r="G1828" s="1"/>
  <c r="F1825"/>
  <c r="G1825" s="1"/>
  <c r="F1822"/>
  <c r="G1822" s="1"/>
  <c r="F1813"/>
  <c r="G1813" s="1"/>
  <c r="G1814" s="1"/>
  <c r="F1810"/>
  <c r="G1810" s="1"/>
  <c r="F1809"/>
  <c r="G1809" s="1"/>
  <c r="F1808"/>
  <c r="G1808" s="1"/>
  <c r="G1807"/>
  <c r="F1806"/>
  <c r="G1806" s="1"/>
  <c r="F1805"/>
  <c r="G1805" s="1"/>
  <c r="G1804"/>
  <c r="F1803"/>
  <c r="G1803" s="1"/>
  <c r="F1802"/>
  <c r="G1802" s="1"/>
  <c r="F1799"/>
  <c r="G1799" s="1"/>
  <c r="F1796"/>
  <c r="G1796" s="1"/>
  <c r="F1787"/>
  <c r="G1787" s="1"/>
  <c r="G1788" s="1"/>
  <c r="F1784"/>
  <c r="G1784" s="1"/>
  <c r="F1783"/>
  <c r="G1783" s="1"/>
  <c r="F1782"/>
  <c r="G1782" s="1"/>
  <c r="G1781"/>
  <c r="F1780"/>
  <c r="G1780" s="1"/>
  <c r="F1779"/>
  <c r="G1779" s="1"/>
  <c r="G1778"/>
  <c r="F1777"/>
  <c r="G1777" s="1"/>
  <c r="F1776"/>
  <c r="G1776" s="1"/>
  <c r="F1773"/>
  <c r="G1773" s="1"/>
  <c r="F1770"/>
  <c r="G1770" s="1"/>
  <c r="F1761"/>
  <c r="G1761" s="1"/>
  <c r="G1762" s="1"/>
  <c r="F1758"/>
  <c r="G1758" s="1"/>
  <c r="F1757"/>
  <c r="G1757" s="1"/>
  <c r="F1756"/>
  <c r="G1756" s="1"/>
  <c r="G1755"/>
  <c r="F1754"/>
  <c r="G1754" s="1"/>
  <c r="F1753"/>
  <c r="G1753" s="1"/>
  <c r="G1752"/>
  <c r="F1751"/>
  <c r="G1751" s="1"/>
  <c r="F1750"/>
  <c r="G1750" s="1"/>
  <c r="F1747"/>
  <c r="G1747" s="1"/>
  <c r="F1744"/>
  <c r="G1744" s="1"/>
  <c r="F1735"/>
  <c r="G1735" s="1"/>
  <c r="G1736" s="1"/>
  <c r="F1732"/>
  <c r="G1732" s="1"/>
  <c r="F1731"/>
  <c r="G1731" s="1"/>
  <c r="F1730"/>
  <c r="G1730" s="1"/>
  <c r="G1729"/>
  <c r="F1728"/>
  <c r="G1728" s="1"/>
  <c r="F1727"/>
  <c r="G1727" s="1"/>
  <c r="G1726"/>
  <c r="F1725"/>
  <c r="G1725" s="1"/>
  <c r="F1724"/>
  <c r="G1724" s="1"/>
  <c r="F1721"/>
  <c r="G1721" s="1"/>
  <c r="F1718"/>
  <c r="G1718" s="1"/>
  <c r="F1709"/>
  <c r="G1709" s="1"/>
  <c r="G1710" s="1"/>
  <c r="F1706"/>
  <c r="G1706" s="1"/>
  <c r="F1705"/>
  <c r="G1705" s="1"/>
  <c r="F1704"/>
  <c r="G1704" s="1"/>
  <c r="G1703"/>
  <c r="F1702"/>
  <c r="G1702" s="1"/>
  <c r="F1701"/>
  <c r="G1701" s="1"/>
  <c r="G1700"/>
  <c r="F1699"/>
  <c r="G1699" s="1"/>
  <c r="F1698"/>
  <c r="G1698" s="1"/>
  <c r="F1695"/>
  <c r="G1695" s="1"/>
  <c r="F1692"/>
  <c r="G1692" s="1"/>
  <c r="F1683"/>
  <c r="G1683" s="1"/>
  <c r="G1684" s="1"/>
  <c r="F1680"/>
  <c r="G1680" s="1"/>
  <c r="F1679"/>
  <c r="G1679" s="1"/>
  <c r="F1678"/>
  <c r="G1678" s="1"/>
  <c r="G1677"/>
  <c r="F1676"/>
  <c r="G1676" s="1"/>
  <c r="F1675"/>
  <c r="G1675" s="1"/>
  <c r="G1674"/>
  <c r="F1673"/>
  <c r="G1673" s="1"/>
  <c r="F1672"/>
  <c r="G1672" s="1"/>
  <c r="F1669"/>
  <c r="G1669" s="1"/>
  <c r="F1666"/>
  <c r="G1666" s="1"/>
  <c r="F1657"/>
  <c r="G1657" s="1"/>
  <c r="G1658" s="1"/>
  <c r="F1654"/>
  <c r="G1654" s="1"/>
  <c r="F1653"/>
  <c r="G1653" s="1"/>
  <c r="F1652"/>
  <c r="G1652" s="1"/>
  <c r="G1651"/>
  <c r="F1650"/>
  <c r="G1650" s="1"/>
  <c r="F1649"/>
  <c r="G1649" s="1"/>
  <c r="G1648"/>
  <c r="F1647"/>
  <c r="G1647" s="1"/>
  <c r="F1646"/>
  <c r="G1646" s="1"/>
  <c r="F1645"/>
  <c r="G1645" s="1"/>
  <c r="F1643"/>
  <c r="G1643" s="1"/>
  <c r="F1640"/>
  <c r="G1640" s="1"/>
  <c r="F1628"/>
  <c r="G1628" s="1"/>
  <c r="F1627"/>
  <c r="G1627" s="1"/>
  <c r="F1626"/>
  <c r="G1626" s="1"/>
  <c r="G1625"/>
  <c r="F1624"/>
  <c r="G1624" s="1"/>
  <c r="F1623"/>
  <c r="G1623" s="1"/>
  <c r="G1622"/>
  <c r="F1621"/>
  <c r="G1621" s="1"/>
  <c r="F1620"/>
  <c r="G1620" s="1"/>
  <c r="F1617"/>
  <c r="G1617" s="1"/>
  <c r="F1614"/>
  <c r="G1614" s="1"/>
  <c r="F1502"/>
  <c r="G1502" s="1"/>
  <c r="F1501"/>
  <c r="G1501" s="1"/>
  <c r="F1500"/>
  <c r="G1500" s="1"/>
  <c r="G1499"/>
  <c r="F1498"/>
  <c r="G1498" s="1"/>
  <c r="F1497"/>
  <c r="G1497" s="1"/>
  <c r="G1496"/>
  <c r="F1495"/>
  <c r="G1495" s="1"/>
  <c r="F1494"/>
  <c r="G1494" s="1"/>
  <c r="F1491"/>
  <c r="G1491" s="1"/>
  <c r="F1488"/>
  <c r="G1488" s="1"/>
  <c r="F1477"/>
  <c r="G1477" s="1"/>
  <c r="F1476"/>
  <c r="G1476" s="1"/>
  <c r="F1475"/>
  <c r="G1475" s="1"/>
  <c r="F1473"/>
  <c r="G1473" s="1"/>
  <c r="F1472"/>
  <c r="G1472" s="1"/>
  <c r="F1470"/>
  <c r="G1470" s="1"/>
  <c r="F1469"/>
  <c r="G1469" s="1"/>
  <c r="F1466"/>
  <c r="G1466" s="1"/>
  <c r="F1463"/>
  <c r="G1463" s="1"/>
  <c r="F1452"/>
  <c r="G1452" s="1"/>
  <c r="F1451"/>
  <c r="G1451" s="1"/>
  <c r="F1450"/>
  <c r="G1450" s="1"/>
  <c r="F1448"/>
  <c r="G1448" s="1"/>
  <c r="F1447"/>
  <c r="G1447" s="1"/>
  <c r="F1445"/>
  <c r="G1445" s="1"/>
  <c r="F1444"/>
  <c r="G1444" s="1"/>
  <c r="F1441"/>
  <c r="G1441" s="1"/>
  <c r="F1438"/>
  <c r="G1438" s="1"/>
  <c r="F1427"/>
  <c r="G1427" s="1"/>
  <c r="F1426"/>
  <c r="G1426" s="1"/>
  <c r="F1425"/>
  <c r="G1425" s="1"/>
  <c r="G1424"/>
  <c r="F1423"/>
  <c r="G1423" s="1"/>
  <c r="F1422"/>
  <c r="G1422" s="1"/>
  <c r="G1421"/>
  <c r="F1420"/>
  <c r="G1420" s="1"/>
  <c r="F1419"/>
  <c r="G1419" s="1"/>
  <c r="F1416"/>
  <c r="G1416" s="1"/>
  <c r="F1413"/>
  <c r="G1413" s="1"/>
  <c r="F1402"/>
  <c r="G1402" s="1"/>
  <c r="F1401"/>
  <c r="G1401" s="1"/>
  <c r="F1400"/>
  <c r="G1400" s="1"/>
  <c r="F1398"/>
  <c r="G1398" s="1"/>
  <c r="F1397"/>
  <c r="G1397" s="1"/>
  <c r="G1396"/>
  <c r="F1395"/>
  <c r="G1395" s="1"/>
  <c r="F1394"/>
  <c r="G1394" s="1"/>
  <c r="F1391"/>
  <c r="G1391" s="1"/>
  <c r="F1388"/>
  <c r="G1388" s="1"/>
  <c r="F1377"/>
  <c r="G1377" s="1"/>
  <c r="F1376"/>
  <c r="G1376" s="1"/>
  <c r="F1375"/>
  <c r="G1375" s="1"/>
  <c r="F1373"/>
  <c r="G1373" s="1"/>
  <c r="F1372"/>
  <c r="G1372" s="1"/>
  <c r="F1370"/>
  <c r="G1370" s="1"/>
  <c r="F1369"/>
  <c r="G1369" s="1"/>
  <c r="F1366"/>
  <c r="G1366" s="1"/>
  <c r="F1363"/>
  <c r="G1363" s="1"/>
  <c r="F1352"/>
  <c r="G1352" s="1"/>
  <c r="F1351"/>
  <c r="G1351" s="1"/>
  <c r="F1350"/>
  <c r="G1350" s="1"/>
  <c r="F1348"/>
  <c r="G1348" s="1"/>
  <c r="F1347"/>
  <c r="G1347" s="1"/>
  <c r="F1345"/>
  <c r="G1345" s="1"/>
  <c r="F1344"/>
  <c r="G1344" s="1"/>
  <c r="F1341"/>
  <c r="G1341" s="1"/>
  <c r="F1338"/>
  <c r="G1338" s="1"/>
  <c r="F1327"/>
  <c r="G1327" s="1"/>
  <c r="F1326"/>
  <c r="G1326" s="1"/>
  <c r="F1325"/>
  <c r="G1325" s="1"/>
  <c r="F1323"/>
  <c r="G1323" s="1"/>
  <c r="F1322"/>
  <c r="G1322" s="1"/>
  <c r="F1320"/>
  <c r="G1320" s="1"/>
  <c r="F1319"/>
  <c r="G1319" s="1"/>
  <c r="F1316"/>
  <c r="G1316" s="1"/>
  <c r="F1313"/>
  <c r="G1313" s="1"/>
  <c r="F1302"/>
  <c r="G1302" s="1"/>
  <c r="F1301"/>
  <c r="G1301" s="1"/>
  <c r="F1300"/>
  <c r="G1300" s="1"/>
  <c r="F1298"/>
  <c r="G1298" s="1"/>
  <c r="F1297"/>
  <c r="G1297" s="1"/>
  <c r="F1295"/>
  <c r="G1295" s="1"/>
  <c r="F1294"/>
  <c r="G1294" s="1"/>
  <c r="F1293"/>
  <c r="G1293" s="1"/>
  <c r="F1291"/>
  <c r="G1291" s="1"/>
  <c r="F1288"/>
  <c r="G1288" s="1"/>
  <c r="F1277"/>
  <c r="G1277" s="1"/>
  <c r="F1276"/>
  <c r="G1276" s="1"/>
  <c r="F1275"/>
  <c r="G1275" s="1"/>
  <c r="F1273"/>
  <c r="G1273" s="1"/>
  <c r="F1272"/>
  <c r="G1272" s="1"/>
  <c r="F1270"/>
  <c r="G1270" s="1"/>
  <c r="F1269"/>
  <c r="G1269" s="1"/>
  <c r="F1266"/>
  <c r="G1266" s="1"/>
  <c r="F1263"/>
  <c r="G1263" s="1"/>
  <c r="F1252"/>
  <c r="G1252" s="1"/>
  <c r="F1251"/>
  <c r="G1251" s="1"/>
  <c r="F1250"/>
  <c r="G1250" s="1"/>
  <c r="F1248"/>
  <c r="G1248" s="1"/>
  <c r="F1247"/>
  <c r="G1247" s="1"/>
  <c r="F1245"/>
  <c r="G1245" s="1"/>
  <c r="F1244"/>
  <c r="G1244" s="1"/>
  <c r="F1241"/>
  <c r="G1241" s="1"/>
  <c r="F1238"/>
  <c r="G1238" s="1"/>
  <c r="F1227"/>
  <c r="G1227" s="1"/>
  <c r="F1226"/>
  <c r="G1226" s="1"/>
  <c r="F1225"/>
  <c r="G1225" s="1"/>
  <c r="F1223"/>
  <c r="G1223" s="1"/>
  <c r="F1222"/>
  <c r="G1222" s="1"/>
  <c r="F1220"/>
  <c r="G1220" s="1"/>
  <c r="F1219"/>
  <c r="G1219" s="1"/>
  <c r="F1216"/>
  <c r="G1216" s="1"/>
  <c r="F1213"/>
  <c r="G1213" s="1"/>
  <c r="F1202"/>
  <c r="G1202" s="1"/>
  <c r="F1201"/>
  <c r="G1201" s="1"/>
  <c r="F1200"/>
  <c r="G1200" s="1"/>
  <c r="F1198"/>
  <c r="G1198" s="1"/>
  <c r="F1197"/>
  <c r="G1197" s="1"/>
  <c r="F1195"/>
  <c r="G1195" s="1"/>
  <c r="F1194"/>
  <c r="G1194" s="1"/>
  <c r="F1191"/>
  <c r="G1191" s="1"/>
  <c r="F1188"/>
  <c r="G1188" s="1"/>
  <c r="F1177"/>
  <c r="G1177" s="1"/>
  <c r="F1176"/>
  <c r="G1176" s="1"/>
  <c r="F1175"/>
  <c r="G1175" s="1"/>
  <c r="F1173"/>
  <c r="G1173" s="1"/>
  <c r="F1172"/>
  <c r="G1172" s="1"/>
  <c r="F1170"/>
  <c r="G1170" s="1"/>
  <c r="F1169"/>
  <c r="G1169" s="1"/>
  <c r="F1166"/>
  <c r="G1166" s="1"/>
  <c r="F1163"/>
  <c r="G1163" s="1"/>
  <c r="F1152"/>
  <c r="G1152" s="1"/>
  <c r="F1151"/>
  <c r="G1151" s="1"/>
  <c r="F1150"/>
  <c r="G1150" s="1"/>
  <c r="F1148"/>
  <c r="G1148" s="1"/>
  <c r="F1147"/>
  <c r="G1147" s="1"/>
  <c r="F1145"/>
  <c r="G1145" s="1"/>
  <c r="F1144"/>
  <c r="G1144" s="1"/>
  <c r="F1141"/>
  <c r="G1141" s="1"/>
  <c r="F1138"/>
  <c r="G1138" s="1"/>
  <c r="F1127"/>
  <c r="G1127" s="1"/>
  <c r="F1126"/>
  <c r="G1126" s="1"/>
  <c r="F1125"/>
  <c r="G1125" s="1"/>
  <c r="F1123"/>
  <c r="G1123" s="1"/>
  <c r="F1122"/>
  <c r="G1122" s="1"/>
  <c r="F1120"/>
  <c r="G1120" s="1"/>
  <c r="F1119"/>
  <c r="G1119" s="1"/>
  <c r="F1116"/>
  <c r="G1116" s="1"/>
  <c r="F1113"/>
  <c r="G1113" s="1"/>
  <c r="F1102"/>
  <c r="G1102" s="1"/>
  <c r="F1101"/>
  <c r="G1101" s="1"/>
  <c r="F1100"/>
  <c r="G1100" s="1"/>
  <c r="F1098"/>
  <c r="G1098" s="1"/>
  <c r="F1097"/>
  <c r="G1097" s="1"/>
  <c r="F1095"/>
  <c r="G1095" s="1"/>
  <c r="F1094"/>
  <c r="G1094" s="1"/>
  <c r="F1091"/>
  <c r="G1091" s="1"/>
  <c r="F1088"/>
  <c r="G1088" s="1"/>
  <c r="F1077"/>
  <c r="G1077" s="1"/>
  <c r="F1076"/>
  <c r="G1076" s="1"/>
  <c r="F1075"/>
  <c r="G1075" s="1"/>
  <c r="F1073"/>
  <c r="G1073" s="1"/>
  <c r="F1072"/>
  <c r="G1072" s="1"/>
  <c r="F1070"/>
  <c r="G1070" s="1"/>
  <c r="F1069"/>
  <c r="G1069" s="1"/>
  <c r="F1066"/>
  <c r="G1066" s="1"/>
  <c r="F1063"/>
  <c r="G1063" s="1"/>
  <c r="F951"/>
  <c r="G951" s="1"/>
  <c r="F950"/>
  <c r="G950" s="1"/>
  <c r="F949"/>
  <c r="G949" s="1"/>
  <c r="F947"/>
  <c r="G947" s="1"/>
  <c r="F946"/>
  <c r="G946" s="1"/>
  <c r="G945"/>
  <c r="F944"/>
  <c r="G944" s="1"/>
  <c r="F943"/>
  <c r="G943" s="1"/>
  <c r="F940"/>
  <c r="G940" s="1"/>
  <c r="F937"/>
  <c r="G937" s="1"/>
  <c r="F926"/>
  <c r="G926" s="1"/>
  <c r="F925"/>
  <c r="G925" s="1"/>
  <c r="F924"/>
  <c r="G924" s="1"/>
  <c r="G923"/>
  <c r="F922"/>
  <c r="G922" s="1"/>
  <c r="F921"/>
  <c r="G921" s="1"/>
  <c r="G920"/>
  <c r="F919"/>
  <c r="G919" s="1"/>
  <c r="F918"/>
  <c r="G918" s="1"/>
  <c r="F915"/>
  <c r="G915" s="1"/>
  <c r="F912"/>
  <c r="G912" s="1"/>
  <c r="F901"/>
  <c r="G901" s="1"/>
  <c r="F900"/>
  <c r="G900" s="1"/>
  <c r="F899"/>
  <c r="G899" s="1"/>
  <c r="F897"/>
  <c r="G897" s="1"/>
  <c r="F896"/>
  <c r="G896" s="1"/>
  <c r="F894"/>
  <c r="G894" s="1"/>
  <c r="F893"/>
  <c r="G893" s="1"/>
  <c r="F890"/>
  <c r="G890" s="1"/>
  <c r="F887"/>
  <c r="G887" s="1"/>
  <c r="F876"/>
  <c r="G876" s="1"/>
  <c r="F875"/>
  <c r="G875" s="1"/>
  <c r="F874"/>
  <c r="G874" s="1"/>
  <c r="F872"/>
  <c r="G872" s="1"/>
  <c r="F871"/>
  <c r="G871" s="1"/>
  <c r="F869"/>
  <c r="G869" s="1"/>
  <c r="F868"/>
  <c r="G868" s="1"/>
  <c r="F865"/>
  <c r="G865" s="1"/>
  <c r="F862"/>
  <c r="G862" s="1"/>
  <c r="F851"/>
  <c r="G851" s="1"/>
  <c r="F850"/>
  <c r="G850" s="1"/>
  <c r="F849"/>
  <c r="G849" s="1"/>
  <c r="F847"/>
  <c r="G847" s="1"/>
  <c r="F846"/>
  <c r="G846" s="1"/>
  <c r="F844"/>
  <c r="G844" s="1"/>
  <c r="F843"/>
  <c r="G843" s="1"/>
  <c r="F840"/>
  <c r="G840" s="1"/>
  <c r="F837"/>
  <c r="G837" s="1"/>
  <c r="F826"/>
  <c r="G826" s="1"/>
  <c r="F825"/>
  <c r="G825" s="1"/>
  <c r="F824"/>
  <c r="G824" s="1"/>
  <c r="F822"/>
  <c r="G822" s="1"/>
  <c r="F821"/>
  <c r="G821" s="1"/>
  <c r="F819"/>
  <c r="G819" s="1"/>
  <c r="F818"/>
  <c r="G818" s="1"/>
  <c r="F815"/>
  <c r="G815" s="1"/>
  <c r="F812"/>
  <c r="G812" s="1"/>
  <c r="F801"/>
  <c r="G801" s="1"/>
  <c r="F800"/>
  <c r="G800" s="1"/>
  <c r="F799"/>
  <c r="G799" s="1"/>
  <c r="F797"/>
  <c r="G797" s="1"/>
  <c r="F796"/>
  <c r="G796" s="1"/>
  <c r="F794"/>
  <c r="G794" s="1"/>
  <c r="F793"/>
  <c r="G793" s="1"/>
  <c r="F790"/>
  <c r="G790" s="1"/>
  <c r="F787"/>
  <c r="G787" s="1"/>
  <c r="F776"/>
  <c r="G776" s="1"/>
  <c r="F775"/>
  <c r="G775" s="1"/>
  <c r="F774"/>
  <c r="G774" s="1"/>
  <c r="F772"/>
  <c r="G772" s="1"/>
  <c r="F771"/>
  <c r="G771" s="1"/>
  <c r="F769"/>
  <c r="G769" s="1"/>
  <c r="F768"/>
  <c r="G768" s="1"/>
  <c r="F765"/>
  <c r="G765" s="1"/>
  <c r="F762"/>
  <c r="G762" s="1"/>
  <c r="F750"/>
  <c r="G750" s="1"/>
  <c r="F749"/>
  <c r="G749" s="1"/>
  <c r="F748"/>
  <c r="G748" s="1"/>
  <c r="F746"/>
  <c r="G746" s="1"/>
  <c r="F745"/>
  <c r="G745" s="1"/>
  <c r="F743"/>
  <c r="G743" s="1"/>
  <c r="F742"/>
  <c r="G742" s="1"/>
  <c r="F739"/>
  <c r="G739" s="1"/>
  <c r="F736"/>
  <c r="G736" s="1"/>
  <c r="F725"/>
  <c r="G725" s="1"/>
  <c r="F724"/>
  <c r="G724" s="1"/>
  <c r="F723"/>
  <c r="G723" s="1"/>
  <c r="F721"/>
  <c r="G721" s="1"/>
  <c r="F720"/>
  <c r="G720" s="1"/>
  <c r="F718"/>
  <c r="G718" s="1"/>
  <c r="F717"/>
  <c r="G717" s="1"/>
  <c r="F714"/>
  <c r="G714" s="1"/>
  <c r="F711"/>
  <c r="G711" s="1"/>
  <c r="F699"/>
  <c r="G699" s="1"/>
  <c r="F698"/>
  <c r="G698" s="1"/>
  <c r="F697"/>
  <c r="G697" s="1"/>
  <c r="F695"/>
  <c r="G695" s="1"/>
  <c r="F694"/>
  <c r="G694" s="1"/>
  <c r="F692"/>
  <c r="G692" s="1"/>
  <c r="F691"/>
  <c r="G691" s="1"/>
  <c r="F688"/>
  <c r="G688" s="1"/>
  <c r="F675"/>
  <c r="G675" s="1"/>
  <c r="F674"/>
  <c r="G674" s="1"/>
  <c r="F673"/>
  <c r="G673" s="1"/>
  <c r="F671"/>
  <c r="G671" s="1"/>
  <c r="F670"/>
  <c r="G670" s="1"/>
  <c r="F668"/>
  <c r="G668" s="1"/>
  <c r="F667"/>
  <c r="G667" s="1"/>
  <c r="F664"/>
  <c r="G664" s="1"/>
  <c r="F651"/>
  <c r="G651" s="1"/>
  <c r="F650"/>
  <c r="G650" s="1"/>
  <c r="F649"/>
  <c r="G649" s="1"/>
  <c r="F647"/>
  <c r="G647" s="1"/>
  <c r="F646"/>
  <c r="G646" s="1"/>
  <c r="F644"/>
  <c r="G644" s="1"/>
  <c r="F643"/>
  <c r="G643" s="1"/>
  <c r="F640"/>
  <c r="G640" s="1"/>
  <c r="F627"/>
  <c r="G627" s="1"/>
  <c r="F626"/>
  <c r="G626" s="1"/>
  <c r="F625"/>
  <c r="G625" s="1"/>
  <c r="F623"/>
  <c r="G623" s="1"/>
  <c r="F622"/>
  <c r="G622" s="1"/>
  <c r="F620"/>
  <c r="G620" s="1"/>
  <c r="F619"/>
  <c r="G619" s="1"/>
  <c r="F616"/>
  <c r="G616" s="1"/>
  <c r="F603"/>
  <c r="G603" s="1"/>
  <c r="F602"/>
  <c r="G602" s="1"/>
  <c r="F601"/>
  <c r="G601" s="1"/>
  <c r="F599"/>
  <c r="G599" s="1"/>
  <c r="F598"/>
  <c r="G598" s="1"/>
  <c r="F596"/>
  <c r="G596" s="1"/>
  <c r="F595"/>
  <c r="G595" s="1"/>
  <c r="F592"/>
  <c r="G592" s="1"/>
  <c r="F579"/>
  <c r="G579" s="1"/>
  <c r="F578"/>
  <c r="G578" s="1"/>
  <c r="F577"/>
  <c r="G577" s="1"/>
  <c r="F575"/>
  <c r="G575" s="1"/>
  <c r="F574"/>
  <c r="G574" s="1"/>
  <c r="F572"/>
  <c r="G572" s="1"/>
  <c r="F571"/>
  <c r="G571" s="1"/>
  <c r="F568"/>
  <c r="G568" s="1"/>
  <c r="F555"/>
  <c r="G555" s="1"/>
  <c r="F554"/>
  <c r="G554" s="1"/>
  <c r="F553"/>
  <c r="G553" s="1"/>
  <c r="F551"/>
  <c r="G551" s="1"/>
  <c r="F550"/>
  <c r="G550" s="1"/>
  <c r="F548"/>
  <c r="G548" s="1"/>
  <c r="F547"/>
  <c r="G547" s="1"/>
  <c r="F544"/>
  <c r="G544" s="1"/>
  <c r="F531"/>
  <c r="G531" s="1"/>
  <c r="F530"/>
  <c r="G530" s="1"/>
  <c r="F529"/>
  <c r="G529" s="1"/>
  <c r="F527"/>
  <c r="G527" s="1"/>
  <c r="F526"/>
  <c r="G526" s="1"/>
  <c r="F524"/>
  <c r="G524" s="1"/>
  <c r="F523"/>
  <c r="G523" s="1"/>
  <c r="F520"/>
  <c r="G520" s="1"/>
  <c r="F507"/>
  <c r="G507" s="1"/>
  <c r="F506"/>
  <c r="G506" s="1"/>
  <c r="F505"/>
  <c r="G505" s="1"/>
  <c r="F503"/>
  <c r="G503" s="1"/>
  <c r="F502"/>
  <c r="G502" s="1"/>
  <c r="F500"/>
  <c r="G500" s="1"/>
  <c r="F499"/>
  <c r="G499" s="1"/>
  <c r="F496"/>
  <c r="G496" s="1"/>
  <c r="F483"/>
  <c r="G483" s="1"/>
  <c r="F482"/>
  <c r="G482" s="1"/>
  <c r="F481"/>
  <c r="G481" s="1"/>
  <c r="F479"/>
  <c r="G479" s="1"/>
  <c r="F478"/>
  <c r="G478" s="1"/>
  <c r="G477"/>
  <c r="F476"/>
  <c r="G476" s="1"/>
  <c r="F475"/>
  <c r="G475" s="1"/>
  <c r="F472"/>
  <c r="G472" s="1"/>
  <c r="F459"/>
  <c r="G459" s="1"/>
  <c r="F458"/>
  <c r="G458" s="1"/>
  <c r="F457"/>
  <c r="G457" s="1"/>
  <c r="F455"/>
  <c r="G455" s="1"/>
  <c r="F454"/>
  <c r="G454" s="1"/>
  <c r="G453"/>
  <c r="F452"/>
  <c r="G452" s="1"/>
  <c r="F451"/>
  <c r="G451" s="1"/>
  <c r="F448"/>
  <c r="G448" s="1"/>
  <c r="F435"/>
  <c r="G435" s="1"/>
  <c r="F434"/>
  <c r="G434" s="1"/>
  <c r="F433"/>
  <c r="G433" s="1"/>
  <c r="F431"/>
  <c r="G431" s="1"/>
  <c r="F430"/>
  <c r="G430" s="1"/>
  <c r="G429"/>
  <c r="F428"/>
  <c r="G428" s="1"/>
  <c r="F427"/>
  <c r="G427" s="1"/>
  <c r="F424"/>
  <c r="G424" s="1"/>
  <c r="F410"/>
  <c r="G410" s="1"/>
  <c r="F409"/>
  <c r="G409" s="1"/>
  <c r="F408"/>
  <c r="G408" s="1"/>
  <c r="F406"/>
  <c r="G406" s="1"/>
  <c r="F405"/>
  <c r="G405" s="1"/>
  <c r="G404"/>
  <c r="F403"/>
  <c r="G403" s="1"/>
  <c r="F402"/>
  <c r="G402" s="1"/>
  <c r="F399"/>
  <c r="G399" s="1"/>
  <c r="F386"/>
  <c r="G386" s="1"/>
  <c r="F385"/>
  <c r="G385" s="1"/>
  <c r="F384"/>
  <c r="G384" s="1"/>
  <c r="F382"/>
  <c r="G382" s="1"/>
  <c r="F381"/>
  <c r="G381" s="1"/>
  <c r="G380"/>
  <c r="F379"/>
  <c r="G379" s="1"/>
  <c r="F378"/>
  <c r="G378" s="1"/>
  <c r="F375"/>
  <c r="G375" s="1"/>
  <c r="F362"/>
  <c r="G362" s="1"/>
  <c r="F361"/>
  <c r="G361" s="1"/>
  <c r="F360"/>
  <c r="G360" s="1"/>
  <c r="F358"/>
  <c r="G358" s="1"/>
  <c r="F357"/>
  <c r="G357" s="1"/>
  <c r="G356"/>
  <c r="F355"/>
  <c r="G355" s="1"/>
  <c r="F354"/>
  <c r="G354" s="1"/>
  <c r="F351"/>
  <c r="G351" s="1"/>
  <c r="F338"/>
  <c r="G338" s="1"/>
  <c r="F337"/>
  <c r="G337" s="1"/>
  <c r="F336"/>
  <c r="G336" s="1"/>
  <c r="F334"/>
  <c r="G334" s="1"/>
  <c r="F333"/>
  <c r="G333" s="1"/>
  <c r="G332"/>
  <c r="F331"/>
  <c r="G331" s="1"/>
  <c r="F330"/>
  <c r="G330" s="1"/>
  <c r="F327"/>
  <c r="G327" s="1"/>
  <c r="F314"/>
  <c r="G314" s="1"/>
  <c r="F313"/>
  <c r="G313" s="1"/>
  <c r="F312"/>
  <c r="G312" s="1"/>
  <c r="G311"/>
  <c r="F310"/>
  <c r="G310" s="1"/>
  <c r="F309"/>
  <c r="G309" s="1"/>
  <c r="G308"/>
  <c r="F307"/>
  <c r="G307" s="1"/>
  <c r="F306"/>
  <c r="G306" s="1"/>
  <c r="F303"/>
  <c r="G303" s="1"/>
  <c r="F290"/>
  <c r="G290" s="1"/>
  <c r="F289"/>
  <c r="G289" s="1"/>
  <c r="F288"/>
  <c r="G288" s="1"/>
  <c r="G287"/>
  <c r="F286"/>
  <c r="G286" s="1"/>
  <c r="F285"/>
  <c r="G285" s="1"/>
  <c r="F283"/>
  <c r="G283" s="1"/>
  <c r="F282"/>
  <c r="G282" s="1"/>
  <c r="F279"/>
  <c r="G279" s="1"/>
  <c r="F265"/>
  <c r="G265" s="1"/>
  <c r="F264"/>
  <c r="G264" s="1"/>
  <c r="F263"/>
  <c r="G263" s="1"/>
  <c r="G262"/>
  <c r="F261"/>
  <c r="G261" s="1"/>
  <c r="F260"/>
  <c r="G260" s="1"/>
  <c r="G259"/>
  <c r="F258"/>
  <c r="G258" s="1"/>
  <c r="F257"/>
  <c r="G257" s="1"/>
  <c r="F254"/>
  <c r="G254" s="1"/>
  <c r="F241"/>
  <c r="G241" s="1"/>
  <c r="F240"/>
  <c r="G240" s="1"/>
  <c r="F239"/>
  <c r="G239" s="1"/>
  <c r="G238"/>
  <c r="F237"/>
  <c r="G237" s="1"/>
  <c r="F236"/>
  <c r="G236" s="1"/>
  <c r="G235"/>
  <c r="F234"/>
  <c r="G234" s="1"/>
  <c r="F233"/>
  <c r="G233" s="1"/>
  <c r="F230"/>
  <c r="G230" s="1"/>
  <c r="F217"/>
  <c r="G217" s="1"/>
  <c r="F216"/>
  <c r="G216" s="1"/>
  <c r="F215"/>
  <c r="G215" s="1"/>
  <c r="G214"/>
  <c r="F213"/>
  <c r="G213" s="1"/>
  <c r="F212"/>
  <c r="G212" s="1"/>
  <c r="G211"/>
  <c r="F210"/>
  <c r="G210" s="1"/>
  <c r="F209"/>
  <c r="G209" s="1"/>
  <c r="F206"/>
  <c r="G206" s="1"/>
  <c r="F193"/>
  <c r="G193" s="1"/>
  <c r="F192"/>
  <c r="G192" s="1"/>
  <c r="F191"/>
  <c r="G191" s="1"/>
  <c r="G190"/>
  <c r="F189"/>
  <c r="G189" s="1"/>
  <c r="F188"/>
  <c r="G188" s="1"/>
  <c r="G187"/>
  <c r="F186"/>
  <c r="G186" s="1"/>
  <c r="F185"/>
  <c r="G185" s="1"/>
  <c r="F182"/>
  <c r="G182" s="1"/>
  <c r="F169"/>
  <c r="G169" s="1"/>
  <c r="F168"/>
  <c r="G168" s="1"/>
  <c r="F167"/>
  <c r="G167" s="1"/>
  <c r="G166"/>
  <c r="F165"/>
  <c r="G165" s="1"/>
  <c r="F164"/>
  <c r="G164" s="1"/>
  <c r="G163"/>
  <c r="F162"/>
  <c r="G162" s="1"/>
  <c r="F161"/>
  <c r="G161" s="1"/>
  <c r="F158"/>
  <c r="G158" s="1"/>
  <c r="F145"/>
  <c r="G145" s="1"/>
  <c r="F144"/>
  <c r="G144" s="1"/>
  <c r="F143"/>
  <c r="G143" s="1"/>
  <c r="G142"/>
  <c r="F141"/>
  <c r="G141" s="1"/>
  <c r="F140"/>
  <c r="G140" s="1"/>
  <c r="G139"/>
  <c r="F138"/>
  <c r="G138" s="1"/>
  <c r="F137"/>
  <c r="G137" s="1"/>
  <c r="F134"/>
  <c r="G134" s="1"/>
  <c r="F120"/>
  <c r="G120" s="1"/>
  <c r="F119"/>
  <c r="G119" s="1"/>
  <c r="F118"/>
  <c r="G118" s="1"/>
  <c r="G117"/>
  <c r="F116"/>
  <c r="G116" s="1"/>
  <c r="F115"/>
  <c r="G115" s="1"/>
  <c r="G114"/>
  <c r="F113"/>
  <c r="G113" s="1"/>
  <c r="F112"/>
  <c r="G112" s="1"/>
  <c r="F109"/>
  <c r="G109" s="1"/>
  <c r="F95"/>
  <c r="G95" s="1"/>
  <c r="F94"/>
  <c r="G94" s="1"/>
  <c r="F93"/>
  <c r="G93" s="1"/>
  <c r="G92"/>
  <c r="F91"/>
  <c r="G91" s="1"/>
  <c r="F90"/>
  <c r="G90" s="1"/>
  <c r="G89"/>
  <c r="F88"/>
  <c r="G88" s="1"/>
  <c r="F87"/>
  <c r="G87" s="1"/>
  <c r="F84"/>
  <c r="G84" s="1"/>
  <c r="F70"/>
  <c r="G70" s="1"/>
  <c r="F69"/>
  <c r="G69" s="1"/>
  <c r="F68"/>
  <c r="G68" s="1"/>
  <c r="G67"/>
  <c r="F66"/>
  <c r="G66" s="1"/>
  <c r="F65"/>
  <c r="G65" s="1"/>
  <c r="G64"/>
  <c r="F63"/>
  <c r="G63" s="1"/>
  <c r="F62"/>
  <c r="G62" s="1"/>
  <c r="F59"/>
  <c r="G59" s="1"/>
  <c r="F45"/>
  <c r="G45" s="1"/>
  <c r="F44"/>
  <c r="G44" s="1"/>
  <c r="F43"/>
  <c r="G43" s="1"/>
  <c r="G42"/>
  <c r="F41"/>
  <c r="G41" s="1"/>
  <c r="F40"/>
  <c r="G40" s="1"/>
  <c r="G39"/>
  <c r="F38"/>
  <c r="G38" s="1"/>
  <c r="F37"/>
  <c r="G37" s="1"/>
  <c r="F34"/>
  <c r="G34" s="1"/>
  <c r="F19"/>
  <c r="G19" s="1"/>
  <c r="F18"/>
  <c r="G18" s="1"/>
  <c r="F17"/>
  <c r="G17" s="1"/>
  <c r="G16"/>
  <c r="F15"/>
  <c r="G15" s="1"/>
  <c r="F14"/>
  <c r="G14" s="1"/>
  <c r="G13"/>
  <c r="F12"/>
  <c r="G12" s="1"/>
  <c r="F11"/>
  <c r="G11" s="1"/>
  <c r="F8"/>
  <c r="G8" s="1"/>
  <c r="G6202"/>
  <c r="G6186"/>
  <c r="G6169"/>
  <c r="G6153"/>
  <c r="G6138"/>
  <c r="G6123"/>
  <c r="G6107"/>
  <c r="G6090"/>
  <c r="G6021"/>
  <c r="G6006"/>
  <c r="G5990"/>
  <c r="G5974"/>
  <c r="G5956"/>
  <c r="G5940"/>
  <c r="G5924"/>
  <c r="G5859"/>
  <c r="G5843"/>
  <c r="G5827"/>
  <c r="G5810"/>
  <c r="G5794"/>
  <c r="G5778"/>
  <c r="G5762"/>
  <c r="G5746"/>
  <c r="G5649"/>
  <c r="G5633"/>
  <c r="G5617"/>
  <c r="G5601"/>
  <c r="G5585"/>
  <c r="G5322"/>
  <c r="G5274"/>
  <c r="G5226"/>
  <c r="G5178"/>
  <c r="G5130"/>
  <c r="G5082"/>
  <c r="G5033"/>
  <c r="G5013"/>
  <c r="G4993"/>
  <c r="G4973"/>
  <c r="G4952"/>
  <c r="G4931"/>
  <c r="G4910"/>
  <c r="G4889"/>
  <c r="G4847"/>
  <c r="G4804"/>
  <c r="G4783"/>
  <c r="G4762"/>
  <c r="G4741"/>
  <c r="G4720"/>
  <c r="G4699"/>
  <c r="G4678"/>
  <c r="G4657"/>
  <c r="G4636"/>
  <c r="G4615"/>
  <c r="G4594"/>
  <c r="G4573"/>
  <c r="G4552"/>
  <c r="G4531"/>
  <c r="G4510"/>
  <c r="G4489"/>
  <c r="G4468"/>
  <c r="G4447"/>
  <c r="G4426"/>
  <c r="G4299"/>
  <c r="G4278"/>
  <c r="G4257"/>
  <c r="G4236"/>
  <c r="G4215"/>
  <c r="G4194"/>
  <c r="G4173"/>
  <c r="G4152"/>
  <c r="G4131"/>
  <c r="G4110"/>
  <c r="G4089"/>
  <c r="G4068"/>
  <c r="G4047"/>
  <c r="G4026"/>
  <c r="G4005"/>
  <c r="G3984"/>
  <c r="G3963"/>
  <c r="G3942"/>
  <c r="G3921"/>
  <c r="G3900"/>
  <c r="G3879"/>
  <c r="G3858"/>
  <c r="G3837"/>
  <c r="G3816"/>
  <c r="G3795"/>
  <c r="G3774"/>
  <c r="G3605"/>
  <c r="G3584"/>
  <c r="G3563"/>
  <c r="G3542"/>
  <c r="G3521"/>
  <c r="G3500"/>
  <c r="G3479"/>
  <c r="G3458"/>
  <c r="G3437"/>
  <c r="G3416"/>
  <c r="G3374"/>
  <c r="G3332"/>
  <c r="G2568"/>
  <c r="G1505"/>
  <c r="G1480"/>
  <c r="G1455"/>
  <c r="G1430"/>
  <c r="G1405"/>
  <c r="G1380"/>
  <c r="G1355"/>
  <c r="G1330"/>
  <c r="G1305"/>
  <c r="G1280"/>
  <c r="G1255"/>
  <c r="G1230"/>
  <c r="G1205"/>
  <c r="G1180"/>
  <c r="G1155"/>
  <c r="G1130"/>
  <c r="G1105"/>
  <c r="G1080"/>
  <c r="G954"/>
  <c r="G904"/>
  <c r="G879"/>
  <c r="G854"/>
  <c r="G829"/>
  <c r="G804"/>
  <c r="G779"/>
  <c r="G753"/>
  <c r="G728"/>
  <c r="G702"/>
  <c r="G678"/>
  <c r="G654"/>
  <c r="G630"/>
  <c r="G606"/>
  <c r="G582"/>
  <c r="G558"/>
  <c r="G534"/>
  <c r="G510"/>
  <c r="G486"/>
  <c r="G462"/>
  <c r="G438"/>
  <c r="G413"/>
  <c r="G389"/>
  <c r="G365"/>
  <c r="G341"/>
  <c r="G317"/>
  <c r="G293"/>
  <c r="G268"/>
  <c r="G244"/>
  <c r="G220"/>
  <c r="G196"/>
  <c r="G172"/>
  <c r="G148"/>
  <c r="G123"/>
  <c r="G98"/>
  <c r="G73"/>
  <c r="G48"/>
  <c r="G6305"/>
  <c r="G6322"/>
  <c r="G6336"/>
  <c r="G6358"/>
  <c r="F22" i="2"/>
  <c r="F21"/>
  <c r="F20"/>
  <c r="F19"/>
  <c r="F18"/>
  <c r="F17"/>
  <c r="F16"/>
  <c r="F15"/>
  <c r="F14"/>
  <c r="F13"/>
  <c r="F11"/>
  <c r="F10"/>
  <c r="F6211" i="1" s="1"/>
  <c r="G6211" s="1"/>
  <c r="F9" i="2"/>
  <c r="F6330" i="1" s="1"/>
  <c r="G6330" s="1"/>
  <c r="F8" i="2"/>
  <c r="F6346" i="1" s="1"/>
  <c r="G6346" s="1"/>
  <c r="F6177" l="1"/>
  <c r="G6177" s="1"/>
  <c r="F4812"/>
  <c r="G4812" s="1"/>
  <c r="F4370"/>
  <c r="G4370" s="1"/>
  <c r="F4328"/>
  <c r="G4328" s="1"/>
  <c r="F3718"/>
  <c r="G3718" s="1"/>
  <c r="F3676"/>
  <c r="G3676" s="1"/>
  <c r="F3634"/>
  <c r="G3634" s="1"/>
  <c r="F2824"/>
  <c r="G2824" s="1"/>
  <c r="G2827" s="1"/>
  <c r="G2841" s="1"/>
  <c r="G2842" s="1"/>
  <c r="G2843" s="1"/>
  <c r="D172" i="7" s="1"/>
  <c r="F2801" i="1"/>
  <c r="G2801" s="1"/>
  <c r="F2780"/>
  <c r="G2780" s="1"/>
  <c r="G2783" s="1"/>
  <c r="G2794" s="1"/>
  <c r="G2795" s="1"/>
  <c r="G2796" s="1"/>
  <c r="D168" i="7" s="1"/>
  <c r="F2759" i="1"/>
  <c r="G2759" s="1"/>
  <c r="G2762" s="1"/>
  <c r="G2773" s="1"/>
  <c r="G2774" s="1"/>
  <c r="G2775" s="1"/>
  <c r="D167" i="7" s="1"/>
  <c r="F2661" i="1"/>
  <c r="G2661" s="1"/>
  <c r="G2664" s="1"/>
  <c r="G2675" s="1"/>
  <c r="G2676" s="1"/>
  <c r="G2677" s="1"/>
  <c r="D159" i="7" s="1"/>
  <c r="F2640" i="1"/>
  <c r="G2640" s="1"/>
  <c r="F2619"/>
  <c r="G2619" s="1"/>
  <c r="G2622" s="1"/>
  <c r="G2633" s="1"/>
  <c r="G2634" s="1"/>
  <c r="G2635" s="1"/>
  <c r="D157" i="7" s="1"/>
  <c r="F2597" i="1"/>
  <c r="G2597" s="1"/>
  <c r="F2576"/>
  <c r="G2576" s="1"/>
  <c r="G2579" s="1"/>
  <c r="G2590" s="1"/>
  <c r="G2591" s="1"/>
  <c r="G2592" s="1"/>
  <c r="D153" i="7" s="1"/>
  <c r="F4855" i="1"/>
  <c r="G4855" s="1"/>
  <c r="F4391"/>
  <c r="G4391" s="1"/>
  <c r="F4349"/>
  <c r="G4349" s="1"/>
  <c r="F4307"/>
  <c r="G4307" s="1"/>
  <c r="F3739"/>
  <c r="G3739" s="1"/>
  <c r="F3697"/>
  <c r="G3697" s="1"/>
  <c r="F3655"/>
  <c r="G3655" s="1"/>
  <c r="F3613"/>
  <c r="G3613" s="1"/>
  <c r="F3291"/>
  <c r="G3291" s="1"/>
  <c r="G3294" s="1"/>
  <c r="G3309" s="1"/>
  <c r="G3310" s="1"/>
  <c r="G3311" s="1"/>
  <c r="D194" i="7" s="1"/>
  <c r="F3265" i="1"/>
  <c r="G3265" s="1"/>
  <c r="F3239"/>
  <c r="G3239" s="1"/>
  <c r="G3242" s="1"/>
  <c r="G3257" s="1"/>
  <c r="G3258" s="1"/>
  <c r="G3259" s="1"/>
  <c r="D192" i="7" s="1"/>
  <c r="F3213" i="1"/>
  <c r="G3213" s="1"/>
  <c r="G3216" s="1"/>
  <c r="G3231" s="1"/>
  <c r="G3232" s="1"/>
  <c r="G3233" s="1"/>
  <c r="D191" i="7" s="1"/>
  <c r="F3187" i="1"/>
  <c r="G3187" s="1"/>
  <c r="F3161"/>
  <c r="G3161" s="1"/>
  <c r="G3164" s="1"/>
  <c r="G3179" s="1"/>
  <c r="G3180" s="1"/>
  <c r="G3181" s="1"/>
  <c r="D189" i="7" s="1"/>
  <c r="F3135" i="1"/>
  <c r="G3135" s="1"/>
  <c r="G3138" s="1"/>
  <c r="G3153" s="1"/>
  <c r="G3154" s="1"/>
  <c r="G3155" s="1"/>
  <c r="D188" i="7" s="1"/>
  <c r="F3109" i="1"/>
  <c r="G3109" s="1"/>
  <c r="F3082"/>
  <c r="G3082" s="1"/>
  <c r="F3056"/>
  <c r="G3056" s="1"/>
  <c r="F3030"/>
  <c r="G3030" s="1"/>
  <c r="F3004"/>
  <c r="G3004" s="1"/>
  <c r="F2978"/>
  <c r="G2978" s="1"/>
  <c r="F2952"/>
  <c r="G2952" s="1"/>
  <c r="F2926"/>
  <c r="G2926" s="1"/>
  <c r="G2929" s="1"/>
  <c r="G2944" s="1"/>
  <c r="G2945" s="1"/>
  <c r="G2946" s="1"/>
  <c r="D178" i="7" s="1"/>
  <c r="F2900" i="1"/>
  <c r="G2900" s="1"/>
  <c r="F2874"/>
  <c r="G2874" s="1"/>
  <c r="F2849"/>
  <c r="G2849" s="1"/>
  <c r="G2852" s="1"/>
  <c r="G2866" s="1"/>
  <c r="G2867" s="1"/>
  <c r="G2868" s="1"/>
  <c r="D173" i="7" s="1"/>
  <c r="F2734" i="1"/>
  <c r="G2734" s="1"/>
  <c r="G2737" s="1"/>
  <c r="G2751" s="1"/>
  <c r="G2752" s="1"/>
  <c r="G2753" s="1"/>
  <c r="D164" i="7" s="1"/>
  <c r="F2709" i="1"/>
  <c r="G2709" s="1"/>
  <c r="G2712" s="1"/>
  <c r="G2726" s="1"/>
  <c r="G2727" s="1"/>
  <c r="G2728" s="1"/>
  <c r="D163" i="7" s="1"/>
  <c r="F2684" i="1"/>
  <c r="G2684" s="1"/>
  <c r="F1589"/>
  <c r="G1589" s="1"/>
  <c r="F1564"/>
  <c r="G1564" s="1"/>
  <c r="F1539"/>
  <c r="G1539" s="1"/>
  <c r="F1514"/>
  <c r="G1514" s="1"/>
  <c r="F1013"/>
  <c r="G1013" s="1"/>
  <c r="G1016" s="1"/>
  <c r="G1030" s="1"/>
  <c r="G1031" s="1"/>
  <c r="G1032" s="1"/>
  <c r="D79" i="7" s="1"/>
  <c r="F963" i="1"/>
  <c r="G963" s="1"/>
  <c r="F1038"/>
  <c r="G1038" s="1"/>
  <c r="F988"/>
  <c r="G988" s="1"/>
  <c r="G3498"/>
  <c r="G387"/>
  <c r="F7"/>
  <c r="G7" s="1"/>
  <c r="F108"/>
  <c r="G108" s="1"/>
  <c r="F205"/>
  <c r="G205" s="1"/>
  <c r="F350"/>
  <c r="G350" s="1"/>
  <c r="F374"/>
  <c r="G374" s="1"/>
  <c r="F398"/>
  <c r="G398" s="1"/>
  <c r="F447"/>
  <c r="G447" s="1"/>
  <c r="F495"/>
  <c r="G495" s="1"/>
  <c r="F639"/>
  <c r="G639" s="1"/>
  <c r="F713"/>
  <c r="G713" s="1"/>
  <c r="F738"/>
  <c r="G738" s="1"/>
  <c r="F764"/>
  <c r="G764" s="1"/>
  <c r="F789"/>
  <c r="G789" s="1"/>
  <c r="F814"/>
  <c r="G814" s="1"/>
  <c r="F839"/>
  <c r="G839" s="1"/>
  <c r="F864"/>
  <c r="G864" s="1"/>
  <c r="F889"/>
  <c r="G889" s="1"/>
  <c r="F914"/>
  <c r="G914" s="1"/>
  <c r="F939"/>
  <c r="G939" s="1"/>
  <c r="F1315"/>
  <c r="G1315" s="1"/>
  <c r="F1340"/>
  <c r="G1340" s="1"/>
  <c r="F1365"/>
  <c r="G1365" s="1"/>
  <c r="F1390"/>
  <c r="G1390" s="1"/>
  <c r="F1694"/>
  <c r="G1694" s="1"/>
  <c r="F1746"/>
  <c r="G1746" s="1"/>
  <c r="F1798"/>
  <c r="G1798" s="1"/>
  <c r="F1850"/>
  <c r="G1850" s="1"/>
  <c r="F1902"/>
  <c r="G1902" s="1"/>
  <c r="F1954"/>
  <c r="G1954" s="1"/>
  <c r="F2007"/>
  <c r="G2007" s="1"/>
  <c r="F2059"/>
  <c r="G2059" s="1"/>
  <c r="F2111"/>
  <c r="G2111" s="1"/>
  <c r="F2190"/>
  <c r="G2190" s="1"/>
  <c r="F2242"/>
  <c r="G2242" s="1"/>
  <c r="F2294"/>
  <c r="G2294" s="1"/>
  <c r="F2346"/>
  <c r="G2346" s="1"/>
  <c r="F2399"/>
  <c r="G2399" s="1"/>
  <c r="F2451"/>
  <c r="G2451" s="1"/>
  <c r="F2503"/>
  <c r="G2503" s="1"/>
  <c r="F2556"/>
  <c r="G2556" s="1"/>
  <c r="F3320"/>
  <c r="G3320" s="1"/>
  <c r="F3383"/>
  <c r="G3383" s="1"/>
  <c r="F3404"/>
  <c r="G3404" s="1"/>
  <c r="F3446"/>
  <c r="G3446" s="1"/>
  <c r="F3488"/>
  <c r="G3488" s="1"/>
  <c r="F3530"/>
  <c r="G3530" s="1"/>
  <c r="F3572"/>
  <c r="G3572" s="1"/>
  <c r="F3762"/>
  <c r="G3762" s="1"/>
  <c r="F3804"/>
  <c r="G3804" s="1"/>
  <c r="F3846"/>
  <c r="G3846" s="1"/>
  <c r="F3909"/>
  <c r="G3909" s="1"/>
  <c r="F3951"/>
  <c r="G3951" s="1"/>
  <c r="F3993"/>
  <c r="G3993" s="1"/>
  <c r="F4035"/>
  <c r="G4035" s="1"/>
  <c r="F4077"/>
  <c r="G4077" s="1"/>
  <c r="F4119"/>
  <c r="G4119" s="1"/>
  <c r="F4161"/>
  <c r="G4161" s="1"/>
  <c r="F4203"/>
  <c r="G4203" s="1"/>
  <c r="F4266"/>
  <c r="G4266" s="1"/>
  <c r="F4414"/>
  <c r="G4414" s="1"/>
  <c r="F4456"/>
  <c r="G4456" s="1"/>
  <c r="F4498"/>
  <c r="G4498" s="1"/>
  <c r="F4540"/>
  <c r="G4540" s="1"/>
  <c r="F4582"/>
  <c r="G4582" s="1"/>
  <c r="F4624"/>
  <c r="G4624" s="1"/>
  <c r="F4666"/>
  <c r="G4666" s="1"/>
  <c r="F4708"/>
  <c r="G4708" s="1"/>
  <c r="F4750"/>
  <c r="G4750" s="1"/>
  <c r="F4792"/>
  <c r="G4792" s="1"/>
  <c r="F4877"/>
  <c r="G4877" s="1"/>
  <c r="F4919"/>
  <c r="G4919" s="1"/>
  <c r="F5068"/>
  <c r="G5068" s="1"/>
  <c r="F5092"/>
  <c r="G5092" s="1"/>
  <c r="F5164"/>
  <c r="G5164" s="1"/>
  <c r="F5188"/>
  <c r="G5188" s="1"/>
  <c r="F5260"/>
  <c r="G5260" s="1"/>
  <c r="F5284"/>
  <c r="G5284" s="1"/>
  <c r="F6117"/>
  <c r="G6117" s="1"/>
  <c r="F6132"/>
  <c r="G6132" s="1"/>
  <c r="F6147"/>
  <c r="G6147" s="1"/>
  <c r="F58"/>
  <c r="G58" s="1"/>
  <c r="F157"/>
  <c r="G157" s="1"/>
  <c r="F253"/>
  <c r="G253" s="1"/>
  <c r="F326"/>
  <c r="G326" s="1"/>
  <c r="F423"/>
  <c r="G423" s="1"/>
  <c r="F471"/>
  <c r="G471" s="1"/>
  <c r="F543"/>
  <c r="G543" s="1"/>
  <c r="F591"/>
  <c r="G591" s="1"/>
  <c r="F687"/>
  <c r="G687" s="1"/>
  <c r="F33"/>
  <c r="G33" s="1"/>
  <c r="F83"/>
  <c r="G83" s="1"/>
  <c r="F133"/>
  <c r="G133" s="1"/>
  <c r="F181"/>
  <c r="G181" s="1"/>
  <c r="F229"/>
  <c r="G229" s="1"/>
  <c r="F278"/>
  <c r="G278" s="1"/>
  <c r="F302"/>
  <c r="G302" s="1"/>
  <c r="F519"/>
  <c r="G519" s="1"/>
  <c r="F567"/>
  <c r="G567" s="1"/>
  <c r="F615"/>
  <c r="G615" s="1"/>
  <c r="F663"/>
  <c r="G663" s="1"/>
  <c r="F1065"/>
  <c r="G1065" s="1"/>
  <c r="F1090"/>
  <c r="G1090" s="1"/>
  <c r="F1115"/>
  <c r="G1115" s="1"/>
  <c r="F1140"/>
  <c r="G1140" s="1"/>
  <c r="F1165"/>
  <c r="G1165" s="1"/>
  <c r="F1190"/>
  <c r="G1190" s="1"/>
  <c r="F1215"/>
  <c r="G1215" s="1"/>
  <c r="F1240"/>
  <c r="G1240" s="1"/>
  <c r="F1265"/>
  <c r="G1265" s="1"/>
  <c r="F1290"/>
  <c r="G1290" s="1"/>
  <c r="F1415"/>
  <c r="G1415" s="1"/>
  <c r="F1440"/>
  <c r="G1440" s="1"/>
  <c r="F1465"/>
  <c r="G1465" s="1"/>
  <c r="F1490"/>
  <c r="G1490" s="1"/>
  <c r="F1616"/>
  <c r="G1616" s="1"/>
  <c r="F1642"/>
  <c r="G1642" s="1"/>
  <c r="F1668"/>
  <c r="G1668" s="1"/>
  <c r="F1720"/>
  <c r="G1720" s="1"/>
  <c r="F1772"/>
  <c r="G1772" s="1"/>
  <c r="F1824"/>
  <c r="G1824" s="1"/>
  <c r="F1876"/>
  <c r="G1876" s="1"/>
  <c r="F1928"/>
  <c r="G1928" s="1"/>
  <c r="F1981"/>
  <c r="G1981" s="1"/>
  <c r="F2033"/>
  <c r="G2033" s="1"/>
  <c r="F2085"/>
  <c r="G2085" s="1"/>
  <c r="F2137"/>
  <c r="G2137" s="1"/>
  <c r="F2163"/>
  <c r="G2163" s="1"/>
  <c r="F2216"/>
  <c r="G2216" s="1"/>
  <c r="F2268"/>
  <c r="G2268" s="1"/>
  <c r="F2320"/>
  <c r="G2320" s="1"/>
  <c r="F2373"/>
  <c r="G2373" s="1"/>
  <c r="F2425"/>
  <c r="G2425" s="1"/>
  <c r="F2477"/>
  <c r="G2477" s="1"/>
  <c r="F2529"/>
  <c r="G2529" s="1"/>
  <c r="F3341"/>
  <c r="G3341" s="1"/>
  <c r="F3362"/>
  <c r="G3362" s="1"/>
  <c r="F3425"/>
  <c r="G3425" s="1"/>
  <c r="F3467"/>
  <c r="G3467" s="1"/>
  <c r="F3509"/>
  <c r="G3509" s="1"/>
  <c r="F3551"/>
  <c r="G3551" s="1"/>
  <c r="F3593"/>
  <c r="G3593" s="1"/>
  <c r="F3783"/>
  <c r="G3783" s="1"/>
  <c r="F3825"/>
  <c r="G3825" s="1"/>
  <c r="F3867"/>
  <c r="G3867" s="1"/>
  <c r="F3888"/>
  <c r="G3888" s="1"/>
  <c r="F3930"/>
  <c r="G3930" s="1"/>
  <c r="F3972"/>
  <c r="G3972" s="1"/>
  <c r="F4014"/>
  <c r="G4014" s="1"/>
  <c r="F4056"/>
  <c r="G4056" s="1"/>
  <c r="F4098"/>
  <c r="G4098" s="1"/>
  <c r="F4140"/>
  <c r="G4140" s="1"/>
  <c r="F4182"/>
  <c r="G4182" s="1"/>
  <c r="F4224"/>
  <c r="G4224" s="1"/>
  <c r="F4245"/>
  <c r="G4245" s="1"/>
  <c r="F4287"/>
  <c r="G4287" s="1"/>
  <c r="F4435"/>
  <c r="G4435" s="1"/>
  <c r="F4477"/>
  <c r="G4477" s="1"/>
  <c r="F4519"/>
  <c r="G4519" s="1"/>
  <c r="F4561"/>
  <c r="G4561" s="1"/>
  <c r="F4603"/>
  <c r="G4603" s="1"/>
  <c r="F4645"/>
  <c r="G4645" s="1"/>
  <c r="F4687"/>
  <c r="G4687" s="1"/>
  <c r="F4729"/>
  <c r="G4729" s="1"/>
  <c r="F4771"/>
  <c r="G4771" s="1"/>
  <c r="F4835"/>
  <c r="G4835" s="1"/>
  <c r="F4898"/>
  <c r="G4898" s="1"/>
  <c r="F4940"/>
  <c r="G4940" s="1"/>
  <c r="F4963"/>
  <c r="G4963" s="1"/>
  <c r="F4983"/>
  <c r="G4983" s="1"/>
  <c r="F5003"/>
  <c r="G5003" s="1"/>
  <c r="F5023"/>
  <c r="G5023" s="1"/>
  <c r="F5044"/>
  <c r="G5044" s="1"/>
  <c r="F5116"/>
  <c r="G5116" s="1"/>
  <c r="F5140"/>
  <c r="G5140" s="1"/>
  <c r="F5212"/>
  <c r="G5212" s="1"/>
  <c r="F5236"/>
  <c r="G5236" s="1"/>
  <c r="F5308"/>
  <c r="G5308" s="1"/>
  <c r="F6178"/>
  <c r="G6178" s="1"/>
  <c r="G6180" s="1"/>
  <c r="G6187" s="1"/>
  <c r="F397"/>
  <c r="G397" s="1"/>
  <c r="F494"/>
  <c r="G494" s="1"/>
  <c r="G497" s="1"/>
  <c r="F542"/>
  <c r="G542" s="1"/>
  <c r="G545" s="1"/>
  <c r="F662"/>
  <c r="G662" s="1"/>
  <c r="G665" s="1"/>
  <c r="F686"/>
  <c r="G686" s="1"/>
  <c r="G689" s="1"/>
  <c r="F788"/>
  <c r="G788" s="1"/>
  <c r="F888"/>
  <c r="G888" s="1"/>
  <c r="F1114"/>
  <c r="G1114" s="1"/>
  <c r="F1214"/>
  <c r="G1214" s="1"/>
  <c r="G1217" s="1"/>
  <c r="F1389"/>
  <c r="G1389" s="1"/>
  <c r="F1414"/>
  <c r="G1414" s="1"/>
  <c r="G1417" s="1"/>
  <c r="F1615"/>
  <c r="G1615" s="1"/>
  <c r="F518"/>
  <c r="G518" s="1"/>
  <c r="G521" s="1"/>
  <c r="F566"/>
  <c r="G566" s="1"/>
  <c r="G569" s="1"/>
  <c r="F590"/>
  <c r="G590" s="1"/>
  <c r="F614"/>
  <c r="G614" s="1"/>
  <c r="F638"/>
  <c r="G638" s="1"/>
  <c r="F6"/>
  <c r="G6" s="1"/>
  <c r="F32"/>
  <c r="G32" s="1"/>
  <c r="F57"/>
  <c r="G57" s="1"/>
  <c r="F82"/>
  <c r="G82" s="1"/>
  <c r="G85" s="1"/>
  <c r="F107"/>
  <c r="G107" s="1"/>
  <c r="F132"/>
  <c r="G132" s="1"/>
  <c r="F156"/>
  <c r="G156" s="1"/>
  <c r="G159" s="1"/>
  <c r="F180"/>
  <c r="G180" s="1"/>
  <c r="G183" s="1"/>
  <c r="F204"/>
  <c r="G204" s="1"/>
  <c r="F228"/>
  <c r="G228" s="1"/>
  <c r="F252"/>
  <c r="G252" s="1"/>
  <c r="F277"/>
  <c r="G277" s="1"/>
  <c r="G280" s="1"/>
  <c r="F349"/>
  <c r="G349" s="1"/>
  <c r="F446"/>
  <c r="G446" s="1"/>
  <c r="F737"/>
  <c r="G737" s="1"/>
  <c r="F838"/>
  <c r="G838" s="1"/>
  <c r="F938"/>
  <c r="G938" s="1"/>
  <c r="F1064"/>
  <c r="G1064" s="1"/>
  <c r="G1067" s="1"/>
  <c r="F1164"/>
  <c r="G1164" s="1"/>
  <c r="F1264"/>
  <c r="G1264" s="1"/>
  <c r="G1267" s="1"/>
  <c r="F1339"/>
  <c r="G1339" s="1"/>
  <c r="F1464"/>
  <c r="G1464" s="1"/>
  <c r="G1467" s="1"/>
  <c r="F1667"/>
  <c r="G1667" s="1"/>
  <c r="F1693"/>
  <c r="G1693" s="1"/>
  <c r="F1719"/>
  <c r="G1719" s="1"/>
  <c r="G1722" s="1"/>
  <c r="F1745"/>
  <c r="G1745" s="1"/>
  <c r="F1771"/>
  <c r="G1771" s="1"/>
  <c r="F1797"/>
  <c r="G1797" s="1"/>
  <c r="F1823"/>
  <c r="G1823" s="1"/>
  <c r="G1826" s="1"/>
  <c r="F1849"/>
  <c r="G1849" s="1"/>
  <c r="F1875"/>
  <c r="G1875" s="1"/>
  <c r="F1901"/>
  <c r="G1901" s="1"/>
  <c r="F1927"/>
  <c r="G1927" s="1"/>
  <c r="G1930" s="1"/>
  <c r="F1953"/>
  <c r="G1953" s="1"/>
  <c r="F1980"/>
  <c r="G1980" s="1"/>
  <c r="F2006"/>
  <c r="G2006" s="1"/>
  <c r="F2032"/>
  <c r="G2032" s="1"/>
  <c r="G2035" s="1"/>
  <c r="F2058"/>
  <c r="G2058" s="1"/>
  <c r="F2084"/>
  <c r="G2084" s="1"/>
  <c r="F2110"/>
  <c r="G2110" s="1"/>
  <c r="F2136"/>
  <c r="G2136" s="1"/>
  <c r="G2139" s="1"/>
  <c r="F3361"/>
  <c r="G3361" s="1"/>
  <c r="F3382"/>
  <c r="G3382" s="1"/>
  <c r="F3887"/>
  <c r="G3887" s="1"/>
  <c r="G3890" s="1"/>
  <c r="F3908"/>
  <c r="G3908" s="1"/>
  <c r="F3929"/>
  <c r="G3929" s="1"/>
  <c r="F3950"/>
  <c r="G3950" s="1"/>
  <c r="F3971"/>
  <c r="G3971" s="1"/>
  <c r="G3974" s="1"/>
  <c r="F3992"/>
  <c r="G3992" s="1"/>
  <c r="F4013"/>
  <c r="G4013" s="1"/>
  <c r="F4034"/>
  <c r="G4034" s="1"/>
  <c r="F4055"/>
  <c r="G4055" s="1"/>
  <c r="G4058" s="1"/>
  <c r="F4076"/>
  <c r="G4076" s="1"/>
  <c r="F4097"/>
  <c r="G4097" s="1"/>
  <c r="F4118"/>
  <c r="G4118" s="1"/>
  <c r="F4139"/>
  <c r="G4139" s="1"/>
  <c r="G4142" s="1"/>
  <c r="F4160"/>
  <c r="G4160" s="1"/>
  <c r="F4181"/>
  <c r="G4181" s="1"/>
  <c r="F4202"/>
  <c r="G4202" s="1"/>
  <c r="F4223"/>
  <c r="G4223" s="1"/>
  <c r="G4226" s="1"/>
  <c r="F4962"/>
  <c r="G4962" s="1"/>
  <c r="F5002"/>
  <c r="G5002" s="1"/>
  <c r="F5043"/>
  <c r="G5043" s="1"/>
  <c r="F5067"/>
  <c r="G5067" s="1"/>
  <c r="F5139"/>
  <c r="G5139" s="1"/>
  <c r="F5163"/>
  <c r="G5163" s="1"/>
  <c r="F5235"/>
  <c r="G5235" s="1"/>
  <c r="F5259"/>
  <c r="G5259" s="1"/>
  <c r="F6014"/>
  <c r="G6014" s="1"/>
  <c r="G6016" s="1"/>
  <c r="G6022" s="1"/>
  <c r="F6047"/>
  <c r="G6047" s="1"/>
  <c r="G6049" s="1"/>
  <c r="F6116"/>
  <c r="G6116" s="1"/>
  <c r="F6146"/>
  <c r="G6146" s="1"/>
  <c r="F6194"/>
  <c r="G6194" s="1"/>
  <c r="G6196" s="1"/>
  <c r="G6203" s="1"/>
  <c r="F6228"/>
  <c r="G6228" s="1"/>
  <c r="G6230" s="1"/>
  <c r="G6237" s="1"/>
  <c r="F6245"/>
  <c r="G6245" s="1"/>
  <c r="G6247" s="1"/>
  <c r="F6279"/>
  <c r="G6279" s="1"/>
  <c r="G6281" s="1"/>
  <c r="F301"/>
  <c r="G301" s="1"/>
  <c r="F325"/>
  <c r="G325" s="1"/>
  <c r="F373"/>
  <c r="G373" s="1"/>
  <c r="F422"/>
  <c r="G422" s="1"/>
  <c r="F470"/>
  <c r="G470" s="1"/>
  <c r="F712"/>
  <c r="G712" s="1"/>
  <c r="F763"/>
  <c r="G763" s="1"/>
  <c r="G766" s="1"/>
  <c r="F813"/>
  <c r="G813" s="1"/>
  <c r="F863"/>
  <c r="G863" s="1"/>
  <c r="G866" s="1"/>
  <c r="F913"/>
  <c r="G913" s="1"/>
  <c r="F1089"/>
  <c r="G1089" s="1"/>
  <c r="F1139"/>
  <c r="G1139" s="1"/>
  <c r="F1189"/>
  <c r="G1189" s="1"/>
  <c r="F1239"/>
  <c r="G1239" s="1"/>
  <c r="F1289"/>
  <c r="G1289" s="1"/>
  <c r="F1314"/>
  <c r="G1314" s="1"/>
  <c r="F1364"/>
  <c r="G1364" s="1"/>
  <c r="G1367" s="1"/>
  <c r="F1439"/>
  <c r="G1439" s="1"/>
  <c r="F1489"/>
  <c r="G1489" s="1"/>
  <c r="F1641"/>
  <c r="G1641" s="1"/>
  <c r="F2162"/>
  <c r="G2162" s="1"/>
  <c r="F2189"/>
  <c r="G2189" s="1"/>
  <c r="G2192" s="1"/>
  <c r="F2215"/>
  <c r="G2215" s="1"/>
  <c r="F2241"/>
  <c r="G2241" s="1"/>
  <c r="F2267"/>
  <c r="G2267" s="1"/>
  <c r="F2293"/>
  <c r="G2293" s="1"/>
  <c r="G2296" s="1"/>
  <c r="F2319"/>
  <c r="G2319" s="1"/>
  <c r="F2345"/>
  <c r="G2345" s="1"/>
  <c r="F2372"/>
  <c r="G2372" s="1"/>
  <c r="F2398"/>
  <c r="G2398" s="1"/>
  <c r="G2401" s="1"/>
  <c r="F2424"/>
  <c r="G2424" s="1"/>
  <c r="F2450"/>
  <c r="G2450" s="1"/>
  <c r="F2476"/>
  <c r="G2476" s="1"/>
  <c r="F2502"/>
  <c r="G2502" s="1"/>
  <c r="G2505" s="1"/>
  <c r="F2528"/>
  <c r="G2528" s="1"/>
  <c r="F2555"/>
  <c r="G2555" s="1"/>
  <c r="F3319"/>
  <c r="G3319" s="1"/>
  <c r="F3340"/>
  <c r="G3340" s="1"/>
  <c r="F3403"/>
  <c r="G3403" s="1"/>
  <c r="F3424"/>
  <c r="G3424" s="1"/>
  <c r="F3445"/>
  <c r="G3445" s="1"/>
  <c r="F3466"/>
  <c r="G3466" s="1"/>
  <c r="F3487"/>
  <c r="G3487" s="1"/>
  <c r="F3508"/>
  <c r="G3508" s="1"/>
  <c r="F3529"/>
  <c r="G3529" s="1"/>
  <c r="F3550"/>
  <c r="G3550" s="1"/>
  <c r="F3571"/>
  <c r="G3571" s="1"/>
  <c r="F3592"/>
  <c r="G3592" s="1"/>
  <c r="F3761"/>
  <c r="G3761" s="1"/>
  <c r="F3782"/>
  <c r="G3782" s="1"/>
  <c r="F3803"/>
  <c r="G3803" s="1"/>
  <c r="F3824"/>
  <c r="G3824" s="1"/>
  <c r="F3845"/>
  <c r="G3845" s="1"/>
  <c r="F3866"/>
  <c r="G3866" s="1"/>
  <c r="F4244"/>
  <c r="G4244" s="1"/>
  <c r="F4265"/>
  <c r="G4265" s="1"/>
  <c r="G4268" s="1"/>
  <c r="F4286"/>
  <c r="G4286" s="1"/>
  <c r="F4413"/>
  <c r="G4413" s="1"/>
  <c r="F4434"/>
  <c r="G4434" s="1"/>
  <c r="F4455"/>
  <c r="G4455" s="1"/>
  <c r="G4458" s="1"/>
  <c r="F4476"/>
  <c r="G4476" s="1"/>
  <c r="F4497"/>
  <c r="G4497" s="1"/>
  <c r="F4518"/>
  <c r="G4518" s="1"/>
  <c r="F4539"/>
  <c r="G4539" s="1"/>
  <c r="F4560"/>
  <c r="G4560" s="1"/>
  <c r="F4581"/>
  <c r="G4581" s="1"/>
  <c r="F4602"/>
  <c r="G4602" s="1"/>
  <c r="F4623"/>
  <c r="G4623" s="1"/>
  <c r="F4644"/>
  <c r="G4644" s="1"/>
  <c r="F4665"/>
  <c r="G4665" s="1"/>
  <c r="F4686"/>
  <c r="G4686" s="1"/>
  <c r="F4707"/>
  <c r="G4707" s="1"/>
  <c r="F4728"/>
  <c r="G4728" s="1"/>
  <c r="F4749"/>
  <c r="G4749" s="1"/>
  <c r="F4770"/>
  <c r="G4770" s="1"/>
  <c r="F4791"/>
  <c r="G4791" s="1"/>
  <c r="F4834"/>
  <c r="G4834" s="1"/>
  <c r="F4876"/>
  <c r="G4876" s="1"/>
  <c r="F4897"/>
  <c r="G4897" s="1"/>
  <c r="F4918"/>
  <c r="G4918" s="1"/>
  <c r="F4939"/>
  <c r="G4939" s="1"/>
  <c r="F4982"/>
  <c r="G4982" s="1"/>
  <c r="F5022"/>
  <c r="G5022" s="1"/>
  <c r="F5091"/>
  <c r="G5091" s="1"/>
  <c r="F5115"/>
  <c r="G5115" s="1"/>
  <c r="F5187"/>
  <c r="G5187" s="1"/>
  <c r="F5211"/>
  <c r="G5211" s="1"/>
  <c r="F5283"/>
  <c r="G5283" s="1"/>
  <c r="G5286" s="1"/>
  <c r="F5307"/>
  <c r="G5307" s="1"/>
  <c r="F5999"/>
  <c r="G5999" s="1"/>
  <c r="G6001" s="1"/>
  <c r="G6007" s="1"/>
  <c r="F6030"/>
  <c r="G6030" s="1"/>
  <c r="G6032" s="1"/>
  <c r="F6064"/>
  <c r="G6064" s="1"/>
  <c r="G6066" s="1"/>
  <c r="F6082"/>
  <c r="G6082" s="1"/>
  <c r="G6083" s="1"/>
  <c r="F6099"/>
  <c r="G6099" s="1"/>
  <c r="G6100" s="1"/>
  <c r="F6131"/>
  <c r="G6131" s="1"/>
  <c r="F6161"/>
  <c r="G6161" s="1"/>
  <c r="G6163" s="1"/>
  <c r="G6170" s="1"/>
  <c r="F6262"/>
  <c r="G6262" s="1"/>
  <c r="G6264" s="1"/>
  <c r="F6314"/>
  <c r="G6314" s="1"/>
  <c r="G6316" s="1"/>
  <c r="G6323" s="1"/>
  <c r="G20"/>
  <c r="G4971"/>
  <c r="G5011"/>
  <c r="G5055"/>
  <c r="G5079"/>
  <c r="G5151"/>
  <c r="G5175"/>
  <c r="G5247"/>
  <c r="G5271"/>
  <c r="G5359"/>
  <c r="G5394"/>
  <c r="G5411"/>
  <c r="G5446"/>
  <c r="G5463"/>
  <c r="G5480"/>
  <c r="G5484" s="1"/>
  <c r="G5515"/>
  <c r="G5549"/>
  <c r="G6036"/>
  <c r="G6070"/>
  <c r="G4718"/>
  <c r="G4739"/>
  <c r="G4760"/>
  <c r="G4781"/>
  <c r="G4802"/>
  <c r="G4845"/>
  <c r="G4887"/>
  <c r="G4908"/>
  <c r="G4929"/>
  <c r="G6087"/>
  <c r="G6104"/>
  <c r="G6251"/>
  <c r="G6285"/>
  <c r="G4950"/>
  <c r="G4991"/>
  <c r="G5031"/>
  <c r="G5103"/>
  <c r="G5127"/>
  <c r="G5199"/>
  <c r="G5223"/>
  <c r="G5295"/>
  <c r="G5319"/>
  <c r="G5376"/>
  <c r="G5428"/>
  <c r="G5497"/>
  <c r="G6053"/>
  <c r="G6268"/>
  <c r="G6349"/>
  <c r="G6355"/>
  <c r="G5586"/>
  <c r="G4697"/>
  <c r="G4613"/>
  <c r="G4634"/>
  <c r="G4655"/>
  <c r="G4676"/>
  <c r="G4550"/>
  <c r="G4571"/>
  <c r="G4592"/>
  <c r="G4529"/>
  <c r="G4255"/>
  <c r="G4276"/>
  <c r="G4297"/>
  <c r="G4424"/>
  <c r="G4445"/>
  <c r="G4466"/>
  <c r="G4487"/>
  <c r="G4508"/>
  <c r="G4234"/>
  <c r="G4213"/>
  <c r="G4192"/>
  <c r="G4171"/>
  <c r="G4150"/>
  <c r="G4129"/>
  <c r="G4108"/>
  <c r="G4045"/>
  <c r="G4066"/>
  <c r="G4087"/>
  <c r="G4024"/>
  <c r="G3982"/>
  <c r="G4003"/>
  <c r="G3793"/>
  <c r="G3814"/>
  <c r="G3835"/>
  <c r="G3856"/>
  <c r="G3877"/>
  <c r="G3961"/>
  <c r="G3940"/>
  <c r="G3919"/>
  <c r="G3898"/>
  <c r="G3772"/>
  <c r="G3540"/>
  <c r="G3561"/>
  <c r="G3582"/>
  <c r="G3603"/>
  <c r="G3519"/>
  <c r="G3456"/>
  <c r="G3477"/>
  <c r="G3372"/>
  <c r="G3393"/>
  <c r="G3435"/>
  <c r="G3414"/>
  <c r="G3330"/>
  <c r="G3351"/>
  <c r="G2566"/>
  <c r="G2516"/>
  <c r="G2542"/>
  <c r="G2386"/>
  <c r="G2412"/>
  <c r="G2438"/>
  <c r="G2464"/>
  <c r="G2490"/>
  <c r="G2281"/>
  <c r="G2307"/>
  <c r="G2333"/>
  <c r="G2359"/>
  <c r="G2176"/>
  <c r="G2203"/>
  <c r="G2229"/>
  <c r="G2255"/>
  <c r="G2124"/>
  <c r="G2072"/>
  <c r="G2098"/>
  <c r="G2046"/>
  <c r="G1915"/>
  <c r="G1941"/>
  <c r="G1967"/>
  <c r="G1994"/>
  <c r="G2020"/>
  <c r="G1837"/>
  <c r="G1863"/>
  <c r="G1889"/>
  <c r="G1759"/>
  <c r="G1785"/>
  <c r="G1811"/>
  <c r="G1733"/>
  <c r="G1353"/>
  <c r="G1403"/>
  <c r="G1428"/>
  <c r="G1478"/>
  <c r="G1629"/>
  <c r="G1655"/>
  <c r="G1681"/>
  <c r="G1707"/>
  <c r="G1378"/>
  <c r="G1453"/>
  <c r="G1503"/>
  <c r="G1328"/>
  <c r="G1078"/>
  <c r="G777"/>
  <c r="G676"/>
  <c r="G436"/>
  <c r="G411"/>
  <c r="G363"/>
  <c r="G339"/>
  <c r="G315"/>
  <c r="G266"/>
  <c r="G242"/>
  <c r="G6299"/>
  <c r="G6306" s="1"/>
  <c r="G6332"/>
  <c r="G6337" s="1"/>
  <c r="G5510"/>
  <c r="G5529"/>
  <c r="G5536" s="1"/>
  <c r="G5545"/>
  <c r="G5611"/>
  <c r="G5618" s="1"/>
  <c r="G5643"/>
  <c r="G5650" s="1"/>
  <c r="G5756"/>
  <c r="G5763" s="1"/>
  <c r="G5788"/>
  <c r="G5795" s="1"/>
  <c r="G5821"/>
  <c r="G5828" s="1"/>
  <c r="G5853"/>
  <c r="G5860" s="1"/>
  <c r="G5934"/>
  <c r="G5941" s="1"/>
  <c r="G5968"/>
  <c r="G5975" s="1"/>
  <c r="G5355"/>
  <c r="G5389"/>
  <c r="G5407"/>
  <c r="G5441"/>
  <c r="G5459"/>
  <c r="G726"/>
  <c r="G827"/>
  <c r="G877"/>
  <c r="G927"/>
  <c r="G1103"/>
  <c r="G1153"/>
  <c r="G1203"/>
  <c r="G1253"/>
  <c r="G484"/>
  <c r="G5372"/>
  <c r="G5424"/>
  <c r="G5493"/>
  <c r="G5562"/>
  <c r="G5569" s="1"/>
  <c r="G5595"/>
  <c r="G5602" s="1"/>
  <c r="G5627"/>
  <c r="G5634" s="1"/>
  <c r="G5660"/>
  <c r="G5667" s="1"/>
  <c r="G5676"/>
  <c r="G5683" s="1"/>
  <c r="G5692"/>
  <c r="G5699" s="1"/>
  <c r="G5708"/>
  <c r="G5715" s="1"/>
  <c r="G5724"/>
  <c r="G5731" s="1"/>
  <c r="G5740"/>
  <c r="G5747" s="1"/>
  <c r="G5772"/>
  <c r="G5779" s="1"/>
  <c r="G5804"/>
  <c r="G5811" s="1"/>
  <c r="G5837"/>
  <c r="G5844" s="1"/>
  <c r="G5870"/>
  <c r="G5877" s="1"/>
  <c r="G5886"/>
  <c r="G5893" s="1"/>
  <c r="G5902"/>
  <c r="G5909" s="1"/>
  <c r="G5918"/>
  <c r="G5925" s="1"/>
  <c r="G5950"/>
  <c r="G5957" s="1"/>
  <c r="G5984"/>
  <c r="G5991" s="1"/>
  <c r="G6213"/>
  <c r="G6220" s="1"/>
  <c r="G46"/>
  <c r="G71"/>
  <c r="G96"/>
  <c r="G121"/>
  <c r="G146"/>
  <c r="G170"/>
  <c r="G194"/>
  <c r="G218"/>
  <c r="G460"/>
  <c r="G508"/>
  <c r="G532"/>
  <c r="G556"/>
  <c r="G580"/>
  <c r="G604"/>
  <c r="G628"/>
  <c r="G652"/>
  <c r="G700"/>
  <c r="G751"/>
  <c r="G802"/>
  <c r="G852"/>
  <c r="G902"/>
  <c r="G952"/>
  <c r="G1128"/>
  <c r="G1178"/>
  <c r="G1228"/>
  <c r="G1278"/>
  <c r="G1303"/>
  <c r="G2143"/>
  <c r="G2150" s="1"/>
  <c r="G284"/>
  <c r="G291" s="1"/>
  <c r="G991" l="1"/>
  <c r="G1005" s="1"/>
  <c r="G1006" s="1"/>
  <c r="G1007" s="1"/>
  <c r="D78" i="7" s="1"/>
  <c r="G966" i="1"/>
  <c r="G980" s="1"/>
  <c r="G981" s="1"/>
  <c r="G982" s="1"/>
  <c r="D77" i="7" s="1"/>
  <c r="G1517" i="1"/>
  <c r="G1531" s="1"/>
  <c r="G1532" s="1"/>
  <c r="G1533" s="1"/>
  <c r="D101" i="7" s="1"/>
  <c r="G1567" i="1"/>
  <c r="G1581" s="1"/>
  <c r="G1582" s="1"/>
  <c r="G1583" s="1"/>
  <c r="D103" i="7" s="1"/>
  <c r="G2687" i="1"/>
  <c r="G2701" s="1"/>
  <c r="G2702" s="1"/>
  <c r="G2703" s="1"/>
  <c r="D162" i="7" s="1"/>
  <c r="G2877" i="1"/>
  <c r="G2891" s="1"/>
  <c r="G2892" s="1"/>
  <c r="G2893" s="1"/>
  <c r="D174" i="7" s="1"/>
  <c r="G2981" i="1"/>
  <c r="G2996" s="1"/>
  <c r="G2997" s="1"/>
  <c r="G2998" s="1"/>
  <c r="D180" i="7" s="1"/>
  <c r="G3033" i="1"/>
  <c r="G3048" s="1"/>
  <c r="G3049" s="1"/>
  <c r="G3050" s="1"/>
  <c r="D182" i="7" s="1"/>
  <c r="G3085" i="1"/>
  <c r="G3100" s="1"/>
  <c r="G3101" s="1"/>
  <c r="G3102" s="1"/>
  <c r="D184" i="7" s="1"/>
  <c r="G3190" i="1"/>
  <c r="G3205" s="1"/>
  <c r="G3206" s="1"/>
  <c r="G3207" s="1"/>
  <c r="D190" i="7" s="1"/>
  <c r="G3658" i="1"/>
  <c r="G3669" s="1"/>
  <c r="G3670" s="1"/>
  <c r="G3671" s="1"/>
  <c r="D214" i="7" s="1"/>
  <c r="G3742" i="1"/>
  <c r="G3753" s="1"/>
  <c r="G3754" s="1"/>
  <c r="G3755" s="1"/>
  <c r="D218" i="7" s="1"/>
  <c r="G4352" i="1"/>
  <c r="G4363" s="1"/>
  <c r="G4364" s="1"/>
  <c r="G4365" s="1"/>
  <c r="D249" i="7" s="1"/>
  <c r="G4858" i="1"/>
  <c r="G4869" s="1"/>
  <c r="G4870" s="1"/>
  <c r="G4871" s="1"/>
  <c r="D277" i="7" s="1"/>
  <c r="G2600" i="1"/>
  <c r="G2611" s="1"/>
  <c r="G2612" s="1"/>
  <c r="G2613" s="1"/>
  <c r="D154" i="7" s="1"/>
  <c r="G2643" i="1"/>
  <c r="G2654" s="1"/>
  <c r="G2655" s="1"/>
  <c r="G2656" s="1"/>
  <c r="D158" i="7" s="1"/>
  <c r="G2804" i="1"/>
  <c r="G2815" s="1"/>
  <c r="G2816" s="1"/>
  <c r="G2817" s="1"/>
  <c r="D169" i="7" s="1"/>
  <c r="G3637" i="1"/>
  <c r="G3648" s="1"/>
  <c r="G3649" s="1"/>
  <c r="G3650" s="1"/>
  <c r="D213" i="7" s="1"/>
  <c r="G3721" i="1"/>
  <c r="G3732" s="1"/>
  <c r="G3733" s="1"/>
  <c r="G3734" s="1"/>
  <c r="D217" i="7" s="1"/>
  <c r="G4373" i="1"/>
  <c r="G4384" s="1"/>
  <c r="G4385" s="1"/>
  <c r="G4386" s="1"/>
  <c r="D250" i="7" s="1"/>
  <c r="G1041" i="1"/>
  <c r="G1055" s="1"/>
  <c r="G1056" s="1"/>
  <c r="G1057" s="1"/>
  <c r="D80" i="7" s="1"/>
  <c r="G1542" i="1"/>
  <c r="G1556" s="1"/>
  <c r="G1557" s="1"/>
  <c r="G1558" s="1"/>
  <c r="D102" i="7" s="1"/>
  <c r="G1592" i="1"/>
  <c r="G1606" s="1"/>
  <c r="G1607" s="1"/>
  <c r="G1608" s="1"/>
  <c r="D104" i="7" s="1"/>
  <c r="G2903" i="1"/>
  <c r="G2918" s="1"/>
  <c r="G2919" s="1"/>
  <c r="G2955"/>
  <c r="G2970" s="1"/>
  <c r="G2971" s="1"/>
  <c r="G2972" s="1"/>
  <c r="D179" i="7" s="1"/>
  <c r="G3007" i="1"/>
  <c r="G3022" s="1"/>
  <c r="G3023" s="1"/>
  <c r="G3024" s="1"/>
  <c r="D181" i="7" s="1"/>
  <c r="G3059" i="1"/>
  <c r="G3074" s="1"/>
  <c r="G3075" s="1"/>
  <c r="G3076" s="1"/>
  <c r="D183" i="7" s="1"/>
  <c r="G3112" i="1"/>
  <c r="G3127" s="1"/>
  <c r="G3128" s="1"/>
  <c r="G3129" s="1"/>
  <c r="D187" i="7" s="1"/>
  <c r="G3268" i="1"/>
  <c r="G3283" s="1"/>
  <c r="G3284" s="1"/>
  <c r="G3285" s="1"/>
  <c r="D193" i="7" s="1"/>
  <c r="G3616" i="1"/>
  <c r="G3627" s="1"/>
  <c r="G3628" s="1"/>
  <c r="G3629" s="1"/>
  <c r="D212" i="7" s="1"/>
  <c r="G3700" i="1"/>
  <c r="G3711" s="1"/>
  <c r="G3712" s="1"/>
  <c r="G3713" s="1"/>
  <c r="D216" i="7" s="1"/>
  <c r="G4310" i="1"/>
  <c r="G4321" s="1"/>
  <c r="G4322" s="1"/>
  <c r="G4323" s="1"/>
  <c r="D247" i="7" s="1"/>
  <c r="G4394" i="1"/>
  <c r="G4405" s="1"/>
  <c r="G4406" s="1"/>
  <c r="G4407" s="1"/>
  <c r="D251" i="7" s="1"/>
  <c r="G3679" i="1"/>
  <c r="G3690" s="1"/>
  <c r="G3691" s="1"/>
  <c r="G3692" s="1"/>
  <c r="D215" i="7" s="1"/>
  <c r="G4331" i="1"/>
  <c r="G4342" s="1"/>
  <c r="G4343" s="1"/>
  <c r="G4344" s="1"/>
  <c r="D248" i="7" s="1"/>
  <c r="G4815" i="1"/>
  <c r="G4826" s="1"/>
  <c r="G4827" s="1"/>
  <c r="G4828" s="1"/>
  <c r="D273" i="7" s="1"/>
  <c r="G4879" i="1"/>
  <c r="G4890" s="1"/>
  <c r="G4752"/>
  <c r="G4668"/>
  <c r="G4679" s="1"/>
  <c r="G4584"/>
  <c r="G4500"/>
  <c r="G4511" s="1"/>
  <c r="G4416"/>
  <c r="G2348"/>
  <c r="G2363" s="1"/>
  <c r="G2364" s="1"/>
  <c r="G2365" s="1"/>
  <c r="D139" i="7" s="1"/>
  <c r="G1644" i="1"/>
  <c r="G1442"/>
  <c r="G1456" s="1"/>
  <c r="G1457" s="1"/>
  <c r="G1458" s="1"/>
  <c r="D98" i="7" s="1"/>
  <c r="G1317" i="1"/>
  <c r="G1242"/>
  <c r="G1256" s="1"/>
  <c r="G1257" s="1"/>
  <c r="G1258" s="1"/>
  <c r="D90" i="7" s="1"/>
  <c r="G1142" i="1"/>
  <c r="G916"/>
  <c r="G930" s="1"/>
  <c r="G715"/>
  <c r="G328"/>
  <c r="G342" s="1"/>
  <c r="G343" s="1"/>
  <c r="G344" s="1"/>
  <c r="D47" i="7" s="1"/>
  <c r="G6149" i="1"/>
  <c r="G6154" s="1"/>
  <c r="G5262"/>
  <c r="G5275" s="1"/>
  <c r="G5276" s="1"/>
  <c r="G5277" s="1"/>
  <c r="D299" i="7" s="1"/>
  <c r="G5166" i="1"/>
  <c r="G5070"/>
  <c r="G5083" s="1"/>
  <c r="G5084" s="1"/>
  <c r="G5085" s="1"/>
  <c r="D291" i="7" s="1"/>
  <c r="G2113" i="1"/>
  <c r="G2009"/>
  <c r="G2024" s="1"/>
  <c r="G2025" s="1"/>
  <c r="G2026" s="1"/>
  <c r="D124" i="7" s="1"/>
  <c r="G1904" i="1"/>
  <c r="G1800"/>
  <c r="G1815" s="1"/>
  <c r="G1816" s="1"/>
  <c r="G1817" s="1"/>
  <c r="D114" i="7" s="1"/>
  <c r="G1696" i="1"/>
  <c r="G400"/>
  <c r="G414" s="1"/>
  <c r="G415" s="1"/>
  <c r="G416" s="1"/>
  <c r="D50" i="7" s="1"/>
  <c r="G3869" i="1"/>
  <c r="G3785"/>
  <c r="G3796" s="1"/>
  <c r="G3553"/>
  <c r="G3469"/>
  <c r="G3480" s="1"/>
  <c r="G5005"/>
  <c r="G4184"/>
  <c r="G4195" s="1"/>
  <c r="G4100"/>
  <c r="G4016"/>
  <c r="G4027" s="1"/>
  <c r="G3932"/>
  <c r="G3943" s="1"/>
  <c r="G3364"/>
  <c r="G3375" s="1"/>
  <c r="G6134"/>
  <c r="G6139" s="1"/>
  <c r="G5310"/>
  <c r="G5323" s="1"/>
  <c r="G5324" s="1"/>
  <c r="G5325" s="1"/>
  <c r="D301" i="7" s="1"/>
  <c r="G5214" i="1"/>
  <c r="G5227" s="1"/>
  <c r="G5228" s="1"/>
  <c r="G5229" s="1"/>
  <c r="D297" i="7" s="1"/>
  <c r="G5118" i="1"/>
  <c r="G5131" s="1"/>
  <c r="G5132" s="1"/>
  <c r="G5133" s="1"/>
  <c r="D293" i="7" s="1"/>
  <c r="G5025" i="1"/>
  <c r="G4942"/>
  <c r="G4953" s="1"/>
  <c r="G4837"/>
  <c r="G4848" s="1"/>
  <c r="G4731"/>
  <c r="G4742" s="1"/>
  <c r="G4647"/>
  <c r="G4563"/>
  <c r="G4574" s="1"/>
  <c r="G4479"/>
  <c r="G4490" s="1"/>
  <c r="G4289"/>
  <c r="G4300" s="1"/>
  <c r="G3806"/>
  <c r="G3817" s="1"/>
  <c r="G3574"/>
  <c r="G3585" s="1"/>
  <c r="G3406"/>
  <c r="G3417" s="1"/>
  <c r="G3322"/>
  <c r="G3333" s="1"/>
  <c r="G2479"/>
  <c r="G2494" s="1"/>
  <c r="G2495" s="1"/>
  <c r="G2496" s="1"/>
  <c r="D146" i="7" s="1"/>
  <c r="G2375" i="1"/>
  <c r="G2390" s="1"/>
  <c r="G2391" s="1"/>
  <c r="G2392" s="1"/>
  <c r="D142" i="7" s="1"/>
  <c r="G2270" i="1"/>
  <c r="G2285" s="1"/>
  <c r="G2286" s="1"/>
  <c r="G2287" s="1"/>
  <c r="D136" i="7" s="1"/>
  <c r="G2165" i="1"/>
  <c r="G2180" s="1"/>
  <c r="G2181" s="1"/>
  <c r="G2182" s="1"/>
  <c r="D130" i="7" s="1"/>
  <c r="G4163" i="1"/>
  <c r="G4079"/>
  <c r="G4090" s="1"/>
  <c r="G3995"/>
  <c r="G4006" s="1"/>
  <c r="G3911"/>
  <c r="G3922" s="1"/>
  <c r="G1342"/>
  <c r="G1167"/>
  <c r="G1181" s="1"/>
  <c r="G1182" s="1"/>
  <c r="G1183" s="1"/>
  <c r="D87" i="7" s="1"/>
  <c r="G941" i="1"/>
  <c r="G955" s="1"/>
  <c r="G956" s="1"/>
  <c r="G957" s="1"/>
  <c r="D76" i="7" s="1"/>
  <c r="G740" i="1"/>
  <c r="G754" s="1"/>
  <c r="G755" s="1"/>
  <c r="G756" s="1"/>
  <c r="D68" i="7" s="1"/>
  <c r="G255" i="1"/>
  <c r="G207"/>
  <c r="G221" s="1"/>
  <c r="G222" s="1"/>
  <c r="G223" s="1"/>
  <c r="D42" i="7" s="1"/>
  <c r="G60" i="1"/>
  <c r="G74" s="1"/>
  <c r="G75" s="1"/>
  <c r="G9"/>
  <c r="G23" s="1"/>
  <c r="G24" s="1"/>
  <c r="G25" s="1"/>
  <c r="D34" i="7" s="1"/>
  <c r="G617" i="1"/>
  <c r="G1392"/>
  <c r="G1406" s="1"/>
  <c r="G1407" s="1"/>
  <c r="G1408" s="1"/>
  <c r="D96" i="7" s="1"/>
  <c r="G791" i="1"/>
  <c r="G6057"/>
  <c r="G3490"/>
  <c r="G3501" s="1"/>
  <c r="G376"/>
  <c r="G390" s="1"/>
  <c r="G391" s="1"/>
  <c r="G392" s="1"/>
  <c r="D49" i="7" s="1"/>
  <c r="G5450" i="1"/>
  <c r="G5398"/>
  <c r="G4900"/>
  <c r="G4911" s="1"/>
  <c r="G4773"/>
  <c r="G4689"/>
  <c r="G4700" s="1"/>
  <c r="G4605"/>
  <c r="G4616" s="1"/>
  <c r="G4521"/>
  <c r="G4532" s="1"/>
  <c r="G4437"/>
  <c r="G4448" s="1"/>
  <c r="G4247"/>
  <c r="G4258" s="1"/>
  <c r="G3848"/>
  <c r="G3859" s="1"/>
  <c r="G3764"/>
  <c r="G3775" s="1"/>
  <c r="G3532"/>
  <c r="G3543" s="1"/>
  <c r="G3448"/>
  <c r="G3459" s="1"/>
  <c r="G2531"/>
  <c r="G2546" s="1"/>
  <c r="G2547" s="1"/>
  <c r="G2548" s="1"/>
  <c r="D148" i="7" s="1"/>
  <c r="G2427" i="1"/>
  <c r="G2442" s="1"/>
  <c r="G2443" s="1"/>
  <c r="G2444" s="1"/>
  <c r="D144" i="7" s="1"/>
  <c r="G2322" i="1"/>
  <c r="G2337" s="1"/>
  <c r="G2338" s="1"/>
  <c r="G2339" s="1"/>
  <c r="D138" i="7" s="1"/>
  <c r="G2218" i="1"/>
  <c r="G2233" s="1"/>
  <c r="G2234" s="1"/>
  <c r="G2235" s="1"/>
  <c r="D134" i="7" s="1"/>
  <c r="G1492" i="1"/>
  <c r="G1506" s="1"/>
  <c r="G1507" s="1"/>
  <c r="G1508" s="1"/>
  <c r="D100" i="7" s="1"/>
  <c r="G1292" i="1"/>
  <c r="G1306" s="1"/>
  <c r="G1307" s="1"/>
  <c r="G1308" s="1"/>
  <c r="D92" i="7" s="1"/>
  <c r="G1192" i="1"/>
  <c r="G1206" s="1"/>
  <c r="G1207" s="1"/>
  <c r="G1208" s="1"/>
  <c r="D88" i="7" s="1"/>
  <c r="G1092" i="1"/>
  <c r="G1106" s="1"/>
  <c r="G1107" s="1"/>
  <c r="G1108" s="1"/>
  <c r="D84" i="7" s="1"/>
  <c r="G473" i="1"/>
  <c r="G487" s="1"/>
  <c r="G488" s="1"/>
  <c r="G489" s="1"/>
  <c r="D55" i="7" s="1"/>
  <c r="G304" i="1"/>
  <c r="G318" s="1"/>
  <c r="G319" s="1"/>
  <c r="G320" s="1"/>
  <c r="D46" i="7" s="1"/>
  <c r="G6119" i="1"/>
  <c r="G6124" s="1"/>
  <c r="G5238"/>
  <c r="G5251" s="1"/>
  <c r="G5252" s="1"/>
  <c r="G5253" s="1"/>
  <c r="D298" i="7" s="1"/>
  <c r="G5142" i="1"/>
  <c r="G5155" s="1"/>
  <c r="G5156" s="1"/>
  <c r="G5157" s="1"/>
  <c r="D294" i="7" s="1"/>
  <c r="G5046" i="1"/>
  <c r="G5059" s="1"/>
  <c r="G5060" s="1"/>
  <c r="G4965"/>
  <c r="G4974" s="1"/>
  <c r="G4205"/>
  <c r="G4216" s="1"/>
  <c r="G4121"/>
  <c r="G4132" s="1"/>
  <c r="G4037"/>
  <c r="G4048" s="1"/>
  <c r="G3953"/>
  <c r="G3964" s="1"/>
  <c r="G3385"/>
  <c r="G3396" s="1"/>
  <c r="G2061"/>
  <c r="G2076" s="1"/>
  <c r="G2077" s="1"/>
  <c r="G2078" s="1"/>
  <c r="D126" i="7" s="1"/>
  <c r="G1956" i="1"/>
  <c r="G1971" s="1"/>
  <c r="G1972" s="1"/>
  <c r="G1973" s="1"/>
  <c r="D120" i="7" s="1"/>
  <c r="G1852" i="1"/>
  <c r="G1867" s="1"/>
  <c r="G1868" s="1"/>
  <c r="G1869" s="1"/>
  <c r="D116" i="7" s="1"/>
  <c r="G1748" i="1"/>
  <c r="G1763" s="1"/>
  <c r="G1764" s="1"/>
  <c r="G1765" s="1"/>
  <c r="D112" i="7" s="1"/>
  <c r="G841" i="1"/>
  <c r="G855" s="1"/>
  <c r="G856" s="1"/>
  <c r="G857" s="1"/>
  <c r="D72" i="7" s="1"/>
  <c r="G449" i="1"/>
  <c r="G463" s="1"/>
  <c r="G464" s="1"/>
  <c r="G465" s="1"/>
  <c r="D54" i="7" s="1"/>
  <c r="G231" i="1"/>
  <c r="G245" s="1"/>
  <c r="G246" s="1"/>
  <c r="G247" s="1"/>
  <c r="D43" i="7" s="1"/>
  <c r="G135" i="1"/>
  <c r="G149" s="1"/>
  <c r="G150" s="1"/>
  <c r="G151" s="1"/>
  <c r="D39" i="7" s="1"/>
  <c r="G35" i="1"/>
  <c r="G49" s="1"/>
  <c r="G50" s="1"/>
  <c r="G51" s="1"/>
  <c r="D35" i="7" s="1"/>
  <c r="G641" i="1"/>
  <c r="G655" s="1"/>
  <c r="G656" s="1"/>
  <c r="G657" s="1"/>
  <c r="D62" i="7" s="1"/>
  <c r="G593" i="1"/>
  <c r="G607" s="1"/>
  <c r="G608" s="1"/>
  <c r="G609" s="1"/>
  <c r="D60" i="7" s="1"/>
  <c r="G891" i="1"/>
  <c r="G905" s="1"/>
  <c r="G906" s="1"/>
  <c r="G907" s="1"/>
  <c r="D74" i="7" s="1"/>
  <c r="G3827" i="1"/>
  <c r="G3838" s="1"/>
  <c r="G3595"/>
  <c r="G3606" s="1"/>
  <c r="G3511"/>
  <c r="G3522" s="1"/>
  <c r="G3427"/>
  <c r="G3438" s="1"/>
  <c r="G2087"/>
  <c r="G2102" s="1"/>
  <c r="G2103" s="1"/>
  <c r="G2104" s="1"/>
  <c r="D127" i="7" s="1"/>
  <c r="G1983" i="1"/>
  <c r="G1998" s="1"/>
  <c r="G1999" s="1"/>
  <c r="G2000" s="1"/>
  <c r="D123" i="7" s="1"/>
  <c r="G1878" i="1"/>
  <c r="G1893" s="1"/>
  <c r="G1894" s="1"/>
  <c r="G1895" s="1"/>
  <c r="D117" i="7" s="1"/>
  <c r="G1774" i="1"/>
  <c r="G1789" s="1"/>
  <c r="G1790" s="1"/>
  <c r="G1791" s="1"/>
  <c r="D113" i="7" s="1"/>
  <c r="G1670" i="1"/>
  <c r="G1685" s="1"/>
  <c r="G1686" s="1"/>
  <c r="G1687" s="1"/>
  <c r="D109" i="7" s="1"/>
  <c r="G1618" i="1"/>
  <c r="G1633" s="1"/>
  <c r="G1634" s="1"/>
  <c r="G1635" s="1"/>
  <c r="D107" i="7" s="1"/>
  <c r="G1117" i="1"/>
  <c r="G1131" s="1"/>
  <c r="G1132" s="1"/>
  <c r="G1133" s="1"/>
  <c r="D85" i="7" s="1"/>
  <c r="G425" i="1"/>
  <c r="G439" s="1"/>
  <c r="G440" s="1"/>
  <c r="G441" s="1"/>
  <c r="D53" i="7" s="1"/>
  <c r="G5094" i="1"/>
  <c r="G5107" s="1"/>
  <c r="G5108" s="1"/>
  <c r="G5109" s="1"/>
  <c r="D292" i="7" s="1"/>
  <c r="G2558" i="1"/>
  <c r="G2569" s="1"/>
  <c r="G2570" s="1"/>
  <c r="G2571" s="1"/>
  <c r="D152" i="7" s="1"/>
  <c r="G2453" i="1"/>
  <c r="G2468" s="1"/>
  <c r="G2469" s="1"/>
  <c r="G2470" s="1"/>
  <c r="D145" i="7" s="1"/>
  <c r="G2244" i="1"/>
  <c r="G2259" s="1"/>
  <c r="G2260" s="1"/>
  <c r="G2261" s="1"/>
  <c r="D135" i="7" s="1"/>
  <c r="G816" i="1"/>
  <c r="G830" s="1"/>
  <c r="G831" s="1"/>
  <c r="G352"/>
  <c r="G366" s="1"/>
  <c r="G367" s="1"/>
  <c r="G368" s="1"/>
  <c r="D48" i="7" s="1"/>
  <c r="G110" i="1"/>
  <c r="G124" s="1"/>
  <c r="G125" s="1"/>
  <c r="G126" s="1"/>
  <c r="D38" i="7" s="1"/>
  <c r="G5190" i="1"/>
  <c r="G5203" s="1"/>
  <c r="G5204" s="1"/>
  <c r="G5205" s="1"/>
  <c r="D296" i="7" s="1"/>
  <c r="G4985" i="1"/>
  <c r="G4994" s="1"/>
  <c r="G4921"/>
  <c r="G4932" s="1"/>
  <c r="G4794"/>
  <c r="G4805" s="1"/>
  <c r="G4710"/>
  <c r="G4721" s="1"/>
  <c r="G4626"/>
  <c r="G4637" s="1"/>
  <c r="G4542"/>
  <c r="G4553" s="1"/>
  <c r="G3343"/>
  <c r="G3354" s="1"/>
  <c r="G4784"/>
  <c r="G2207"/>
  <c r="G2208" s="1"/>
  <c r="G2209" s="1"/>
  <c r="D133" i="7" s="1"/>
  <c r="G6074" i="1"/>
  <c r="G5014"/>
  <c r="G5553"/>
  <c r="G6091"/>
  <c r="G6255"/>
  <c r="G1841"/>
  <c r="G1842" s="1"/>
  <c r="G1843" s="1"/>
  <c r="D115" i="7" s="1"/>
  <c r="G1737" i="1"/>
  <c r="G1738" s="1"/>
  <c r="G1739" s="1"/>
  <c r="D111" i="7" s="1"/>
  <c r="G6359" i="1"/>
  <c r="G4174"/>
  <c r="G3564"/>
  <c r="G6289"/>
  <c r="G6108"/>
  <c r="G5501"/>
  <c r="G5380"/>
  <c r="G5299"/>
  <c r="G5300" s="1"/>
  <c r="G5301" s="1"/>
  <c r="D300" i="7" s="1"/>
  <c r="G5467" i="1"/>
  <c r="G5415"/>
  <c r="G5363"/>
  <c r="G4763"/>
  <c r="G6040"/>
  <c r="G5519"/>
  <c r="G6272"/>
  <c r="G5432"/>
  <c r="G5034"/>
  <c r="G4069"/>
  <c r="G4237"/>
  <c r="G4153"/>
  <c r="G4111"/>
  <c r="G2520"/>
  <c r="G2521" s="1"/>
  <c r="G2522" s="1"/>
  <c r="D147" i="7" s="1"/>
  <c r="G4658" i="1"/>
  <c r="G5179"/>
  <c r="G5180" s="1"/>
  <c r="G5181" s="1"/>
  <c r="D295" i="7" s="1"/>
  <c r="G4595" i="1"/>
  <c r="G4469"/>
  <c r="G4427"/>
  <c r="G4279"/>
  <c r="G3985"/>
  <c r="G3901"/>
  <c r="G3880"/>
  <c r="G2416"/>
  <c r="G2417" s="1"/>
  <c r="G2418" s="1"/>
  <c r="D143" i="7" s="1"/>
  <c r="G1081" i="1"/>
  <c r="G1082" s="1"/>
  <c r="G1083" s="1"/>
  <c r="D83" i="7" s="1"/>
  <c r="G1945" i="1"/>
  <c r="G1946" s="1"/>
  <c r="G1947" s="1"/>
  <c r="D119" i="7" s="1"/>
  <c r="G1381" i="1"/>
  <c r="G1382" s="1"/>
  <c r="G1383" s="1"/>
  <c r="D95" i="7" s="1"/>
  <c r="G1919" i="1"/>
  <c r="G1920" s="1"/>
  <c r="G1921" s="1"/>
  <c r="D118" i="7" s="1"/>
  <c r="G1711" i="1"/>
  <c r="G1712" s="1"/>
  <c r="G1713" s="1"/>
  <c r="D110" i="7" s="1"/>
  <c r="G1659" i="1"/>
  <c r="G1660" s="1"/>
  <c r="G1661" s="1"/>
  <c r="D108" i="7" s="1"/>
  <c r="G2311" i="1"/>
  <c r="G2312" s="1"/>
  <c r="G2313" s="1"/>
  <c r="D137" i="7" s="1"/>
  <c r="G2154" i="1"/>
  <c r="G2155" s="1"/>
  <c r="G2156" s="1"/>
  <c r="D129" i="7" s="1"/>
  <c r="G1431" i="1"/>
  <c r="G1432" s="1"/>
  <c r="G1433" s="1"/>
  <c r="D97" i="7" s="1"/>
  <c r="G2050" i="1"/>
  <c r="G2051" s="1"/>
  <c r="G2052" s="1"/>
  <c r="D125" i="7" s="1"/>
  <c r="G2128" i="1"/>
  <c r="G2129" s="1"/>
  <c r="G2130" s="1"/>
  <c r="D128" i="7" s="1"/>
  <c r="G1156" i="1"/>
  <c r="G1157" s="1"/>
  <c r="G1158" s="1"/>
  <c r="D86" i="7" s="1"/>
  <c r="G880" i="1"/>
  <c r="G881" s="1"/>
  <c r="G1481"/>
  <c r="G1482" s="1"/>
  <c r="G1483" s="1"/>
  <c r="D99" i="7" s="1"/>
  <c r="G703" i="1"/>
  <c r="G704" s="1"/>
  <c r="G705" s="1"/>
  <c r="D64" i="7" s="1"/>
  <c r="G805" i="1"/>
  <c r="G806" s="1"/>
  <c r="G807" s="1"/>
  <c r="D70" i="7" s="1"/>
  <c r="G780" i="1"/>
  <c r="G781" s="1"/>
  <c r="G782" s="1"/>
  <c r="D69" i="7" s="1"/>
  <c r="G559" i="1"/>
  <c r="G560" s="1"/>
  <c r="G561" s="1"/>
  <c r="D58" i="7" s="1"/>
  <c r="G511" i="1"/>
  <c r="G512" s="1"/>
  <c r="G513" s="1"/>
  <c r="D56" i="7" s="1"/>
  <c r="G1281" i="1"/>
  <c r="G1282" s="1"/>
  <c r="G1283" s="1"/>
  <c r="D91" i="7" s="1"/>
  <c r="G729" i="1"/>
  <c r="G730" s="1"/>
  <c r="G731" s="1"/>
  <c r="D67" i="7" s="1"/>
  <c r="G1356" i="1"/>
  <c r="G1357" s="1"/>
  <c r="G1358" s="1"/>
  <c r="D94" i="7" s="1"/>
  <c r="G269" i="1"/>
  <c r="G270" s="1"/>
  <c r="G271" s="1"/>
  <c r="D44" i="7" s="1"/>
  <c r="G197" i="1"/>
  <c r="G198" s="1"/>
  <c r="G199" s="1"/>
  <c r="D41" i="7" s="1"/>
  <c r="G99" i="1"/>
  <c r="G100" s="1"/>
  <c r="G101" s="1"/>
  <c r="D37" i="7" s="1"/>
  <c r="G1231" i="1"/>
  <c r="G1232" s="1"/>
  <c r="G1233" s="1"/>
  <c r="D89" i="7" s="1"/>
  <c r="G294" i="1"/>
  <c r="G295" s="1"/>
  <c r="G296" s="1"/>
  <c r="D45" i="7" s="1"/>
  <c r="G535" i="1"/>
  <c r="G536" s="1"/>
  <c r="G537" s="1"/>
  <c r="D57" i="7" s="1"/>
  <c r="G1331" i="1"/>
  <c r="G1332" s="1"/>
  <c r="G1333" s="1"/>
  <c r="D93" i="7" s="1"/>
  <c r="G679" i="1"/>
  <c r="G680" s="1"/>
  <c r="G631"/>
  <c r="G632" s="1"/>
  <c r="G633" s="1"/>
  <c r="D61" i="7" s="1"/>
  <c r="G583" i="1"/>
  <c r="G584" s="1"/>
  <c r="G585" s="1"/>
  <c r="D59" i="7" s="1"/>
  <c r="G173" i="1"/>
  <c r="G174" s="1"/>
  <c r="G175" s="1"/>
  <c r="D40" i="7" s="1"/>
  <c r="G2920" i="1" l="1"/>
  <c r="D177" i="7" s="1"/>
  <c r="G931" i="1"/>
  <c r="G932" s="1"/>
  <c r="D75" i="7" s="1"/>
  <c r="G5061" i="1"/>
  <c r="D290" i="7" s="1"/>
  <c r="G882" i="1"/>
  <c r="D73" i="7" s="1"/>
  <c r="G76" i="1"/>
  <c r="D36" i="7" s="1"/>
  <c r="G832" i="1"/>
  <c r="D71" i="7" s="1"/>
  <c r="G681" i="1"/>
  <c r="D63" i="7" s="1"/>
  <c r="G5364" i="1"/>
  <c r="G5365" s="1"/>
  <c r="D305" i="7" s="1"/>
  <c r="G3334" i="1" l="1"/>
  <c r="G3335" s="1"/>
  <c r="G5381"/>
  <c r="G5382" s="1"/>
  <c r="D306" i="7" s="1"/>
  <c r="G3355" i="1" l="1"/>
  <c r="G3356" s="1"/>
  <c r="D199" i="7" s="1"/>
  <c r="D198"/>
  <c r="G3376" i="1"/>
  <c r="G5399"/>
  <c r="G3377" l="1"/>
  <c r="D200" i="7" s="1"/>
  <c r="G5400" i="1"/>
  <c r="G5416" l="1"/>
  <c r="G5417" s="1"/>
  <c r="D308" i="7" s="1"/>
  <c r="D307"/>
  <c r="G3397" i="1"/>
  <c r="G3398" s="1"/>
  <c r="D201" i="7" s="1"/>
  <c r="G3418" i="1" l="1"/>
  <c r="G5433"/>
  <c r="G5434" s="1"/>
  <c r="D309" i="7" s="1"/>
  <c r="G5451" i="1" l="1"/>
  <c r="G5452" s="1"/>
  <c r="D310" i="7" s="1"/>
  <c r="G3419" i="1"/>
  <c r="D202" i="7" s="1"/>
  <c r="G5468" i="1" l="1"/>
  <c r="G5469" s="1"/>
  <c r="D311" i="7" s="1"/>
  <c r="G3439" i="1"/>
  <c r="G3440" s="1"/>
  <c r="D203" i="7" s="1"/>
  <c r="G3460" i="1" l="1"/>
  <c r="G3461" s="1"/>
  <c r="D204" i="7" s="1"/>
  <c r="G3481" i="1" l="1"/>
  <c r="G3482" s="1"/>
  <c r="D205" i="7" s="1"/>
  <c r="G5485" i="1"/>
  <c r="G5486" s="1"/>
  <c r="D312" i="7" s="1"/>
  <c r="G3502" i="1" l="1"/>
  <c r="G3503" s="1"/>
  <c r="D206" i="7" s="1"/>
  <c r="G3523" i="1" l="1"/>
  <c r="G3524" s="1"/>
  <c r="D207" i="7" s="1"/>
  <c r="G5502" i="1"/>
  <c r="G5503" l="1"/>
  <c r="D313" i="7" s="1"/>
  <c r="G3544" i="1" l="1"/>
  <c r="G3545" s="1"/>
  <c r="D208" i="7" s="1"/>
  <c r="G5520" i="1"/>
  <c r="G5521" l="1"/>
  <c r="D314" i="7" s="1"/>
  <c r="G3565" i="1" l="1"/>
  <c r="G3566" s="1"/>
  <c r="D209" i="7" s="1"/>
  <c r="G5537" i="1"/>
  <c r="G3586" l="1"/>
  <c r="G3587" s="1"/>
  <c r="D210" i="7" s="1"/>
  <c r="G5538" i="1"/>
  <c r="D317" i="7" s="1"/>
  <c r="G3607" i="1" l="1"/>
  <c r="G3608" s="1"/>
  <c r="D211" i="7" s="1"/>
  <c r="G5554" i="1"/>
  <c r="G5555" s="1"/>
  <c r="D318" i="7" s="1"/>
  <c r="G3776" i="1" l="1"/>
  <c r="G3777" s="1"/>
  <c r="D221" i="7" s="1"/>
  <c r="G3797" i="1" l="1"/>
  <c r="G3798" s="1"/>
  <c r="D222" i="7" s="1"/>
  <c r="G5570" i="1"/>
  <c r="G5571" s="1"/>
  <c r="D319" i="7" s="1"/>
  <c r="G3818" i="1" l="1"/>
  <c r="G3819" s="1"/>
  <c r="D223" i="7" s="1"/>
  <c r="G3839" i="1" l="1"/>
  <c r="G3840" s="1"/>
  <c r="D224" i="7" s="1"/>
  <c r="G5587" i="1"/>
  <c r="G5588" s="1"/>
  <c r="D322" i="7" s="1"/>
  <c r="G3860" i="1" l="1"/>
  <c r="G3861" s="1"/>
  <c r="D225" i="7" s="1"/>
  <c r="G5603" i="1" l="1"/>
  <c r="G5604" s="1"/>
  <c r="D323" i="7" s="1"/>
  <c r="G3881" i="1" l="1"/>
  <c r="G3882" s="1"/>
  <c r="D226" i="7" s="1"/>
  <c r="G5619" i="1"/>
  <c r="G5620" s="1"/>
  <c r="D324" i="7" s="1"/>
  <c r="G3902" i="1" l="1"/>
  <c r="G5635"/>
  <c r="G3903" l="1"/>
  <c r="G5636"/>
  <c r="G3923" l="1"/>
  <c r="G3924" s="1"/>
  <c r="D227" i="7"/>
  <c r="G5651" i="1"/>
  <c r="G5652" s="1"/>
  <c r="D325" i="7"/>
  <c r="G5668" i="1" l="1"/>
  <c r="G5669" s="1"/>
  <c r="D329" i="7" s="1"/>
  <c r="D326"/>
  <c r="G3944" i="1"/>
  <c r="G3945" s="1"/>
  <c r="D229" i="7" s="1"/>
  <c r="D228"/>
  <c r="G3965" i="1"/>
  <c r="G3966" s="1"/>
  <c r="D230" i="7" s="1"/>
  <c r="G5684" i="1"/>
  <c r="G5685" s="1"/>
  <c r="D330" i="7" s="1"/>
  <c r="G3986" i="1" l="1"/>
  <c r="G3987" s="1"/>
  <c r="D231" i="7" s="1"/>
  <c r="G5700" i="1"/>
  <c r="G5701" s="1"/>
  <c r="D331" i="7" s="1"/>
  <c r="G4007" i="1" l="1"/>
  <c r="G4008" s="1"/>
  <c r="D232" i="7" s="1"/>
  <c r="G5716" i="1"/>
  <c r="G5717" s="1"/>
  <c r="D332" i="7" s="1"/>
  <c r="G4028" i="1" l="1"/>
  <c r="G4029" s="1"/>
  <c r="G5732"/>
  <c r="G5733" s="1"/>
  <c r="D333" i="7" s="1"/>
  <c r="G4049" i="1" l="1"/>
  <c r="G4050" s="1"/>
  <c r="D233" i="7"/>
  <c r="G5748" i="1"/>
  <c r="G4070" l="1"/>
  <c r="G4071" s="1"/>
  <c r="D235" i="7" s="1"/>
  <c r="D234"/>
  <c r="G5749" i="1"/>
  <c r="D334" i="7" s="1"/>
  <c r="G5764" i="1" l="1"/>
  <c r="G5765" s="1"/>
  <c r="D335" i="7" s="1"/>
  <c r="G4091" i="1"/>
  <c r="G5780" l="1"/>
  <c r="G5781" s="1"/>
  <c r="D336" i="7" s="1"/>
  <c r="G4092" i="1"/>
  <c r="D236" i="7" s="1"/>
  <c r="G5796" i="1" l="1"/>
  <c r="G5797" s="1"/>
  <c r="D337" i="7" s="1"/>
  <c r="G4112" i="1"/>
  <c r="G4113" s="1"/>
  <c r="D237" i="7" s="1"/>
  <c r="G5812" i="1" l="1"/>
  <c r="G5813" s="1"/>
  <c r="D338" i="7" s="1"/>
  <c r="G4133" i="1"/>
  <c r="G5829" l="1"/>
  <c r="G5830" s="1"/>
  <c r="D341" i="7" s="1"/>
  <c r="G4134" i="1"/>
  <c r="G4154" l="1"/>
  <c r="G4155" s="1"/>
  <c r="D239" i="7" s="1"/>
  <c r="D238"/>
  <c r="G5845" i="1"/>
  <c r="G5846" s="1"/>
  <c r="D342" i="7" s="1"/>
  <c r="G5861" i="1" l="1"/>
  <c r="G5862" s="1"/>
  <c r="D343" i="7" s="1"/>
  <c r="G4175" i="1"/>
  <c r="G5878" l="1"/>
  <c r="G5879" s="1"/>
  <c r="D346" i="7" s="1"/>
  <c r="G4176" i="1"/>
  <c r="D240" i="7" s="1"/>
  <c r="G4196" i="1" l="1"/>
  <c r="G4197" s="1"/>
  <c r="D241" i="7" s="1"/>
  <c r="G5894" i="1" l="1"/>
  <c r="G5895" s="1"/>
  <c r="D347" i="7" s="1"/>
  <c r="G4217" i="1"/>
  <c r="G5910" l="1"/>
  <c r="G5911" s="1"/>
  <c r="D348" i="7" s="1"/>
  <c r="G4218" i="1"/>
  <c r="G4238" l="1"/>
  <c r="G4239" s="1"/>
  <c r="D243" i="7" s="1"/>
  <c r="D242"/>
  <c r="G5926" i="1"/>
  <c r="G5927" s="1"/>
  <c r="D349" i="7" s="1"/>
  <c r="G4259" i="1" l="1"/>
  <c r="G4260" s="1"/>
  <c r="D244" i="7" s="1"/>
  <c r="G5942" i="1" l="1"/>
  <c r="G5943" l="1"/>
  <c r="D350" i="7" s="1"/>
  <c r="G4280" i="1"/>
  <c r="G4281" s="1"/>
  <c r="D245" i="7" s="1"/>
  <c r="G5958" i="1" l="1"/>
  <c r="G5959" s="1"/>
  <c r="D351" i="7" s="1"/>
  <c r="G5976" i="1" l="1"/>
  <c r="G5977" s="1"/>
  <c r="D355" i="7" s="1"/>
  <c r="G4301" i="1"/>
  <c r="G5992" l="1"/>
  <c r="G5993" s="1"/>
  <c r="D356" i="7" s="1"/>
  <c r="G4302" i="1"/>
  <c r="G4428" l="1"/>
  <c r="G4429" s="1"/>
  <c r="D246" i="7"/>
  <c r="G6008" i="1"/>
  <c r="G6009" s="1"/>
  <c r="D359" i="7" s="1"/>
  <c r="G4449" i="1" l="1"/>
  <c r="G4450" s="1"/>
  <c r="D254" i="7"/>
  <c r="G6023" i="1"/>
  <c r="G6024" s="1"/>
  <c r="D360" i="7" s="1"/>
  <c r="G4470" i="1" l="1"/>
  <c r="G4471" s="1"/>
  <c r="D256" i="7" s="1"/>
  <c r="D255"/>
  <c r="G6041" i="1"/>
  <c r="G6042" s="1"/>
  <c r="D363" i="7" s="1"/>
  <c r="G6058" i="1" l="1"/>
  <c r="G4491"/>
  <c r="G6059" l="1"/>
  <c r="G4492"/>
  <c r="D257" i="7" s="1"/>
  <c r="G6075" i="1" l="1"/>
  <c r="G6076" s="1"/>
  <c r="D365" i="7" s="1"/>
  <c r="D364"/>
  <c r="G6092" i="1"/>
  <c r="G6093" s="1"/>
  <c r="D366" i="7" s="1"/>
  <c r="G4512" i="1"/>
  <c r="G6109" l="1"/>
  <c r="G6110" s="1"/>
  <c r="D367" i="7" s="1"/>
  <c r="G4513" i="1"/>
  <c r="G4533" l="1"/>
  <c r="G4534" s="1"/>
  <c r="D259" i="7" s="1"/>
  <c r="D258"/>
  <c r="G6125" i="1"/>
  <c r="G6126" s="1"/>
  <c r="D370" i="7" s="1"/>
  <c r="G6140" i="1" l="1"/>
  <c r="G6141" s="1"/>
  <c r="D371" i="7" s="1"/>
  <c r="G4554" i="1"/>
  <c r="G6155" l="1"/>
  <c r="G6156" s="1"/>
  <c r="D372" i="7" s="1"/>
  <c r="G4555" i="1"/>
  <c r="G4575" l="1"/>
  <c r="G4576" s="1"/>
  <c r="D261" i="7" s="1"/>
  <c r="D260"/>
  <c r="G6171" i="1"/>
  <c r="G6172" l="1"/>
  <c r="G4596"/>
  <c r="G4597" s="1"/>
  <c r="D262" i="7" s="1"/>
  <c r="G6188" i="1" l="1"/>
  <c r="G6189" s="1"/>
  <c r="D374" i="7" s="1"/>
  <c r="D373"/>
  <c r="G6204" i="1"/>
  <c r="G6205" s="1"/>
  <c r="D375" i="7" s="1"/>
  <c r="G4617" i="1"/>
  <c r="G4618" s="1"/>
  <c r="D263" i="7" s="1"/>
  <c r="G6221" i="1" l="1"/>
  <c r="G6222" l="1"/>
  <c r="D376" i="7" s="1"/>
  <c r="G4638" i="1"/>
  <c r="G4639" s="1"/>
  <c r="D264" i="7" s="1"/>
  <c r="G6238" i="1" l="1"/>
  <c r="G4659"/>
  <c r="G6239" l="1"/>
  <c r="D377" i="7" s="1"/>
  <c r="G4660" i="1"/>
  <c r="G4680" l="1"/>
  <c r="G4681" s="1"/>
  <c r="D265" i="7"/>
  <c r="G6256" i="1"/>
  <c r="G6257" s="1"/>
  <c r="D380" i="7" s="1"/>
  <c r="G4701" i="1" l="1"/>
  <c r="G4702" s="1"/>
  <c r="D266" i="7"/>
  <c r="G6273" i="1"/>
  <c r="G6274" s="1"/>
  <c r="G4722" l="1"/>
  <c r="G4723" s="1"/>
  <c r="D267" i="7"/>
  <c r="G6290" i="1"/>
  <c r="G6291" s="1"/>
  <c r="D382" i="7" s="1"/>
  <c r="D381"/>
  <c r="G6307" i="1"/>
  <c r="G6308" s="1"/>
  <c r="D385" i="7" s="1"/>
  <c r="G4743" i="1" l="1"/>
  <c r="G4744" s="1"/>
  <c r="D269" i="7" s="1"/>
  <c r="D268"/>
  <c r="G6324" i="1"/>
  <c r="G6325" s="1"/>
  <c r="G6338" l="1"/>
  <c r="G6339" s="1"/>
  <c r="D388" i="7"/>
  <c r="G4764" i="1"/>
  <c r="G6360" l="1"/>
  <c r="G6361" s="1"/>
  <c r="D392" i="7" s="1"/>
  <c r="D389"/>
  <c r="G4765" i="1"/>
  <c r="D270" i="7" s="1"/>
  <c r="G4785" i="1" l="1"/>
  <c r="G4786" l="1"/>
  <c r="D271" i="7" s="1"/>
  <c r="G4806" i="1" l="1"/>
  <c r="G4807" s="1"/>
  <c r="D272" i="7" s="1"/>
  <c r="G4849" i="1" l="1"/>
  <c r="G4850" s="1"/>
  <c r="D276" i="7" s="1"/>
  <c r="G4891" i="1" l="1"/>
  <c r="G4892" l="1"/>
  <c r="D278" i="7" s="1"/>
  <c r="G4912" i="1" l="1"/>
  <c r="G4913" l="1"/>
  <c r="D279" i="7" s="1"/>
  <c r="G4933" i="1" l="1"/>
  <c r="G4934" s="1"/>
  <c r="D280" i="7" s="1"/>
  <c r="G4954" i="1" l="1"/>
  <c r="G4955" s="1"/>
  <c r="D281" i="7" s="1"/>
  <c r="G4975" i="1" l="1"/>
  <c r="G4976" s="1"/>
  <c r="D284" i="7" s="1"/>
  <c r="G4995" i="1" l="1"/>
  <c r="G4996" s="1"/>
  <c r="D285" i="7" s="1"/>
  <c r="G5015" i="1" l="1"/>
  <c r="G5016" s="1"/>
  <c r="D286" i="7" s="1"/>
  <c r="G5035" i="1" l="1"/>
  <c r="G5036" s="1"/>
  <c r="D287" i="7" s="1"/>
</calcChain>
</file>

<file path=xl/comments1.xml><?xml version="1.0" encoding="utf-8"?>
<comments xmlns="http://schemas.openxmlformats.org/spreadsheetml/2006/main">
  <authors>
    <author>ACER</author>
  </authors>
  <commentList>
    <comment ref="B4" authorId="0">
      <text>
        <r>
          <rPr>
            <b/>
            <sz val="9"/>
            <color indexed="81"/>
            <rFont val="Tahoma"/>
            <family val="2"/>
          </rPr>
          <t>ACER:</t>
        </r>
        <r>
          <rPr>
            <sz val="9"/>
            <color indexed="81"/>
            <rFont val="Tahoma"/>
            <family val="2"/>
          </rPr>
          <t xml:space="preserve">
</t>
        </r>
      </text>
    </comment>
  </commentList>
</comments>
</file>

<file path=xl/sharedStrings.xml><?xml version="1.0" encoding="utf-8"?>
<sst xmlns="http://schemas.openxmlformats.org/spreadsheetml/2006/main" count="18540" uniqueCount="1602">
  <si>
    <t>No</t>
  </si>
  <si>
    <t>Uraian</t>
  </si>
  <si>
    <t>Koefisien</t>
  </si>
  <si>
    <t>Satuan</t>
  </si>
  <si>
    <t>A</t>
  </si>
  <si>
    <t>TENAGA KERJA</t>
  </si>
  <si>
    <t>Tukang Tanam</t>
  </si>
  <si>
    <t>L.02</t>
  </si>
  <si>
    <t>OH</t>
  </si>
  <si>
    <t>0,0143</t>
  </si>
  <si>
    <t>Kepala Tukang Tanam</t>
  </si>
  <si>
    <t>L.03</t>
  </si>
  <si>
    <t>0,0048</t>
  </si>
  <si>
    <t>Mandor</t>
  </si>
  <si>
    <t>L.04</t>
  </si>
  <si>
    <t>0,0016</t>
  </si>
  <si>
    <t>B</t>
  </si>
  <si>
    <t>BAHAN</t>
  </si>
  <si>
    <t>Anti Rayap pada Tanah</t>
  </si>
  <si>
    <t>kg</t>
  </si>
  <si>
    <t>0,005</t>
  </si>
  <si>
    <t>Steger</t>
  </si>
  <si>
    <t>a</t>
  </si>
  <si>
    <t>bambu* dia. 3-5 cm</t>
  </si>
  <si>
    <t>m'</t>
  </si>
  <si>
    <t>6,00</t>
  </si>
  <si>
    <t>Media Tanam</t>
  </si>
  <si>
    <t>tanah subur : 75 %</t>
  </si>
  <si>
    <t>m3</t>
  </si>
  <si>
    <t>0,0146</t>
  </si>
  <si>
    <t>b</t>
  </si>
  <si>
    <t>pupuk organik : 20 %</t>
  </si>
  <si>
    <t>0,0039</t>
  </si>
  <si>
    <t>c</t>
  </si>
  <si>
    <t>pasir pasang : 5 %</t>
  </si>
  <si>
    <t>0,0010</t>
  </si>
  <si>
    <t>C</t>
  </si>
  <si>
    <t>PERALATAN</t>
  </si>
  <si>
    <t>D</t>
  </si>
  <si>
    <t>Jumlah Harga Tenaga Kerja, Bahan dan Peralatan (A+B+C)</t>
  </si>
  <si>
    <t>E</t>
  </si>
  <si>
    <t>F</t>
  </si>
  <si>
    <t>Harga Satuan Pekerjaan (D+E)</t>
  </si>
  <si>
    <t>0,0200</t>
  </si>
  <si>
    <t>0,0067</t>
  </si>
  <si>
    <t>0,0022</t>
  </si>
  <si>
    <t>0,0244</t>
  </si>
  <si>
    <t>0,0065</t>
  </si>
  <si>
    <t>Pekerja</t>
  </si>
  <si>
    <t>L.01</t>
  </si>
  <si>
    <t>0,04</t>
  </si>
  <si>
    <t>0,013</t>
  </si>
  <si>
    <t>0,0043</t>
  </si>
  <si>
    <t>0,010</t>
  </si>
  <si>
    <t>bambu* dia. 5-8 cm</t>
  </si>
  <si>
    <t>12,00</t>
  </si>
  <si>
    <t>tali/pengikat sejenisnya</t>
  </si>
  <si>
    <t>10,00</t>
  </si>
  <si>
    <t>0,049</t>
  </si>
  <si>
    <t>0,003</t>
  </si>
  <si>
    <t>0,067</t>
  </si>
  <si>
    <t>0,022</t>
  </si>
  <si>
    <t>0,0073</t>
  </si>
  <si>
    <t>0,073</t>
  </si>
  <si>
    <t>0,020</t>
  </si>
  <si>
    <t>0,02</t>
  </si>
  <si>
    <t>bambu* dia. 8-10 cm</t>
  </si>
  <si>
    <t>18,00</t>
  </si>
  <si>
    <t>0,098</t>
  </si>
  <si>
    <t>0,026</t>
  </si>
  <si>
    <t>0,007</t>
  </si>
  <si>
    <t>Sewa crane kapasitas 1 ton</t>
  </si>
  <si>
    <t>jam</t>
  </si>
  <si>
    <t>0,28</t>
  </si>
  <si>
    <t>0,033</t>
  </si>
  <si>
    <t>0,0110</t>
  </si>
  <si>
    <t>0,146</t>
  </si>
  <si>
    <t>0,039</t>
  </si>
  <si>
    <t>0,41</t>
  </si>
  <si>
    <t>0,100</t>
  </si>
  <si>
    <t>0,050</t>
  </si>
  <si>
    <t>0,0167</t>
  </si>
  <si>
    <t>bambu* dia. 10-12 cm</t>
  </si>
  <si>
    <t>0,195</t>
  </si>
  <si>
    <t>0,052</t>
  </si>
  <si>
    <t>0,56</t>
  </si>
  <si>
    <t>buah</t>
  </si>
  <si>
    <t>1,05</t>
  </si>
  <si>
    <t>0,244</t>
  </si>
  <si>
    <t>0,065</t>
  </si>
  <si>
    <t>0,016</t>
  </si>
  <si>
    <t>0,70</t>
  </si>
  <si>
    <t>0,05</t>
  </si>
  <si>
    <t>0,01</t>
  </si>
  <si>
    <t>0,0033</t>
  </si>
  <si>
    <t>0,001</t>
  </si>
  <si>
    <t>0,0003250</t>
  </si>
  <si>
    <t>0,011</t>
  </si>
  <si>
    <t>0,0005</t>
  </si>
  <si>
    <t>0,0001</t>
  </si>
  <si>
    <t>0,00003</t>
  </si>
  <si>
    <t>0,004</t>
  </si>
  <si>
    <t>0,0013</t>
  </si>
  <si>
    <t>Rumput gajah</t>
  </si>
  <si>
    <t>m2</t>
  </si>
  <si>
    <t>1,00</t>
  </si>
  <si>
    <t>tanah subur (90%)</t>
  </si>
  <si>
    <t>0,09</t>
  </si>
  <si>
    <t>pasir pasang (10%)</t>
  </si>
  <si>
    <t>Rumput gajah mini</t>
  </si>
  <si>
    <t>Rumput peking</t>
  </si>
  <si>
    <t>Rumput embun</t>
  </si>
  <si>
    <t>4.1.7</t>
  </si>
  <si>
    <t>Penanaman pada Lahan Miring/Kelerengan</t>
  </si>
  <si>
    <t>4.1.7.1</t>
  </si>
  <si>
    <t>Mulsa</t>
  </si>
  <si>
    <t>0,300</t>
  </si>
  <si>
    <t>Pupuk Organik</t>
  </si>
  <si>
    <t>0,600</t>
  </si>
  <si>
    <t>Air</t>
  </si>
  <si>
    <t>liter</t>
  </si>
  <si>
    <t>5,600</t>
  </si>
  <si>
    <t>hari</t>
  </si>
  <si>
    <t>0,025</t>
  </si>
  <si>
    <t>Tukang tanam</t>
  </si>
  <si>
    <t>0,002</t>
  </si>
  <si>
    <t>0,0002</t>
  </si>
  <si>
    <t>0,000067</t>
  </si>
  <si>
    <t>0,800</t>
  </si>
  <si>
    <t>0,0004</t>
  </si>
  <si>
    <t>0,00013</t>
  </si>
  <si>
    <t>1,000</t>
  </si>
  <si>
    <t>0,10</t>
  </si>
  <si>
    <t>0,20</t>
  </si>
  <si>
    <t>0,015</t>
  </si>
  <si>
    <t>0,360</t>
  </si>
  <si>
    <t>0,036</t>
  </si>
  <si>
    <t>Material Organik</t>
  </si>
  <si>
    <t>0,400</t>
  </si>
  <si>
    <t>Kapur</t>
  </si>
  <si>
    <t>Mesin Molen 1m3</t>
  </si>
  <si>
    <t>0,0714</t>
  </si>
  <si>
    <t>0,350</t>
  </si>
  <si>
    <t>0,450</t>
  </si>
  <si>
    <t>Pasir</t>
  </si>
  <si>
    <t>0,150</t>
  </si>
  <si>
    <t>0,500</t>
  </si>
  <si>
    <t>0,750</t>
  </si>
  <si>
    <t>0,40</t>
  </si>
  <si>
    <t>0,15</t>
  </si>
  <si>
    <t>Sulfur</t>
  </si>
  <si>
    <t>M3</t>
  </si>
  <si>
    <t>0,0024</t>
  </si>
  <si>
    <t>0,00012</t>
  </si>
  <si>
    <t>Air bersih</t>
  </si>
  <si>
    <t>5,00</t>
  </si>
  <si>
    <t>0,00002</t>
  </si>
  <si>
    <t>3,00</t>
  </si>
  <si>
    <t>4,00</t>
  </si>
  <si>
    <t>0,00027</t>
  </si>
  <si>
    <t>0,000013</t>
  </si>
  <si>
    <t>8,00</t>
  </si>
  <si>
    <t>0,00051</t>
  </si>
  <si>
    <t>0,00005</t>
  </si>
  <si>
    <t>0,00062</t>
  </si>
  <si>
    <t>0,00009</t>
  </si>
  <si>
    <t>0,00111</t>
  </si>
  <si>
    <t>0,00022</t>
  </si>
  <si>
    <t>0,000895</t>
  </si>
  <si>
    <t>Pupuk organik</t>
  </si>
  <si>
    <t>0,00007</t>
  </si>
  <si>
    <t>0,0057</t>
  </si>
  <si>
    <t>0,00038</t>
  </si>
  <si>
    <t>Pupuk anorganik padat</t>
  </si>
  <si>
    <t>0,000012</t>
  </si>
  <si>
    <t>Sprayer Gendong</t>
  </si>
  <si>
    <t>0,00053</t>
  </si>
  <si>
    <t>0,000035</t>
  </si>
  <si>
    <t>0,00025</t>
  </si>
  <si>
    <t>0,000017</t>
  </si>
  <si>
    <t>Biaya Umum dan Keuntungan  (10% - 15%) x D</t>
  </si>
  <si>
    <t>0,0007</t>
  </si>
  <si>
    <t>0,0476</t>
  </si>
  <si>
    <t>0,00238</t>
  </si>
  <si>
    <t>0,00079</t>
  </si>
  <si>
    <t>0,0037</t>
  </si>
  <si>
    <t>0,0012</t>
  </si>
  <si>
    <t>0,13</t>
  </si>
  <si>
    <t>0,012</t>
  </si>
  <si>
    <t>0,0006</t>
  </si>
  <si>
    <t>0,0003</t>
  </si>
  <si>
    <t>Mesin Gendong</t>
  </si>
  <si>
    <t>0,00017</t>
  </si>
  <si>
    <t>0,000008</t>
  </si>
  <si>
    <t>Fungisida/insektisida</t>
  </si>
  <si>
    <t>0,000025</t>
  </si>
  <si>
    <t>0,0009</t>
  </si>
  <si>
    <t>0,0500</t>
  </si>
  <si>
    <t>Tukang cat/ pelitur</t>
  </si>
  <si>
    <t>Kepala Tukang</t>
  </si>
  <si>
    <t>0,0050</t>
  </si>
  <si>
    <t>0,0017</t>
  </si>
  <si>
    <t>m</t>
  </si>
  <si>
    <t>Kawat las</t>
  </si>
  <si>
    <t>0,029</t>
  </si>
  <si>
    <t>Cat Minyak</t>
  </si>
  <si>
    <t>0,077</t>
  </si>
  <si>
    <t>Kode</t>
  </si>
  <si>
    <t>1</t>
  </si>
  <si>
    <t>tali ijuk/pengikat sejenisnya</t>
  </si>
  <si>
    <t>tali ijuk/pengikat
sejenisnya</t>
  </si>
  <si>
    <t>25,00</t>
  </si>
  <si>
    <t>16,00</t>
  </si>
  <si>
    <t>Matras Tipe I, termasuk angkur/penguat
matras</t>
  </si>
  <si>
    <t>Perekat Campuran
Hydroseeding</t>
  </si>
  <si>
    <t>Bibit Vegetasi (Biji
Rumput)</t>
  </si>
  <si>
    <t>Pupuk
Anorganik*)</t>
  </si>
  <si>
    <t>Sewa Mesin
Hydroseeding
2000L</t>
  </si>
  <si>
    <t>Matras Tipe I,
termasuk angkur/penguat matras</t>
  </si>
  <si>
    <t>Perekat Matras
Perkuatan (Lem)</t>
  </si>
  <si>
    <t>Matras Tipe II,
termasuk angkur/penguat matras</t>
  </si>
  <si>
    <t>Matras Tipe III, termasuk angkur/penguat matras</t>
  </si>
  <si>
    <t>Tukang Pemelihara
Taman</t>
  </si>
  <si>
    <t>0,0179</t>
  </si>
  <si>
    <t>0,0014</t>
  </si>
  <si>
    <t>Pupuk anorganik
cair</t>
  </si>
  <si>
    <t>Tukang Pemelihara
Tanam</t>
  </si>
  <si>
    <t>Tong sampah 2
tabung</t>
  </si>
  <si>
    <r>
      <t xml:space="preserve">Pohon Bunga Mentega di
</t>
    </r>
    <r>
      <rPr>
        <i/>
        <sz val="11"/>
        <color rgb="FF000000"/>
        <rFont val="Calibri"/>
        <family val="2"/>
        <scheme val="minor"/>
      </rPr>
      <t xml:space="preserve">Polybag </t>
    </r>
    <r>
      <rPr>
        <sz val="11"/>
        <color rgb="FF000000"/>
        <rFont val="Calibri"/>
        <family val="2"/>
        <scheme val="minor"/>
      </rPr>
      <t>20 Liter</t>
    </r>
  </si>
  <si>
    <r>
      <t xml:space="preserve">Pohon Bunga Terompet
Kuning di </t>
    </r>
    <r>
      <rPr>
        <i/>
        <sz val="11"/>
        <color rgb="FF000000"/>
        <rFont val="Calibri"/>
        <family val="2"/>
        <scheme val="minor"/>
      </rPr>
      <t xml:space="preserve">Polybag </t>
    </r>
    <r>
      <rPr>
        <sz val="11"/>
        <color rgb="FF000000"/>
        <rFont val="Calibri"/>
        <family val="2"/>
        <scheme val="minor"/>
      </rPr>
      <t>20
Liter</t>
    </r>
  </si>
  <si>
    <r>
      <t xml:space="preserve">Pohon Bungur
Sakura/Bungur Jepang
di </t>
    </r>
    <r>
      <rPr>
        <i/>
        <sz val="11"/>
        <color rgb="FF000000"/>
        <rFont val="Calibri"/>
        <family val="2"/>
        <scheme val="minor"/>
      </rPr>
      <t xml:space="preserve">Polybag </t>
    </r>
    <r>
      <rPr>
        <sz val="11"/>
        <color rgb="FF000000"/>
        <rFont val="Calibri"/>
        <family val="2"/>
        <scheme val="minor"/>
      </rPr>
      <t>20 Liter</t>
    </r>
  </si>
  <si>
    <r>
      <t xml:space="preserve">Pohon Cassia glauca/Hujan Emas di
</t>
    </r>
    <r>
      <rPr>
        <i/>
        <sz val="11"/>
        <color rgb="FF000000"/>
        <rFont val="Calibri"/>
        <family val="2"/>
        <scheme val="minor"/>
      </rPr>
      <t xml:space="preserve">Polybag </t>
    </r>
    <r>
      <rPr>
        <sz val="11"/>
        <color rgb="FF000000"/>
        <rFont val="Calibri"/>
        <family val="2"/>
        <scheme val="minor"/>
      </rPr>
      <t>20 Liter</t>
    </r>
  </si>
  <si>
    <r>
      <t xml:space="preserve">Pohon Dracaena ‘Song of
India’ di </t>
    </r>
    <r>
      <rPr>
        <i/>
        <sz val="11"/>
        <color rgb="FF000000"/>
        <rFont val="Calibri"/>
        <family val="2"/>
        <scheme val="minor"/>
      </rPr>
      <t xml:space="preserve">Polybag </t>
    </r>
    <r>
      <rPr>
        <sz val="11"/>
        <color rgb="FF000000"/>
        <rFont val="Calibri"/>
        <family val="2"/>
        <scheme val="minor"/>
      </rPr>
      <t>20 Liter</t>
    </r>
  </si>
  <si>
    <r>
      <t xml:space="preserve">Pohon Dracaena 'Song of
Jamaica' di </t>
    </r>
    <r>
      <rPr>
        <i/>
        <sz val="11"/>
        <color rgb="FF000000"/>
        <rFont val="Calibri"/>
        <family val="2"/>
        <scheme val="minor"/>
      </rPr>
      <t xml:space="preserve">Polybag </t>
    </r>
    <r>
      <rPr>
        <sz val="11"/>
        <color rgb="FF000000"/>
        <rFont val="Calibri"/>
        <family val="2"/>
        <scheme val="minor"/>
      </rPr>
      <t>20
Liter</t>
    </r>
  </si>
  <si>
    <r>
      <t xml:space="preserve">Pohon Jarak Batavia di
</t>
    </r>
    <r>
      <rPr>
        <i/>
        <sz val="11"/>
        <color rgb="FF000000"/>
        <rFont val="Calibri"/>
        <family val="2"/>
        <scheme val="minor"/>
      </rPr>
      <t xml:space="preserve">Polybag </t>
    </r>
    <r>
      <rPr>
        <sz val="11"/>
        <color rgb="FF000000"/>
        <rFont val="Calibri"/>
        <family val="2"/>
        <scheme val="minor"/>
      </rPr>
      <t>20 Liter</t>
    </r>
  </si>
  <si>
    <r>
      <t xml:space="preserve">Pohon Kayu Putih
Kuning di </t>
    </r>
    <r>
      <rPr>
        <i/>
        <sz val="11"/>
        <color rgb="FF000000"/>
        <rFont val="Calibri"/>
        <family val="2"/>
        <scheme val="minor"/>
      </rPr>
      <t xml:space="preserve">Polybag </t>
    </r>
    <r>
      <rPr>
        <sz val="11"/>
        <color rgb="FF000000"/>
        <rFont val="Calibri"/>
        <family val="2"/>
        <scheme val="minor"/>
      </rPr>
      <t>20
Liter</t>
    </r>
  </si>
  <si>
    <r>
      <t xml:space="preserve">Pohon Bugenvil/bunga
kertas di </t>
    </r>
    <r>
      <rPr>
        <i/>
        <sz val="11"/>
        <color rgb="FF000000"/>
        <rFont val="Calibri"/>
        <family val="2"/>
        <scheme val="minor"/>
      </rPr>
      <t xml:space="preserve">Polybag </t>
    </r>
    <r>
      <rPr>
        <sz val="11"/>
        <color rgb="FF000000"/>
        <rFont val="Calibri"/>
        <family val="2"/>
        <scheme val="minor"/>
      </rPr>
      <t>20 Liter</t>
    </r>
  </si>
  <si>
    <r>
      <t xml:space="preserve">Pohon Penda Merah di
</t>
    </r>
    <r>
      <rPr>
        <i/>
        <sz val="11"/>
        <color rgb="FF000000"/>
        <rFont val="Calibri"/>
        <family val="2"/>
        <scheme val="minor"/>
      </rPr>
      <t xml:space="preserve">Polybag </t>
    </r>
    <r>
      <rPr>
        <sz val="11"/>
        <color rgb="FF000000"/>
        <rFont val="Calibri"/>
        <family val="2"/>
        <scheme val="minor"/>
      </rPr>
      <t>20 Liter</t>
    </r>
  </si>
  <si>
    <r>
      <t xml:space="preserve">Pohon Pucuk merah di
</t>
    </r>
    <r>
      <rPr>
        <i/>
        <sz val="11"/>
        <color rgb="FF000000"/>
        <rFont val="Calibri"/>
        <family val="2"/>
        <scheme val="minor"/>
      </rPr>
      <t xml:space="preserve">Polybag </t>
    </r>
    <r>
      <rPr>
        <sz val="11"/>
        <color rgb="FF000000"/>
        <rFont val="Calibri"/>
        <family val="2"/>
        <scheme val="minor"/>
      </rPr>
      <t>20 Liter</t>
    </r>
  </si>
  <si>
    <r>
      <t xml:space="preserve">Pohon Sikat Botol di
</t>
    </r>
    <r>
      <rPr>
        <i/>
        <sz val="11"/>
        <color rgb="FF000000"/>
        <rFont val="Calibri"/>
        <family val="2"/>
        <scheme val="minor"/>
      </rPr>
      <t xml:space="preserve">Polybag </t>
    </r>
    <r>
      <rPr>
        <sz val="11"/>
        <color rgb="FF000000"/>
        <rFont val="Calibri"/>
        <family val="2"/>
        <scheme val="minor"/>
      </rPr>
      <t>20 Liter</t>
    </r>
  </si>
  <si>
    <r>
      <t xml:space="preserve">Pohon Thevetia di
</t>
    </r>
    <r>
      <rPr>
        <i/>
        <sz val="11"/>
        <color rgb="FF000000"/>
        <rFont val="Calibri"/>
        <family val="2"/>
        <scheme val="minor"/>
      </rPr>
      <t xml:space="preserve">Polybag </t>
    </r>
    <r>
      <rPr>
        <sz val="11"/>
        <color rgb="FF000000"/>
        <rFont val="Calibri"/>
        <family val="2"/>
        <scheme val="minor"/>
      </rPr>
      <t>20 Liter</t>
    </r>
  </si>
  <si>
    <r>
      <t xml:space="preserve">Pohon Turi di </t>
    </r>
    <r>
      <rPr>
        <i/>
        <sz val="11"/>
        <color rgb="FF000000"/>
        <rFont val="Calibri"/>
        <family val="2"/>
        <scheme val="minor"/>
      </rPr>
      <t xml:space="preserve">Polybag </t>
    </r>
    <r>
      <rPr>
        <sz val="11"/>
        <color rgb="FF000000"/>
        <rFont val="Calibri"/>
        <family val="2"/>
        <scheme val="minor"/>
      </rPr>
      <t>20
Liter</t>
    </r>
  </si>
  <si>
    <r>
      <t xml:space="preserve">Pohon Kembang Merak di
</t>
    </r>
    <r>
      <rPr>
        <i/>
        <sz val="11"/>
        <color rgb="FF000000"/>
        <rFont val="Calibri"/>
        <family val="2"/>
        <scheme val="minor"/>
      </rPr>
      <t xml:space="preserve">Polybag </t>
    </r>
    <r>
      <rPr>
        <sz val="11"/>
        <color rgb="FF000000"/>
        <rFont val="Calibri"/>
        <family val="2"/>
        <scheme val="minor"/>
      </rPr>
      <t>20 Liter</t>
    </r>
  </si>
  <si>
    <r>
      <t xml:space="preserve">Pohon Pandan Bali di
</t>
    </r>
    <r>
      <rPr>
        <i/>
        <sz val="11"/>
        <color rgb="FF000000"/>
        <rFont val="Calibri"/>
        <family val="2"/>
        <scheme val="minor"/>
      </rPr>
      <t xml:space="preserve">Polybag </t>
    </r>
    <r>
      <rPr>
        <sz val="11"/>
        <color rgb="FF000000"/>
        <rFont val="Calibri"/>
        <family val="2"/>
        <scheme val="minor"/>
      </rPr>
      <t>20 Liter</t>
    </r>
  </si>
  <si>
    <r>
      <t xml:space="preserve">Pohon Yucca di </t>
    </r>
    <r>
      <rPr>
        <i/>
        <sz val="11"/>
        <color rgb="FF000000"/>
        <rFont val="Calibri"/>
        <family val="2"/>
        <scheme val="minor"/>
      </rPr>
      <t xml:space="preserve">Polybag
</t>
    </r>
    <r>
      <rPr>
        <sz val="11"/>
        <color rgb="FF000000"/>
        <rFont val="Calibri"/>
        <family val="2"/>
        <scheme val="minor"/>
      </rPr>
      <t>20 Liter</t>
    </r>
  </si>
  <si>
    <r>
      <t xml:space="preserve">Pohon Bunga Mentega di
</t>
    </r>
    <r>
      <rPr>
        <i/>
        <sz val="11"/>
        <color rgb="FF000000"/>
        <rFont val="Calibri"/>
        <family val="2"/>
        <scheme val="minor"/>
      </rPr>
      <t xml:space="preserve">Polybag </t>
    </r>
    <r>
      <rPr>
        <sz val="11"/>
        <color rgb="FF000000"/>
        <rFont val="Calibri"/>
        <family val="2"/>
        <scheme val="minor"/>
      </rPr>
      <t>25 Liter</t>
    </r>
  </si>
  <si>
    <r>
      <t xml:space="preserve">Pohon Bunga Terompet
Kuning di </t>
    </r>
    <r>
      <rPr>
        <i/>
        <sz val="11"/>
        <color rgb="FF000000"/>
        <rFont val="Calibri"/>
        <family val="2"/>
        <scheme val="minor"/>
      </rPr>
      <t xml:space="preserve">Polybag </t>
    </r>
    <r>
      <rPr>
        <sz val="11"/>
        <color rgb="FF000000"/>
        <rFont val="Calibri"/>
        <family val="2"/>
        <scheme val="minor"/>
      </rPr>
      <t>25 Liter</t>
    </r>
  </si>
  <si>
    <r>
      <t xml:space="preserve">Pohon Bungur
Sakura/Bungur Jepang di
</t>
    </r>
    <r>
      <rPr>
        <i/>
        <sz val="11"/>
        <color rgb="FF000000"/>
        <rFont val="Calibri"/>
        <family val="2"/>
        <scheme val="minor"/>
      </rPr>
      <t xml:space="preserve">Polybag </t>
    </r>
    <r>
      <rPr>
        <sz val="11"/>
        <color rgb="FF000000"/>
        <rFont val="Calibri"/>
        <family val="2"/>
        <scheme val="minor"/>
      </rPr>
      <t>25 Liter</t>
    </r>
  </si>
  <si>
    <r>
      <t xml:space="preserve">Pohon Cassia glauca di
</t>
    </r>
    <r>
      <rPr>
        <i/>
        <sz val="11"/>
        <color rgb="FF000000"/>
        <rFont val="Calibri"/>
        <family val="2"/>
        <scheme val="minor"/>
      </rPr>
      <t xml:space="preserve">Polybag </t>
    </r>
    <r>
      <rPr>
        <sz val="11"/>
        <color rgb="FF000000"/>
        <rFont val="Calibri"/>
        <family val="2"/>
        <scheme val="minor"/>
      </rPr>
      <t>25 Liter</t>
    </r>
  </si>
  <si>
    <r>
      <t xml:space="preserve">Pohon Dracaena ‘Song of
India’ di </t>
    </r>
    <r>
      <rPr>
        <i/>
        <sz val="11"/>
        <color rgb="FF000000"/>
        <rFont val="Calibri"/>
        <family val="2"/>
        <scheme val="minor"/>
      </rPr>
      <t xml:space="preserve">Polybag </t>
    </r>
    <r>
      <rPr>
        <sz val="11"/>
        <color rgb="FF000000"/>
        <rFont val="Calibri"/>
        <family val="2"/>
        <scheme val="minor"/>
      </rPr>
      <t>25 Liter</t>
    </r>
  </si>
  <si>
    <r>
      <t xml:space="preserve">Pohon Dracaena 'Song of
Jamaica' di </t>
    </r>
    <r>
      <rPr>
        <i/>
        <sz val="11"/>
        <color rgb="FF000000"/>
        <rFont val="Calibri"/>
        <family val="2"/>
        <scheme val="minor"/>
      </rPr>
      <t xml:space="preserve">Polybag </t>
    </r>
    <r>
      <rPr>
        <sz val="11"/>
        <color rgb="FF000000"/>
        <rFont val="Calibri"/>
        <family val="2"/>
        <scheme val="minor"/>
      </rPr>
      <t>25
Liter</t>
    </r>
  </si>
  <si>
    <r>
      <t xml:space="preserve">Pohon Jarak Batavia di
</t>
    </r>
    <r>
      <rPr>
        <i/>
        <sz val="11"/>
        <color rgb="FF000000"/>
        <rFont val="Calibri"/>
        <family val="2"/>
        <scheme val="minor"/>
      </rPr>
      <t xml:space="preserve">Polybag </t>
    </r>
    <r>
      <rPr>
        <sz val="11"/>
        <color rgb="FF000000"/>
        <rFont val="Calibri"/>
        <family val="2"/>
        <scheme val="minor"/>
      </rPr>
      <t>25 Liter</t>
    </r>
  </si>
  <si>
    <r>
      <t xml:space="preserve">Pohon Kayu Putih Kuning di </t>
    </r>
    <r>
      <rPr>
        <i/>
        <sz val="11"/>
        <color rgb="FF000000"/>
        <rFont val="Calibri"/>
        <family val="2"/>
        <scheme val="minor"/>
      </rPr>
      <t xml:space="preserve">Polybag </t>
    </r>
    <r>
      <rPr>
        <sz val="11"/>
        <color rgb="FF000000"/>
        <rFont val="Calibri"/>
        <family val="2"/>
        <scheme val="minor"/>
      </rPr>
      <t>25 Liter</t>
    </r>
  </si>
  <si>
    <r>
      <t xml:space="preserve">Pohon Pucuk merah di
</t>
    </r>
    <r>
      <rPr>
        <i/>
        <sz val="11"/>
        <color rgb="FF000000"/>
        <rFont val="Calibri"/>
        <family val="2"/>
        <scheme val="minor"/>
      </rPr>
      <t xml:space="preserve">Polybag </t>
    </r>
    <r>
      <rPr>
        <sz val="11"/>
        <color rgb="FF000000"/>
        <rFont val="Calibri"/>
        <family val="2"/>
        <scheme val="minor"/>
      </rPr>
      <t>25 Liter</t>
    </r>
  </si>
  <si>
    <r>
      <t xml:space="preserve">Pohon Sikat Botol di
</t>
    </r>
    <r>
      <rPr>
        <i/>
        <sz val="11"/>
        <color rgb="FF000000"/>
        <rFont val="Calibri"/>
        <family val="2"/>
        <scheme val="minor"/>
      </rPr>
      <t xml:space="preserve">Polybag </t>
    </r>
    <r>
      <rPr>
        <sz val="11"/>
        <color rgb="FF000000"/>
        <rFont val="Calibri"/>
        <family val="2"/>
        <scheme val="minor"/>
      </rPr>
      <t>25 Liter</t>
    </r>
  </si>
  <si>
    <r>
      <t xml:space="preserve">Pohon Thevetia di </t>
    </r>
    <r>
      <rPr>
        <i/>
        <sz val="11"/>
        <color rgb="FF000000"/>
        <rFont val="Calibri"/>
        <family val="2"/>
        <scheme val="minor"/>
      </rPr>
      <t xml:space="preserve">Polybag
</t>
    </r>
    <r>
      <rPr>
        <sz val="11"/>
        <color rgb="FF000000"/>
        <rFont val="Calibri"/>
        <family val="2"/>
        <scheme val="minor"/>
      </rPr>
      <t>25 Liter</t>
    </r>
  </si>
  <si>
    <r>
      <t xml:space="preserve">Pohon Turi di </t>
    </r>
    <r>
      <rPr>
        <i/>
        <sz val="11"/>
        <color rgb="FF000000"/>
        <rFont val="Calibri"/>
        <family val="2"/>
        <scheme val="minor"/>
      </rPr>
      <t xml:space="preserve">Polybag </t>
    </r>
    <r>
      <rPr>
        <sz val="11"/>
        <color rgb="FF000000"/>
        <rFont val="Calibri"/>
        <family val="2"/>
        <scheme val="minor"/>
      </rPr>
      <t>25
Liter</t>
    </r>
  </si>
  <si>
    <r>
      <t xml:space="preserve">Pohon Bintaro di </t>
    </r>
    <r>
      <rPr>
        <i/>
        <sz val="11"/>
        <color rgb="FF000000"/>
        <rFont val="Calibri"/>
        <family val="2"/>
        <scheme val="minor"/>
      </rPr>
      <t xml:space="preserve">Polybag
</t>
    </r>
    <r>
      <rPr>
        <sz val="11"/>
        <color rgb="FF000000"/>
        <rFont val="Calibri"/>
        <family val="2"/>
        <scheme val="minor"/>
      </rPr>
      <t>50 Liter</t>
    </r>
  </si>
  <si>
    <r>
      <t xml:space="preserve">Pohon Bunga Kupu-Kupu di </t>
    </r>
    <r>
      <rPr>
        <i/>
        <sz val="11"/>
        <color rgb="FF000000"/>
        <rFont val="Calibri"/>
        <family val="2"/>
        <scheme val="minor"/>
      </rPr>
      <t xml:space="preserve">Polybag </t>
    </r>
    <r>
      <rPr>
        <sz val="11"/>
        <color rgb="FF000000"/>
        <rFont val="Calibri"/>
        <family val="2"/>
        <scheme val="minor"/>
      </rPr>
      <t>50 Liter</t>
    </r>
  </si>
  <si>
    <r>
      <t xml:space="preserve">Pohon Bunga Terompet
Kuning di </t>
    </r>
    <r>
      <rPr>
        <i/>
        <sz val="11"/>
        <color rgb="FF000000"/>
        <rFont val="Calibri"/>
        <family val="2"/>
        <scheme val="minor"/>
      </rPr>
      <t xml:space="preserve">Polybag </t>
    </r>
    <r>
      <rPr>
        <sz val="11"/>
        <color rgb="FF000000"/>
        <rFont val="Calibri"/>
        <family val="2"/>
        <scheme val="minor"/>
      </rPr>
      <t>50 Liter</t>
    </r>
  </si>
  <si>
    <r>
      <t xml:space="preserve">Pohon Flamboyan di
</t>
    </r>
    <r>
      <rPr>
        <i/>
        <sz val="11"/>
        <color rgb="FF000000"/>
        <rFont val="Calibri"/>
        <family val="2"/>
        <scheme val="minor"/>
      </rPr>
      <t xml:space="preserve">Polybag </t>
    </r>
    <r>
      <rPr>
        <sz val="11"/>
        <color rgb="FF000000"/>
        <rFont val="Calibri"/>
        <family val="2"/>
        <scheme val="minor"/>
      </rPr>
      <t>50 Liter</t>
    </r>
  </si>
  <si>
    <r>
      <t xml:space="preserve">Pohon Flamboyan Kuning di </t>
    </r>
    <r>
      <rPr>
        <i/>
        <sz val="11"/>
        <color rgb="FF000000"/>
        <rFont val="Calibri"/>
        <family val="2"/>
        <scheme val="minor"/>
      </rPr>
      <t xml:space="preserve">Polybag </t>
    </r>
    <r>
      <rPr>
        <sz val="11"/>
        <color rgb="FF000000"/>
        <rFont val="Calibri"/>
        <family val="2"/>
        <scheme val="minor"/>
      </rPr>
      <t>50 Liter</t>
    </r>
  </si>
  <si>
    <r>
      <t xml:space="preserve">Pohon Janda Merana di
</t>
    </r>
    <r>
      <rPr>
        <i/>
        <sz val="11"/>
        <color rgb="FF000000"/>
        <rFont val="Calibri"/>
        <family val="2"/>
        <scheme val="minor"/>
      </rPr>
      <t xml:space="preserve">Polybag </t>
    </r>
    <r>
      <rPr>
        <sz val="11"/>
        <color rgb="FF000000"/>
        <rFont val="Calibri"/>
        <family val="2"/>
        <scheme val="minor"/>
      </rPr>
      <t>50 Liter</t>
    </r>
  </si>
  <si>
    <r>
      <t xml:space="preserve">Pohon Ketapang kencana di </t>
    </r>
    <r>
      <rPr>
        <i/>
        <sz val="11"/>
        <color rgb="FF000000"/>
        <rFont val="Calibri"/>
        <family val="2"/>
        <scheme val="minor"/>
      </rPr>
      <t xml:space="preserve">Polybag </t>
    </r>
    <r>
      <rPr>
        <sz val="11"/>
        <color rgb="FF000000"/>
        <rFont val="Calibri"/>
        <family val="2"/>
        <scheme val="minor"/>
      </rPr>
      <t>50 Liter</t>
    </r>
  </si>
  <si>
    <r>
      <t xml:space="preserve">Pohon Sosis di </t>
    </r>
    <r>
      <rPr>
        <i/>
        <sz val="11"/>
        <color rgb="FF000000"/>
        <rFont val="Calibri"/>
        <family val="2"/>
        <scheme val="minor"/>
      </rPr>
      <t xml:space="preserve">Polybag </t>
    </r>
    <r>
      <rPr>
        <sz val="11"/>
        <color rgb="FF000000"/>
        <rFont val="Calibri"/>
        <family val="2"/>
        <scheme val="minor"/>
      </rPr>
      <t>50
Liter</t>
    </r>
  </si>
  <si>
    <r>
      <t xml:space="preserve">Pohon Tabebuya  di </t>
    </r>
    <r>
      <rPr>
        <i/>
        <sz val="11"/>
        <color rgb="FF000000"/>
        <rFont val="Calibri"/>
        <family val="2"/>
        <scheme val="minor"/>
      </rPr>
      <t xml:space="preserve">Polybag
</t>
    </r>
    <r>
      <rPr>
        <sz val="11"/>
        <color rgb="FF000000"/>
        <rFont val="Calibri"/>
        <family val="2"/>
        <scheme val="minor"/>
      </rPr>
      <t>50 Liter</t>
    </r>
  </si>
  <si>
    <r>
      <t xml:space="preserve">Pohon Waru di </t>
    </r>
    <r>
      <rPr>
        <i/>
        <sz val="11"/>
        <color rgb="FF000000"/>
        <rFont val="Calibri"/>
        <family val="2"/>
        <scheme val="minor"/>
      </rPr>
      <t xml:space="preserve">Polybag </t>
    </r>
    <r>
      <rPr>
        <sz val="11"/>
        <color rgb="FF000000"/>
        <rFont val="Calibri"/>
        <family val="2"/>
        <scheme val="minor"/>
      </rPr>
      <t>50
Liter</t>
    </r>
  </si>
  <si>
    <r>
      <t xml:space="preserve">Pohon Bintaro di </t>
    </r>
    <r>
      <rPr>
        <i/>
        <sz val="11"/>
        <color rgb="FF000000"/>
        <rFont val="Calibri"/>
        <family val="2"/>
        <scheme val="minor"/>
      </rPr>
      <t xml:space="preserve">Polybag
</t>
    </r>
    <r>
      <rPr>
        <sz val="11"/>
        <color rgb="FF000000"/>
        <rFont val="Calibri"/>
        <family val="2"/>
        <scheme val="minor"/>
      </rPr>
      <t>75 Liter</t>
    </r>
  </si>
  <si>
    <r>
      <t xml:space="preserve">Pohon Biola Cantik di
</t>
    </r>
    <r>
      <rPr>
        <i/>
        <sz val="11"/>
        <color rgb="FF000000"/>
        <rFont val="Calibri"/>
        <family val="2"/>
        <scheme val="minor"/>
      </rPr>
      <t xml:space="preserve">Polybag </t>
    </r>
    <r>
      <rPr>
        <sz val="11"/>
        <color rgb="FF000000"/>
        <rFont val="Calibri"/>
        <family val="2"/>
        <scheme val="minor"/>
      </rPr>
      <t>75 Liter</t>
    </r>
  </si>
  <si>
    <r>
      <t xml:space="preserve">Pohon Bunga Kupu-Kupu
di </t>
    </r>
    <r>
      <rPr>
        <i/>
        <sz val="11"/>
        <color rgb="FF000000"/>
        <rFont val="Calibri"/>
        <family val="2"/>
        <scheme val="minor"/>
      </rPr>
      <t xml:space="preserve">Polybag </t>
    </r>
    <r>
      <rPr>
        <sz val="11"/>
        <color rgb="FF000000"/>
        <rFont val="Calibri"/>
        <family val="2"/>
        <scheme val="minor"/>
      </rPr>
      <t>75 Liter</t>
    </r>
  </si>
  <si>
    <r>
      <t xml:space="preserve">Pohon Bungur  di </t>
    </r>
    <r>
      <rPr>
        <i/>
        <sz val="11"/>
        <color rgb="FF000000"/>
        <rFont val="Calibri"/>
        <family val="2"/>
        <scheme val="minor"/>
      </rPr>
      <t xml:space="preserve">Polybag
</t>
    </r>
    <r>
      <rPr>
        <sz val="11"/>
        <color rgb="FF000000"/>
        <rFont val="Calibri"/>
        <family val="2"/>
        <scheme val="minor"/>
      </rPr>
      <t>75 Liter</t>
    </r>
  </si>
  <si>
    <r>
      <t xml:space="preserve">Pohon Flamboyan di
</t>
    </r>
    <r>
      <rPr>
        <i/>
        <sz val="11"/>
        <color rgb="FF000000"/>
        <rFont val="Calibri"/>
        <family val="2"/>
        <scheme val="minor"/>
      </rPr>
      <t xml:space="preserve">Polybag </t>
    </r>
    <r>
      <rPr>
        <sz val="11"/>
        <color rgb="FF000000"/>
        <rFont val="Calibri"/>
        <family val="2"/>
        <scheme val="minor"/>
      </rPr>
      <t>75 Liter</t>
    </r>
  </si>
  <si>
    <r>
      <t xml:space="preserve">Pohon Flamboyan Kuning
di </t>
    </r>
    <r>
      <rPr>
        <i/>
        <sz val="11"/>
        <color rgb="FF000000"/>
        <rFont val="Calibri"/>
        <family val="2"/>
        <scheme val="minor"/>
      </rPr>
      <t xml:space="preserve">Polybag </t>
    </r>
    <r>
      <rPr>
        <sz val="11"/>
        <color rgb="FF000000"/>
        <rFont val="Calibri"/>
        <family val="2"/>
        <scheme val="minor"/>
      </rPr>
      <t>75 Liter</t>
    </r>
  </si>
  <si>
    <r>
      <t xml:space="preserve">Pohon Janda Merana di
</t>
    </r>
    <r>
      <rPr>
        <i/>
        <sz val="11"/>
        <color rgb="FF000000"/>
        <rFont val="Calibri"/>
        <family val="2"/>
        <scheme val="minor"/>
      </rPr>
      <t xml:space="preserve">Polybag </t>
    </r>
    <r>
      <rPr>
        <sz val="11"/>
        <color rgb="FF000000"/>
        <rFont val="Calibri"/>
        <family val="2"/>
        <scheme val="minor"/>
      </rPr>
      <t>75 Liter</t>
    </r>
  </si>
  <si>
    <r>
      <t xml:space="preserve">Pohon Kamboja  di </t>
    </r>
    <r>
      <rPr>
        <i/>
        <sz val="11"/>
        <color rgb="FF000000"/>
        <rFont val="Calibri"/>
        <family val="2"/>
        <scheme val="minor"/>
      </rPr>
      <t xml:space="preserve">Polybag
</t>
    </r>
    <r>
      <rPr>
        <sz val="11"/>
        <color rgb="FF000000"/>
        <rFont val="Calibri"/>
        <family val="2"/>
        <scheme val="minor"/>
      </rPr>
      <t>75 Liter</t>
    </r>
  </si>
  <si>
    <r>
      <t xml:space="preserve">Pohon Keben di </t>
    </r>
    <r>
      <rPr>
        <i/>
        <sz val="11"/>
        <color rgb="FF000000"/>
        <rFont val="Calibri"/>
        <family val="2"/>
        <scheme val="minor"/>
      </rPr>
      <t xml:space="preserve">Polybag </t>
    </r>
    <r>
      <rPr>
        <sz val="11"/>
        <color rgb="FF000000"/>
        <rFont val="Calibri"/>
        <family val="2"/>
        <scheme val="minor"/>
      </rPr>
      <t>75
Liter</t>
    </r>
  </si>
  <si>
    <r>
      <t xml:space="preserve">Pohon Kecrutan di </t>
    </r>
    <r>
      <rPr>
        <i/>
        <sz val="11"/>
        <color rgb="FF000000"/>
        <rFont val="Calibri"/>
        <family val="2"/>
        <scheme val="minor"/>
      </rPr>
      <t xml:space="preserve">Polybag
</t>
    </r>
    <r>
      <rPr>
        <sz val="11"/>
        <color rgb="FF000000"/>
        <rFont val="Calibri"/>
        <family val="2"/>
        <scheme val="minor"/>
      </rPr>
      <t>75 Liter</t>
    </r>
  </si>
  <si>
    <r>
      <t xml:space="preserve">Pohon Ketapang kencana
di </t>
    </r>
    <r>
      <rPr>
        <i/>
        <sz val="11"/>
        <color rgb="FF000000"/>
        <rFont val="Calibri"/>
        <family val="2"/>
        <scheme val="minor"/>
      </rPr>
      <t xml:space="preserve">Polybag </t>
    </r>
    <r>
      <rPr>
        <sz val="11"/>
        <color rgb="FF000000"/>
        <rFont val="Calibri"/>
        <family val="2"/>
        <scheme val="minor"/>
      </rPr>
      <t>75 Liter</t>
    </r>
  </si>
  <si>
    <r>
      <t xml:space="preserve">Pohon Mahoni di </t>
    </r>
    <r>
      <rPr>
        <i/>
        <sz val="11"/>
        <color rgb="FF000000"/>
        <rFont val="Calibri"/>
        <family val="2"/>
        <scheme val="minor"/>
      </rPr>
      <t xml:space="preserve">Polybag
</t>
    </r>
    <r>
      <rPr>
        <sz val="11"/>
        <color rgb="FF000000"/>
        <rFont val="Calibri"/>
        <family val="2"/>
        <scheme val="minor"/>
      </rPr>
      <t>75 Liter</t>
    </r>
  </si>
  <si>
    <r>
      <t xml:space="preserve">Pohon Pulai  di </t>
    </r>
    <r>
      <rPr>
        <i/>
        <sz val="11"/>
        <color rgb="FF000000"/>
        <rFont val="Calibri"/>
        <family val="2"/>
        <scheme val="minor"/>
      </rPr>
      <t xml:space="preserve">Polybag </t>
    </r>
    <r>
      <rPr>
        <sz val="11"/>
        <color rgb="FF000000"/>
        <rFont val="Calibri"/>
        <family val="2"/>
        <scheme val="minor"/>
      </rPr>
      <t>75
Liter</t>
    </r>
  </si>
  <si>
    <r>
      <t xml:space="preserve">Pohon Putat di </t>
    </r>
    <r>
      <rPr>
        <i/>
        <sz val="11"/>
        <color rgb="FF000000"/>
        <rFont val="Calibri"/>
        <family val="2"/>
        <scheme val="minor"/>
      </rPr>
      <t xml:space="preserve">Polybag </t>
    </r>
    <r>
      <rPr>
        <sz val="11"/>
        <color rgb="FF000000"/>
        <rFont val="Calibri"/>
        <family val="2"/>
        <scheme val="minor"/>
      </rPr>
      <t>75
Liter</t>
    </r>
  </si>
  <si>
    <r>
      <t xml:space="preserve">Pohon Sosis di </t>
    </r>
    <r>
      <rPr>
        <i/>
        <sz val="11"/>
        <color rgb="FF000000"/>
        <rFont val="Calibri"/>
        <family val="2"/>
        <scheme val="minor"/>
      </rPr>
      <t xml:space="preserve">Polybag </t>
    </r>
    <r>
      <rPr>
        <sz val="11"/>
        <color rgb="FF000000"/>
        <rFont val="Calibri"/>
        <family val="2"/>
        <scheme val="minor"/>
      </rPr>
      <t>75
Liter</t>
    </r>
  </si>
  <si>
    <r>
      <t xml:space="preserve">Pohon Tabebuya  di
</t>
    </r>
    <r>
      <rPr>
        <i/>
        <sz val="11"/>
        <color rgb="FF000000"/>
        <rFont val="Calibri"/>
        <family val="2"/>
        <scheme val="minor"/>
      </rPr>
      <t xml:space="preserve">Polybag </t>
    </r>
    <r>
      <rPr>
        <sz val="11"/>
        <color rgb="FF000000"/>
        <rFont val="Calibri"/>
        <family val="2"/>
        <scheme val="minor"/>
      </rPr>
      <t>75 Liter</t>
    </r>
  </si>
  <si>
    <r>
      <t xml:space="preserve">Pohon Trembesi di </t>
    </r>
    <r>
      <rPr>
        <i/>
        <sz val="11"/>
        <color rgb="FF000000"/>
        <rFont val="Calibri"/>
        <family val="2"/>
        <scheme val="minor"/>
      </rPr>
      <t xml:space="preserve">Polybag
</t>
    </r>
    <r>
      <rPr>
        <sz val="11"/>
        <color rgb="FF000000"/>
        <rFont val="Calibri"/>
        <family val="2"/>
        <scheme val="minor"/>
      </rPr>
      <t>75 Liter</t>
    </r>
  </si>
  <si>
    <r>
      <t xml:space="preserve">Pohon Waru di </t>
    </r>
    <r>
      <rPr>
        <i/>
        <sz val="11"/>
        <color rgb="FF000000"/>
        <rFont val="Calibri"/>
        <family val="2"/>
        <scheme val="minor"/>
      </rPr>
      <t xml:space="preserve">Polybag </t>
    </r>
    <r>
      <rPr>
        <sz val="11"/>
        <color rgb="FF000000"/>
        <rFont val="Calibri"/>
        <family val="2"/>
        <scheme val="minor"/>
      </rPr>
      <t>75
Liter</t>
    </r>
  </si>
  <si>
    <r>
      <t xml:space="preserve">Pohon Beringin di </t>
    </r>
    <r>
      <rPr>
        <i/>
        <sz val="11"/>
        <color rgb="FF000000"/>
        <rFont val="Calibri"/>
        <family val="2"/>
        <scheme val="minor"/>
      </rPr>
      <t xml:space="preserve">Polybag
</t>
    </r>
    <r>
      <rPr>
        <sz val="11"/>
        <color rgb="FF000000"/>
        <rFont val="Calibri"/>
        <family val="2"/>
        <scheme val="minor"/>
      </rPr>
      <t>100 Liter</t>
    </r>
  </si>
  <si>
    <r>
      <t xml:space="preserve">Pohon Biola Cantik di
</t>
    </r>
    <r>
      <rPr>
        <i/>
        <sz val="11"/>
        <color rgb="FF000000"/>
        <rFont val="Calibri"/>
        <family val="2"/>
        <scheme val="minor"/>
      </rPr>
      <t xml:space="preserve">Polybag </t>
    </r>
    <r>
      <rPr>
        <sz val="11"/>
        <color rgb="FF000000"/>
        <rFont val="Calibri"/>
        <family val="2"/>
        <scheme val="minor"/>
      </rPr>
      <t>100 Liter</t>
    </r>
  </si>
  <si>
    <r>
      <t xml:space="preserve">Pohon Bodhi di </t>
    </r>
    <r>
      <rPr>
        <i/>
        <sz val="11"/>
        <color rgb="FF000000"/>
        <rFont val="Calibri"/>
        <family val="2"/>
        <scheme val="minor"/>
      </rPr>
      <t xml:space="preserve">Polybag </t>
    </r>
    <r>
      <rPr>
        <sz val="11"/>
        <color rgb="FF000000"/>
        <rFont val="Calibri"/>
        <family val="2"/>
        <scheme val="minor"/>
      </rPr>
      <t>100
Liter</t>
    </r>
  </si>
  <si>
    <r>
      <t xml:space="preserve">Pohon Bungur di </t>
    </r>
    <r>
      <rPr>
        <i/>
        <sz val="11"/>
        <color rgb="FF000000"/>
        <rFont val="Calibri"/>
        <family val="2"/>
        <scheme val="minor"/>
      </rPr>
      <t xml:space="preserve">Polybag
</t>
    </r>
    <r>
      <rPr>
        <sz val="11"/>
        <color rgb="FF000000"/>
        <rFont val="Calibri"/>
        <family val="2"/>
        <scheme val="minor"/>
      </rPr>
      <t>100 Liter</t>
    </r>
  </si>
  <si>
    <r>
      <t xml:space="preserve">Pohon Flamboyan di
</t>
    </r>
    <r>
      <rPr>
        <i/>
        <sz val="11"/>
        <color rgb="FF000000"/>
        <rFont val="Calibri"/>
        <family val="2"/>
        <scheme val="minor"/>
      </rPr>
      <t xml:space="preserve">Polybag </t>
    </r>
    <r>
      <rPr>
        <sz val="11"/>
        <color rgb="FF000000"/>
        <rFont val="Calibri"/>
        <family val="2"/>
        <scheme val="minor"/>
      </rPr>
      <t>100 Liter</t>
    </r>
  </si>
  <si>
    <r>
      <t xml:space="preserve">Pohon Kamboja di </t>
    </r>
    <r>
      <rPr>
        <i/>
        <sz val="11"/>
        <color rgb="FF000000"/>
        <rFont val="Calibri"/>
        <family val="2"/>
        <scheme val="minor"/>
      </rPr>
      <t xml:space="preserve">Polybag
</t>
    </r>
    <r>
      <rPr>
        <sz val="11"/>
        <color rgb="FF000000"/>
        <rFont val="Calibri"/>
        <family val="2"/>
        <scheme val="minor"/>
      </rPr>
      <t>100 Liter</t>
    </r>
  </si>
  <si>
    <r>
      <t xml:space="preserve">Pohon Keben di </t>
    </r>
    <r>
      <rPr>
        <i/>
        <sz val="11"/>
        <color rgb="FF000000"/>
        <rFont val="Calibri"/>
        <family val="2"/>
        <scheme val="minor"/>
      </rPr>
      <t xml:space="preserve">Polybag
</t>
    </r>
    <r>
      <rPr>
        <sz val="11"/>
        <color rgb="FF000000"/>
        <rFont val="Calibri"/>
        <family val="2"/>
        <scheme val="minor"/>
      </rPr>
      <t>100 Liter</t>
    </r>
  </si>
  <si>
    <r>
      <t xml:space="preserve">Pohon Kecrutan di </t>
    </r>
    <r>
      <rPr>
        <i/>
        <sz val="11"/>
        <color rgb="FF000000"/>
        <rFont val="Calibri"/>
        <family val="2"/>
        <scheme val="minor"/>
      </rPr>
      <t xml:space="preserve">Polybag
</t>
    </r>
    <r>
      <rPr>
        <sz val="11"/>
        <color rgb="FF000000"/>
        <rFont val="Calibri"/>
        <family val="2"/>
        <scheme val="minor"/>
      </rPr>
      <t>100 Liter</t>
    </r>
  </si>
  <si>
    <r>
      <t xml:space="preserve">Pohon Ketapang kencana di </t>
    </r>
    <r>
      <rPr>
        <i/>
        <sz val="11"/>
        <color rgb="FF000000"/>
        <rFont val="Calibri"/>
        <family val="2"/>
        <scheme val="minor"/>
      </rPr>
      <t xml:space="preserve">Polybag </t>
    </r>
    <r>
      <rPr>
        <sz val="11"/>
        <color rgb="FF000000"/>
        <rFont val="Calibri"/>
        <family val="2"/>
        <scheme val="minor"/>
      </rPr>
      <t>100 Liter</t>
    </r>
  </si>
  <si>
    <r>
      <t xml:space="preserve">Pohon Mahoni di </t>
    </r>
    <r>
      <rPr>
        <i/>
        <sz val="11"/>
        <color rgb="FF000000"/>
        <rFont val="Calibri"/>
        <family val="2"/>
        <scheme val="minor"/>
      </rPr>
      <t xml:space="preserve">Polybag
</t>
    </r>
    <r>
      <rPr>
        <sz val="11"/>
        <color rgb="FF000000"/>
        <rFont val="Calibri"/>
        <family val="2"/>
        <scheme val="minor"/>
      </rPr>
      <t>100 Liter</t>
    </r>
  </si>
  <si>
    <r>
      <t xml:space="preserve">Pohon Pulai  di </t>
    </r>
    <r>
      <rPr>
        <i/>
        <sz val="11"/>
        <color rgb="FF000000"/>
        <rFont val="Calibri"/>
        <family val="2"/>
        <scheme val="minor"/>
      </rPr>
      <t xml:space="preserve">Polybag </t>
    </r>
    <r>
      <rPr>
        <sz val="11"/>
        <color rgb="FF000000"/>
        <rFont val="Calibri"/>
        <family val="2"/>
        <scheme val="minor"/>
      </rPr>
      <t>100
Liter</t>
    </r>
  </si>
  <si>
    <r>
      <t xml:space="preserve">Pohon Putat di </t>
    </r>
    <r>
      <rPr>
        <i/>
        <sz val="11"/>
        <color rgb="FF000000"/>
        <rFont val="Calibri"/>
        <family val="2"/>
        <scheme val="minor"/>
      </rPr>
      <t xml:space="preserve">Polybag </t>
    </r>
    <r>
      <rPr>
        <sz val="11"/>
        <color rgb="FF000000"/>
        <rFont val="Calibri"/>
        <family val="2"/>
        <scheme val="minor"/>
      </rPr>
      <t>100
Liter</t>
    </r>
  </si>
  <si>
    <r>
      <t xml:space="preserve">Pohon Sosis di </t>
    </r>
    <r>
      <rPr>
        <i/>
        <sz val="11"/>
        <color rgb="FF000000"/>
        <rFont val="Calibri"/>
        <family val="2"/>
        <scheme val="minor"/>
      </rPr>
      <t xml:space="preserve">Polybag </t>
    </r>
    <r>
      <rPr>
        <sz val="11"/>
        <color rgb="FF000000"/>
        <rFont val="Calibri"/>
        <family val="2"/>
        <scheme val="minor"/>
      </rPr>
      <t>100
Liter</t>
    </r>
  </si>
  <si>
    <r>
      <t xml:space="preserve">Pohon Trembesi di </t>
    </r>
    <r>
      <rPr>
        <i/>
        <sz val="11"/>
        <color rgb="FF000000"/>
        <rFont val="Calibri"/>
        <family val="2"/>
        <scheme val="minor"/>
      </rPr>
      <t xml:space="preserve">Polybag
</t>
    </r>
    <r>
      <rPr>
        <sz val="11"/>
        <color rgb="FF000000"/>
        <rFont val="Calibri"/>
        <family val="2"/>
        <scheme val="minor"/>
      </rPr>
      <t>100 Liter</t>
    </r>
  </si>
  <si>
    <r>
      <t xml:space="preserve">Pohon Bodhi di </t>
    </r>
    <r>
      <rPr>
        <i/>
        <sz val="11"/>
        <color rgb="FF000000"/>
        <rFont val="Calibri"/>
        <family val="2"/>
        <scheme val="minor"/>
      </rPr>
      <t xml:space="preserve">Polybag </t>
    </r>
    <r>
      <rPr>
        <sz val="11"/>
        <color rgb="FF000000"/>
        <rFont val="Calibri"/>
        <family val="2"/>
        <scheme val="minor"/>
      </rPr>
      <t>150
Liter</t>
    </r>
  </si>
  <si>
    <r>
      <t xml:space="preserve">Pohon Beringin di </t>
    </r>
    <r>
      <rPr>
        <i/>
        <sz val="11"/>
        <color rgb="FF000000"/>
        <rFont val="Calibri"/>
        <family val="2"/>
        <scheme val="minor"/>
      </rPr>
      <t xml:space="preserve">Polybag
</t>
    </r>
    <r>
      <rPr>
        <sz val="11"/>
        <color rgb="FF000000"/>
        <rFont val="Calibri"/>
        <family val="2"/>
        <scheme val="minor"/>
      </rPr>
      <t>150 Liter</t>
    </r>
  </si>
  <si>
    <r>
      <t xml:space="preserve">Pohon Flamboyan di </t>
    </r>
    <r>
      <rPr>
        <i/>
        <sz val="11"/>
        <color rgb="FF000000"/>
        <rFont val="Calibri"/>
        <family val="2"/>
        <scheme val="minor"/>
      </rPr>
      <t xml:space="preserve">Polybag
</t>
    </r>
    <r>
      <rPr>
        <sz val="11"/>
        <color rgb="FF000000"/>
        <rFont val="Calibri"/>
        <family val="2"/>
        <scheme val="minor"/>
      </rPr>
      <t>150 Liter</t>
    </r>
  </si>
  <si>
    <r>
      <t xml:space="preserve">Pohon Kamboja di </t>
    </r>
    <r>
      <rPr>
        <i/>
        <sz val="11"/>
        <color rgb="FF000000"/>
        <rFont val="Calibri"/>
        <family val="2"/>
        <scheme val="minor"/>
      </rPr>
      <t xml:space="preserve">Polybag
</t>
    </r>
    <r>
      <rPr>
        <sz val="11"/>
        <color rgb="FF000000"/>
        <rFont val="Calibri"/>
        <family val="2"/>
        <scheme val="minor"/>
      </rPr>
      <t>150 Liter</t>
    </r>
  </si>
  <si>
    <r>
      <t xml:space="preserve">Pohon Pulai  di </t>
    </r>
    <r>
      <rPr>
        <i/>
        <sz val="11"/>
        <color rgb="FF000000"/>
        <rFont val="Calibri"/>
        <family val="2"/>
        <scheme val="minor"/>
      </rPr>
      <t xml:space="preserve">Polybag </t>
    </r>
    <r>
      <rPr>
        <sz val="11"/>
        <color rgb="FF000000"/>
        <rFont val="Calibri"/>
        <family val="2"/>
        <scheme val="minor"/>
      </rPr>
      <t>150
Liter</t>
    </r>
  </si>
  <si>
    <r>
      <t xml:space="preserve">Pohon Sosis di </t>
    </r>
    <r>
      <rPr>
        <i/>
        <sz val="11"/>
        <color rgb="FF000000"/>
        <rFont val="Calibri"/>
        <family val="2"/>
        <scheme val="minor"/>
      </rPr>
      <t xml:space="preserve">Polybag </t>
    </r>
    <r>
      <rPr>
        <sz val="11"/>
        <color rgb="FF000000"/>
        <rFont val="Calibri"/>
        <family val="2"/>
        <scheme val="minor"/>
      </rPr>
      <t>150
Liter</t>
    </r>
  </si>
  <si>
    <r>
      <t xml:space="preserve">Pohon Trembesi di </t>
    </r>
    <r>
      <rPr>
        <i/>
        <sz val="11"/>
        <color rgb="FF000000"/>
        <rFont val="Calibri"/>
        <family val="2"/>
        <scheme val="minor"/>
      </rPr>
      <t xml:space="preserve">Polybag
</t>
    </r>
    <r>
      <rPr>
        <sz val="11"/>
        <color rgb="FF000000"/>
        <rFont val="Calibri"/>
        <family val="2"/>
        <scheme val="minor"/>
      </rPr>
      <t>150 Liter</t>
    </r>
  </si>
  <si>
    <r>
      <t xml:space="preserve">Pohon Beringin di </t>
    </r>
    <r>
      <rPr>
        <i/>
        <sz val="11"/>
        <color rgb="FF000000"/>
        <rFont val="Calibri"/>
        <family val="2"/>
        <scheme val="minor"/>
      </rPr>
      <t xml:space="preserve">Polybag </t>
    </r>
    <r>
      <rPr>
        <sz val="11"/>
        <color rgb="FF000000"/>
        <rFont val="Calibri"/>
        <family val="2"/>
        <scheme val="minor"/>
      </rPr>
      <t>200
Liter</t>
    </r>
  </si>
  <si>
    <r>
      <t xml:space="preserve">Pohon Bodhi di </t>
    </r>
    <r>
      <rPr>
        <i/>
        <sz val="11"/>
        <color rgb="FF000000"/>
        <rFont val="Calibri"/>
        <family val="2"/>
        <scheme val="minor"/>
      </rPr>
      <t xml:space="preserve">Polybag </t>
    </r>
    <r>
      <rPr>
        <sz val="11"/>
        <color rgb="FF000000"/>
        <rFont val="Calibri"/>
        <family val="2"/>
        <scheme val="minor"/>
      </rPr>
      <t>200
Liter</t>
    </r>
  </si>
  <si>
    <r>
      <t xml:space="preserve">Pohon Flamboyan di </t>
    </r>
    <r>
      <rPr>
        <i/>
        <sz val="11"/>
        <color rgb="FF000000"/>
        <rFont val="Calibri"/>
        <family val="2"/>
        <scheme val="minor"/>
      </rPr>
      <t xml:space="preserve">Polybag
</t>
    </r>
    <r>
      <rPr>
        <sz val="11"/>
        <color rgb="FF000000"/>
        <rFont val="Calibri"/>
        <family val="2"/>
        <scheme val="minor"/>
      </rPr>
      <t>200 Liter</t>
    </r>
  </si>
  <si>
    <r>
      <t xml:space="preserve">Pohon Kamboja Fosil di </t>
    </r>
    <r>
      <rPr>
        <i/>
        <sz val="11"/>
        <color rgb="FF000000"/>
        <rFont val="Calibri"/>
        <family val="2"/>
        <scheme val="minor"/>
      </rPr>
      <t xml:space="preserve">Polybag
</t>
    </r>
    <r>
      <rPr>
        <sz val="11"/>
        <color rgb="FF000000"/>
        <rFont val="Calibri"/>
        <family val="2"/>
        <scheme val="minor"/>
      </rPr>
      <t>200 Liter</t>
    </r>
  </si>
  <si>
    <r>
      <t xml:space="preserve">Pohon Pulai  di </t>
    </r>
    <r>
      <rPr>
        <i/>
        <sz val="11"/>
        <color rgb="FF000000"/>
        <rFont val="Calibri"/>
        <family val="2"/>
        <scheme val="minor"/>
      </rPr>
      <t xml:space="preserve">Polybag </t>
    </r>
    <r>
      <rPr>
        <sz val="11"/>
        <color rgb="FF000000"/>
        <rFont val="Calibri"/>
        <family val="2"/>
        <scheme val="minor"/>
      </rPr>
      <t>200
Liter</t>
    </r>
  </si>
  <si>
    <r>
      <t xml:space="preserve">Pohon Sosis di </t>
    </r>
    <r>
      <rPr>
        <i/>
        <sz val="11"/>
        <color rgb="FF000000"/>
        <rFont val="Calibri"/>
        <family val="2"/>
        <scheme val="minor"/>
      </rPr>
      <t xml:space="preserve">Polybag </t>
    </r>
    <r>
      <rPr>
        <sz val="11"/>
        <color rgb="FF000000"/>
        <rFont val="Calibri"/>
        <family val="2"/>
        <scheme val="minor"/>
      </rPr>
      <t>200 Liter</t>
    </r>
  </si>
  <si>
    <r>
      <t xml:space="preserve">Pohon Trembesi di </t>
    </r>
    <r>
      <rPr>
        <i/>
        <sz val="11"/>
        <color rgb="FF000000"/>
        <rFont val="Calibri"/>
        <family val="2"/>
        <scheme val="minor"/>
      </rPr>
      <t xml:space="preserve">Polybag </t>
    </r>
    <r>
      <rPr>
        <sz val="11"/>
        <color rgb="FF000000"/>
        <rFont val="Calibri"/>
        <family val="2"/>
        <scheme val="minor"/>
      </rPr>
      <t>200
Liter</t>
    </r>
  </si>
  <si>
    <r>
      <t xml:space="preserve">Pohon Baobab di </t>
    </r>
    <r>
      <rPr>
        <i/>
        <sz val="11"/>
        <color rgb="FF000000"/>
        <rFont val="Calibri"/>
        <family val="2"/>
        <scheme val="minor"/>
      </rPr>
      <t xml:space="preserve">Polybag </t>
    </r>
    <r>
      <rPr>
        <sz val="11"/>
        <color rgb="FF000000"/>
        <rFont val="Calibri"/>
        <family val="2"/>
        <scheme val="minor"/>
      </rPr>
      <t>250
Liter</t>
    </r>
  </si>
  <si>
    <r>
      <t xml:space="preserve">Pohon Beringin di </t>
    </r>
    <r>
      <rPr>
        <i/>
        <sz val="11"/>
        <color rgb="FF000000"/>
        <rFont val="Calibri"/>
        <family val="2"/>
        <scheme val="minor"/>
      </rPr>
      <t xml:space="preserve">Polybag
</t>
    </r>
    <r>
      <rPr>
        <sz val="11"/>
        <color rgb="FF000000"/>
        <rFont val="Calibri"/>
        <family val="2"/>
        <scheme val="minor"/>
      </rPr>
      <t>250 Liter</t>
    </r>
  </si>
  <si>
    <r>
      <t xml:space="preserve">Pohon Bodhi di </t>
    </r>
    <r>
      <rPr>
        <i/>
        <sz val="11"/>
        <color rgb="FF000000"/>
        <rFont val="Calibri"/>
        <family val="2"/>
        <scheme val="minor"/>
      </rPr>
      <t xml:space="preserve">Polybag </t>
    </r>
    <r>
      <rPr>
        <sz val="11"/>
        <color rgb="FF000000"/>
        <rFont val="Calibri"/>
        <family val="2"/>
        <scheme val="minor"/>
      </rPr>
      <t>250
Liter</t>
    </r>
  </si>
  <si>
    <r>
      <t xml:space="preserve">Pohon Kamboja Fosil di
</t>
    </r>
    <r>
      <rPr>
        <i/>
        <sz val="11"/>
        <color rgb="FF000000"/>
        <rFont val="Calibri"/>
        <family val="2"/>
        <scheme val="minor"/>
      </rPr>
      <t xml:space="preserve">Polybag </t>
    </r>
    <r>
      <rPr>
        <sz val="11"/>
        <color rgb="FF000000"/>
        <rFont val="Calibri"/>
        <family val="2"/>
        <scheme val="minor"/>
      </rPr>
      <t>250 Liter</t>
    </r>
  </si>
  <si>
    <r>
      <t xml:space="preserve">Pohon Pulai  di </t>
    </r>
    <r>
      <rPr>
        <i/>
        <sz val="11"/>
        <color rgb="FF000000"/>
        <rFont val="Calibri"/>
        <family val="2"/>
        <scheme val="minor"/>
      </rPr>
      <t xml:space="preserve">Polybag </t>
    </r>
    <r>
      <rPr>
        <sz val="11"/>
        <color rgb="FF000000"/>
        <rFont val="Calibri"/>
        <family val="2"/>
        <scheme val="minor"/>
      </rPr>
      <t>250
Liter</t>
    </r>
  </si>
  <si>
    <r>
      <t xml:space="preserve">Pohon Sosis di </t>
    </r>
    <r>
      <rPr>
        <i/>
        <sz val="11"/>
        <color rgb="FF000000"/>
        <rFont val="Calibri"/>
        <family val="2"/>
        <scheme val="minor"/>
      </rPr>
      <t xml:space="preserve">Polybag </t>
    </r>
    <r>
      <rPr>
        <sz val="11"/>
        <color rgb="FF000000"/>
        <rFont val="Calibri"/>
        <family val="2"/>
        <scheme val="minor"/>
      </rPr>
      <t>250
Liter</t>
    </r>
  </si>
  <si>
    <r>
      <t xml:space="preserve">Pohon Trembesi di </t>
    </r>
    <r>
      <rPr>
        <i/>
        <sz val="11"/>
        <color rgb="FF000000"/>
        <rFont val="Calibri"/>
        <family val="2"/>
        <scheme val="minor"/>
      </rPr>
      <t xml:space="preserve">Polybag
</t>
    </r>
    <r>
      <rPr>
        <sz val="11"/>
        <color rgb="FF000000"/>
        <rFont val="Calibri"/>
        <family val="2"/>
        <scheme val="minor"/>
      </rPr>
      <t>250 Liter</t>
    </r>
  </si>
  <si>
    <r>
      <t xml:space="preserve">Semak Alamanda/Bunga
terompet emas di </t>
    </r>
    <r>
      <rPr>
        <i/>
        <sz val="11"/>
        <color rgb="FF000000"/>
        <rFont val="Calibri"/>
        <family val="2"/>
        <scheme val="minor"/>
      </rPr>
      <t xml:space="preserve">Polybag </t>
    </r>
    <r>
      <rPr>
        <sz val="11"/>
        <color rgb="FF000000"/>
        <rFont val="Calibri"/>
        <family val="2"/>
        <scheme val="minor"/>
      </rPr>
      <t>5
Liter</t>
    </r>
  </si>
  <si>
    <r>
      <t xml:space="preserve">Semak Bakung Lele di </t>
    </r>
    <r>
      <rPr>
        <i/>
        <sz val="11"/>
        <color rgb="FF000000"/>
        <rFont val="Calibri"/>
        <family val="2"/>
        <scheme val="minor"/>
      </rPr>
      <t xml:space="preserve">Polybag
</t>
    </r>
    <r>
      <rPr>
        <sz val="11"/>
        <color rgb="FF000000"/>
        <rFont val="Calibri"/>
        <family val="2"/>
        <scheme val="minor"/>
      </rPr>
      <t>5 Liter</t>
    </r>
  </si>
  <si>
    <r>
      <t xml:space="preserve">Semak Bunga Iris di </t>
    </r>
    <r>
      <rPr>
        <i/>
        <sz val="11"/>
        <color rgb="FF000000"/>
        <rFont val="Calibri"/>
        <family val="2"/>
        <scheme val="minor"/>
      </rPr>
      <t xml:space="preserve">Polybag </t>
    </r>
    <r>
      <rPr>
        <sz val="11"/>
        <color rgb="FF000000"/>
        <rFont val="Calibri"/>
        <family val="2"/>
        <scheme val="minor"/>
      </rPr>
      <t>5
Liter</t>
    </r>
  </si>
  <si>
    <r>
      <t xml:space="preserve">Semak Calathea di </t>
    </r>
    <r>
      <rPr>
        <i/>
        <sz val="11"/>
        <color rgb="FF000000"/>
        <rFont val="Calibri"/>
        <family val="2"/>
        <scheme val="minor"/>
      </rPr>
      <t xml:space="preserve">Polybag </t>
    </r>
    <r>
      <rPr>
        <sz val="11"/>
        <color rgb="FF000000"/>
        <rFont val="Calibri"/>
        <family val="2"/>
        <scheme val="minor"/>
      </rPr>
      <t>5
Liter</t>
    </r>
  </si>
  <si>
    <r>
      <t xml:space="preserve">Semak Cendrawasih di </t>
    </r>
    <r>
      <rPr>
        <i/>
        <sz val="11"/>
        <color rgb="FF000000"/>
        <rFont val="Calibri"/>
        <family val="2"/>
        <scheme val="minor"/>
      </rPr>
      <t xml:space="preserve">Polybag
</t>
    </r>
    <r>
      <rPr>
        <sz val="11"/>
        <color rgb="FF000000"/>
        <rFont val="Calibri"/>
        <family val="2"/>
        <scheme val="minor"/>
      </rPr>
      <t>5 Liter</t>
    </r>
  </si>
  <si>
    <r>
      <t xml:space="preserve">Semak Hujan Mas di </t>
    </r>
    <r>
      <rPr>
        <i/>
        <sz val="11"/>
        <color rgb="FF000000"/>
        <rFont val="Calibri"/>
        <family val="2"/>
        <scheme val="minor"/>
      </rPr>
      <t xml:space="preserve">Polybag </t>
    </r>
    <r>
      <rPr>
        <sz val="11"/>
        <color rgb="FF000000"/>
        <rFont val="Calibri"/>
        <family val="2"/>
        <scheme val="minor"/>
      </rPr>
      <t>5
Liter</t>
    </r>
  </si>
  <si>
    <r>
      <t xml:space="preserve">Semak Kacapiring
wangi/Gardenia di </t>
    </r>
    <r>
      <rPr>
        <i/>
        <sz val="11"/>
        <color rgb="FF000000"/>
        <rFont val="Calibri"/>
        <family val="2"/>
        <scheme val="minor"/>
      </rPr>
      <t xml:space="preserve">Polybag </t>
    </r>
    <r>
      <rPr>
        <sz val="11"/>
        <color rgb="FF000000"/>
        <rFont val="Calibri"/>
        <family val="2"/>
        <scheme val="minor"/>
      </rPr>
      <t>5
Liter</t>
    </r>
  </si>
  <si>
    <r>
      <t xml:space="preserve">Semak Kemuning di </t>
    </r>
    <r>
      <rPr>
        <i/>
        <sz val="11"/>
        <color rgb="FF000000"/>
        <rFont val="Calibri"/>
        <family val="2"/>
        <scheme val="minor"/>
      </rPr>
      <t xml:space="preserve">Polybag </t>
    </r>
    <r>
      <rPr>
        <sz val="11"/>
        <color rgb="FF000000"/>
        <rFont val="Calibri"/>
        <family val="2"/>
        <scheme val="minor"/>
      </rPr>
      <t>5
Liter</t>
    </r>
  </si>
  <si>
    <r>
      <t xml:space="preserve">Semak Melati Putih di </t>
    </r>
    <r>
      <rPr>
        <i/>
        <sz val="11"/>
        <color rgb="FF000000"/>
        <rFont val="Calibri"/>
        <family val="2"/>
        <scheme val="minor"/>
      </rPr>
      <t xml:space="preserve">Polybag
</t>
    </r>
    <r>
      <rPr>
        <sz val="11"/>
        <color rgb="FF000000"/>
        <rFont val="Calibri"/>
        <family val="2"/>
        <scheme val="minor"/>
      </rPr>
      <t>5 Liter</t>
    </r>
  </si>
  <si>
    <r>
      <t xml:space="preserve">Semak Pandan Kuning di
</t>
    </r>
    <r>
      <rPr>
        <i/>
        <sz val="11"/>
        <color rgb="FF000000"/>
        <rFont val="Calibri"/>
        <family val="2"/>
        <scheme val="minor"/>
      </rPr>
      <t xml:space="preserve">Polybag </t>
    </r>
    <r>
      <rPr>
        <sz val="11"/>
        <color rgb="FF000000"/>
        <rFont val="Calibri"/>
        <family val="2"/>
        <scheme val="minor"/>
      </rPr>
      <t>5 Liter</t>
    </r>
  </si>
  <si>
    <r>
      <t xml:space="preserve">Semak Pretty Pink di </t>
    </r>
    <r>
      <rPr>
        <i/>
        <sz val="11"/>
        <color rgb="FF000000"/>
        <rFont val="Calibri"/>
        <family val="2"/>
        <scheme val="minor"/>
      </rPr>
      <t xml:space="preserve">Polybag </t>
    </r>
    <r>
      <rPr>
        <sz val="11"/>
        <color rgb="FF000000"/>
        <rFont val="Calibri"/>
        <family val="2"/>
        <scheme val="minor"/>
      </rPr>
      <t>5
Liter</t>
    </r>
  </si>
  <si>
    <r>
      <t xml:space="preserve">Semak Sansevieria/Lidah
Mertua di </t>
    </r>
    <r>
      <rPr>
        <i/>
        <sz val="11"/>
        <color rgb="FF000000"/>
        <rFont val="Calibri"/>
        <family val="2"/>
        <scheme val="minor"/>
      </rPr>
      <t xml:space="preserve">Polybag </t>
    </r>
    <r>
      <rPr>
        <sz val="11"/>
        <color rgb="FF000000"/>
        <rFont val="Calibri"/>
        <family val="2"/>
        <scheme val="minor"/>
      </rPr>
      <t>5 Liter</t>
    </r>
  </si>
  <si>
    <r>
      <t xml:space="preserve">Semak Tabernae/Mondokaki di
</t>
    </r>
    <r>
      <rPr>
        <i/>
        <sz val="11"/>
        <color rgb="FF000000"/>
        <rFont val="Calibri"/>
        <family val="2"/>
        <scheme val="minor"/>
      </rPr>
      <t xml:space="preserve">Polybag </t>
    </r>
    <r>
      <rPr>
        <sz val="11"/>
        <color rgb="FF000000"/>
        <rFont val="Calibri"/>
        <family val="2"/>
        <scheme val="minor"/>
      </rPr>
      <t>5 Liter</t>
    </r>
  </si>
  <si>
    <r>
      <t xml:space="preserve">Semak Walisongo/Umbrella
tree di </t>
    </r>
    <r>
      <rPr>
        <i/>
        <sz val="11"/>
        <color rgb="FF000000"/>
        <rFont val="Calibri"/>
        <family val="2"/>
        <scheme val="minor"/>
      </rPr>
      <t xml:space="preserve">Polybag </t>
    </r>
    <r>
      <rPr>
        <sz val="11"/>
        <color rgb="FF000000"/>
        <rFont val="Calibri"/>
        <family val="2"/>
        <scheme val="minor"/>
      </rPr>
      <t>5 Liter</t>
    </r>
  </si>
  <si>
    <r>
      <t xml:space="preserve">Semak Agave/lidah naga di
</t>
    </r>
    <r>
      <rPr>
        <i/>
        <sz val="11"/>
        <color rgb="FF000000"/>
        <rFont val="Calibri"/>
        <family val="2"/>
        <scheme val="minor"/>
      </rPr>
      <t xml:space="preserve">Polybag </t>
    </r>
    <r>
      <rPr>
        <sz val="11"/>
        <color rgb="FF000000"/>
        <rFont val="Calibri"/>
        <family val="2"/>
        <scheme val="minor"/>
      </rPr>
      <t>11 Liter</t>
    </r>
  </si>
  <si>
    <r>
      <t xml:space="preserve">Semak Alamanda/Bunga
terompet emas di </t>
    </r>
    <r>
      <rPr>
        <i/>
        <sz val="11"/>
        <color rgb="FF000000"/>
        <rFont val="Calibri"/>
        <family val="2"/>
        <scheme val="minor"/>
      </rPr>
      <t xml:space="preserve">Polybag </t>
    </r>
    <r>
      <rPr>
        <sz val="11"/>
        <color rgb="FF000000"/>
        <rFont val="Calibri"/>
        <family val="2"/>
        <scheme val="minor"/>
      </rPr>
      <t>11
Liter</t>
    </r>
  </si>
  <si>
    <r>
      <t xml:space="preserve">Semak Bakung Jawa di
</t>
    </r>
    <r>
      <rPr>
        <i/>
        <sz val="11"/>
        <color rgb="FF000000"/>
        <rFont val="Calibri"/>
        <family val="2"/>
        <scheme val="minor"/>
      </rPr>
      <t xml:space="preserve">Polybag </t>
    </r>
    <r>
      <rPr>
        <sz val="11"/>
        <color rgb="FF000000"/>
        <rFont val="Calibri"/>
        <family val="2"/>
        <scheme val="minor"/>
      </rPr>
      <t>11 Liter</t>
    </r>
  </si>
  <si>
    <r>
      <t xml:space="preserve">Semak Bakung Lele di
</t>
    </r>
    <r>
      <rPr>
        <i/>
        <sz val="11"/>
        <color rgb="FF000000"/>
        <rFont val="Calibri"/>
        <family val="2"/>
        <scheme val="minor"/>
      </rPr>
      <t xml:space="preserve">Polybag </t>
    </r>
    <r>
      <rPr>
        <sz val="11"/>
        <color rgb="FF000000"/>
        <rFont val="Calibri"/>
        <family val="2"/>
        <scheme val="minor"/>
      </rPr>
      <t>11 Liter</t>
    </r>
  </si>
  <si>
    <r>
      <t xml:space="preserve">Semak Bromelia di </t>
    </r>
    <r>
      <rPr>
        <i/>
        <sz val="11"/>
        <color rgb="FF000000"/>
        <rFont val="Calibri"/>
        <family val="2"/>
        <scheme val="minor"/>
      </rPr>
      <t xml:space="preserve">Polybag
</t>
    </r>
    <r>
      <rPr>
        <sz val="11"/>
        <color rgb="FF000000"/>
        <rFont val="Calibri"/>
        <family val="2"/>
        <scheme val="minor"/>
      </rPr>
      <t>11 Liter</t>
    </r>
  </si>
  <si>
    <r>
      <t xml:space="preserve">Semak Bunga Terompet
Kuning di </t>
    </r>
    <r>
      <rPr>
        <i/>
        <sz val="11"/>
        <color rgb="FF000000"/>
        <rFont val="Calibri"/>
        <family val="2"/>
        <scheme val="minor"/>
      </rPr>
      <t xml:space="preserve">Polybag </t>
    </r>
    <r>
      <rPr>
        <sz val="11"/>
        <color rgb="FF000000"/>
        <rFont val="Calibri"/>
        <family val="2"/>
        <scheme val="minor"/>
      </rPr>
      <t>11 Liter</t>
    </r>
  </si>
  <si>
    <r>
      <t xml:space="preserve">Semak Costus  di </t>
    </r>
    <r>
      <rPr>
        <i/>
        <sz val="11"/>
        <color rgb="FF000000"/>
        <rFont val="Calibri"/>
        <family val="2"/>
        <scheme val="minor"/>
      </rPr>
      <t xml:space="preserve">Polybag </t>
    </r>
    <r>
      <rPr>
        <sz val="11"/>
        <color rgb="FF000000"/>
        <rFont val="Calibri"/>
        <family val="2"/>
        <scheme val="minor"/>
      </rPr>
      <t>11
Liter</t>
    </r>
  </si>
  <si>
    <r>
      <t xml:space="preserve">Semak Dracaena ‘Song of
India’ di </t>
    </r>
    <r>
      <rPr>
        <i/>
        <sz val="11"/>
        <color rgb="FF000000"/>
        <rFont val="Calibri"/>
        <family val="2"/>
        <scheme val="minor"/>
      </rPr>
      <t xml:space="preserve">Polybag </t>
    </r>
    <r>
      <rPr>
        <sz val="11"/>
        <color rgb="FF000000"/>
        <rFont val="Calibri"/>
        <family val="2"/>
        <scheme val="minor"/>
      </rPr>
      <t>11 Liter</t>
    </r>
  </si>
  <si>
    <r>
      <t xml:space="preserve">Semak Dracaena 'Song of
Jamaica' di </t>
    </r>
    <r>
      <rPr>
        <i/>
        <sz val="11"/>
        <color rgb="FF000000"/>
        <rFont val="Calibri"/>
        <family val="2"/>
        <scheme val="minor"/>
      </rPr>
      <t xml:space="preserve">Polybag </t>
    </r>
    <r>
      <rPr>
        <sz val="11"/>
        <color rgb="FF000000"/>
        <rFont val="Calibri"/>
        <family val="2"/>
        <scheme val="minor"/>
      </rPr>
      <t>11 Liter</t>
    </r>
  </si>
  <si>
    <r>
      <t xml:space="preserve">Semak Helliconia  di </t>
    </r>
    <r>
      <rPr>
        <i/>
        <sz val="11"/>
        <color rgb="FF000000"/>
        <rFont val="Calibri"/>
        <family val="2"/>
        <scheme val="minor"/>
      </rPr>
      <t xml:space="preserve">Polybag
</t>
    </r>
    <r>
      <rPr>
        <sz val="11"/>
        <color rgb="FF000000"/>
        <rFont val="Calibri"/>
        <family val="2"/>
        <scheme val="minor"/>
      </rPr>
      <t>11 Liter</t>
    </r>
  </si>
  <si>
    <r>
      <t xml:space="preserve">Semak Honje/Kecombrang di
</t>
    </r>
    <r>
      <rPr>
        <i/>
        <sz val="11"/>
        <color rgb="FF000000"/>
        <rFont val="Calibri"/>
        <family val="2"/>
        <scheme val="minor"/>
      </rPr>
      <t xml:space="preserve">Polybag </t>
    </r>
    <r>
      <rPr>
        <sz val="11"/>
        <color rgb="FF000000"/>
        <rFont val="Calibri"/>
        <family val="2"/>
        <scheme val="minor"/>
      </rPr>
      <t>11 Liter</t>
    </r>
  </si>
  <si>
    <r>
      <t xml:space="preserve">Semak Hujan Mas di </t>
    </r>
    <r>
      <rPr>
        <i/>
        <sz val="11"/>
        <color rgb="FF000000"/>
        <rFont val="Calibri"/>
        <family val="2"/>
        <scheme val="minor"/>
      </rPr>
      <t xml:space="preserve">Polybag
</t>
    </r>
    <r>
      <rPr>
        <sz val="11"/>
        <color rgb="FF000000"/>
        <rFont val="Calibri"/>
        <family val="2"/>
        <scheme val="minor"/>
      </rPr>
      <t>11 Liter</t>
    </r>
  </si>
  <si>
    <r>
      <t xml:space="preserve">Semak Kaca piring di </t>
    </r>
    <r>
      <rPr>
        <i/>
        <sz val="11"/>
        <color rgb="FF000000"/>
        <rFont val="Calibri"/>
        <family val="2"/>
        <scheme val="minor"/>
      </rPr>
      <t xml:space="preserve">Polybag
</t>
    </r>
    <r>
      <rPr>
        <sz val="11"/>
        <color rgb="FF000000"/>
        <rFont val="Calibri"/>
        <family val="2"/>
        <scheme val="minor"/>
      </rPr>
      <t>11 Liter</t>
    </r>
  </si>
  <si>
    <r>
      <t xml:space="preserve">Semak Kacapiring
wangi/Gardenia di </t>
    </r>
    <r>
      <rPr>
        <i/>
        <sz val="11"/>
        <color rgb="FF000000"/>
        <rFont val="Calibri"/>
        <family val="2"/>
        <scheme val="minor"/>
      </rPr>
      <t xml:space="preserve">Polybag
</t>
    </r>
    <r>
      <rPr>
        <sz val="11"/>
        <color rgb="FF000000"/>
        <rFont val="Calibri"/>
        <family val="2"/>
        <scheme val="minor"/>
      </rPr>
      <t>11 Liter</t>
    </r>
  </si>
  <si>
    <r>
      <t xml:space="preserve">Semak Kana di </t>
    </r>
    <r>
      <rPr>
        <i/>
        <sz val="11"/>
        <color rgb="FF000000"/>
        <rFont val="Calibri"/>
        <family val="2"/>
        <scheme val="minor"/>
      </rPr>
      <t xml:space="preserve">Polybag </t>
    </r>
    <r>
      <rPr>
        <sz val="11"/>
        <color rgb="FF000000"/>
        <rFont val="Calibri"/>
        <family val="2"/>
        <scheme val="minor"/>
      </rPr>
      <t>11
Liter</t>
    </r>
  </si>
  <si>
    <r>
      <t xml:space="preserve">Semak Lili Brazil di </t>
    </r>
    <r>
      <rPr>
        <i/>
        <sz val="11"/>
        <color rgb="FF000000"/>
        <rFont val="Calibri"/>
        <family val="2"/>
        <scheme val="minor"/>
      </rPr>
      <t xml:space="preserve">Polybag
</t>
    </r>
    <r>
      <rPr>
        <sz val="11"/>
        <color rgb="FF000000"/>
        <rFont val="Calibri"/>
        <family val="2"/>
        <scheme val="minor"/>
      </rPr>
      <t>11 Liter</t>
    </r>
  </si>
  <si>
    <r>
      <t xml:space="preserve">Semak Melati Putih di
</t>
    </r>
    <r>
      <rPr>
        <i/>
        <sz val="11"/>
        <color rgb="FF000000"/>
        <rFont val="Calibri"/>
        <family val="2"/>
        <scheme val="minor"/>
      </rPr>
      <t xml:space="preserve">Polybag </t>
    </r>
    <r>
      <rPr>
        <sz val="11"/>
        <color rgb="FF000000"/>
        <rFont val="Calibri"/>
        <family val="2"/>
        <scheme val="minor"/>
      </rPr>
      <t>11 Liter</t>
    </r>
  </si>
  <si>
    <r>
      <t xml:space="preserve">Semak Nusa Indah di
</t>
    </r>
    <r>
      <rPr>
        <i/>
        <sz val="11"/>
        <color rgb="FF000000"/>
        <rFont val="Calibri"/>
        <family val="2"/>
        <scheme val="minor"/>
      </rPr>
      <t xml:space="preserve">Polybag </t>
    </r>
    <r>
      <rPr>
        <sz val="11"/>
        <color rgb="FF000000"/>
        <rFont val="Calibri"/>
        <family val="2"/>
        <scheme val="minor"/>
      </rPr>
      <t>11 Liter</t>
    </r>
  </si>
  <si>
    <r>
      <t xml:space="preserve">Semak Oleander/Bunga
Mentega di </t>
    </r>
    <r>
      <rPr>
        <i/>
        <sz val="11"/>
        <color rgb="FF000000"/>
        <rFont val="Calibri"/>
        <family val="2"/>
        <scheme val="minor"/>
      </rPr>
      <t xml:space="preserve">Polybag </t>
    </r>
    <r>
      <rPr>
        <sz val="11"/>
        <color rgb="FF000000"/>
        <rFont val="Calibri"/>
        <family val="2"/>
        <scheme val="minor"/>
      </rPr>
      <t>11 Liter</t>
    </r>
  </si>
  <si>
    <r>
      <t xml:space="preserve">Semak Pretty Pink di </t>
    </r>
    <r>
      <rPr>
        <i/>
        <sz val="11"/>
        <color rgb="FF000000"/>
        <rFont val="Calibri"/>
        <family val="2"/>
        <scheme val="minor"/>
      </rPr>
      <t xml:space="preserve">Polybag
</t>
    </r>
    <r>
      <rPr>
        <sz val="11"/>
        <color rgb="FF000000"/>
        <rFont val="Calibri"/>
        <family val="2"/>
        <scheme val="minor"/>
      </rPr>
      <t>11 Liter</t>
    </r>
  </si>
  <si>
    <r>
      <t xml:space="preserve">Semak Puring di </t>
    </r>
    <r>
      <rPr>
        <i/>
        <sz val="11"/>
        <color rgb="FF000000"/>
        <rFont val="Calibri"/>
        <family val="2"/>
        <scheme val="minor"/>
      </rPr>
      <t xml:space="preserve">Polybag </t>
    </r>
    <r>
      <rPr>
        <sz val="11"/>
        <color rgb="FF000000"/>
        <rFont val="Calibri"/>
        <family val="2"/>
        <scheme val="minor"/>
      </rPr>
      <t>11
Liter</t>
    </r>
  </si>
  <si>
    <r>
      <t xml:space="preserve">Semak Ruelia / Kencana
Ungu di </t>
    </r>
    <r>
      <rPr>
        <i/>
        <sz val="11"/>
        <color rgb="FF000000"/>
        <rFont val="Calibri"/>
        <family val="2"/>
        <scheme val="minor"/>
      </rPr>
      <t xml:space="preserve">Polybag </t>
    </r>
    <r>
      <rPr>
        <sz val="11"/>
        <color rgb="FF000000"/>
        <rFont val="Calibri"/>
        <family val="2"/>
        <scheme val="minor"/>
      </rPr>
      <t>11 Liter</t>
    </r>
  </si>
  <si>
    <r>
      <t xml:space="preserve">Semak Sansevieria/Lidah
Mertua di </t>
    </r>
    <r>
      <rPr>
        <i/>
        <sz val="11"/>
        <color rgb="FF000000"/>
        <rFont val="Calibri"/>
        <family val="2"/>
        <scheme val="minor"/>
      </rPr>
      <t xml:space="preserve">Polybag </t>
    </r>
    <r>
      <rPr>
        <sz val="11"/>
        <color rgb="FF000000"/>
        <rFont val="Calibri"/>
        <family val="2"/>
        <scheme val="minor"/>
      </rPr>
      <t>11 Liter</t>
    </r>
  </si>
  <si>
    <r>
      <t xml:space="preserve">Semak Soka  di </t>
    </r>
    <r>
      <rPr>
        <i/>
        <sz val="11"/>
        <color rgb="FF000000"/>
        <rFont val="Calibri"/>
        <family val="2"/>
        <scheme val="minor"/>
      </rPr>
      <t xml:space="preserve">Polybag </t>
    </r>
    <r>
      <rPr>
        <sz val="11"/>
        <color rgb="FF000000"/>
        <rFont val="Calibri"/>
        <family val="2"/>
        <scheme val="minor"/>
      </rPr>
      <t>11
Liter</t>
    </r>
  </si>
  <si>
    <r>
      <t xml:space="preserve">Semak Tabernae di </t>
    </r>
    <r>
      <rPr>
        <i/>
        <sz val="11"/>
        <color rgb="FF000000"/>
        <rFont val="Calibri"/>
        <family val="2"/>
        <scheme val="minor"/>
      </rPr>
      <t xml:space="preserve">Polybag
</t>
    </r>
    <r>
      <rPr>
        <sz val="11"/>
        <color rgb="FF000000"/>
        <rFont val="Calibri"/>
        <family val="2"/>
        <scheme val="minor"/>
      </rPr>
      <t>11 Liter</t>
    </r>
  </si>
  <si>
    <r>
      <t xml:space="preserve">Semak Walisongo/Umbrella
Tree di </t>
    </r>
    <r>
      <rPr>
        <i/>
        <sz val="11"/>
        <color rgb="FF000000"/>
        <rFont val="Calibri"/>
        <family val="2"/>
        <scheme val="minor"/>
      </rPr>
      <t xml:space="preserve">Polybag </t>
    </r>
    <r>
      <rPr>
        <sz val="11"/>
        <color rgb="FF000000"/>
        <rFont val="Calibri"/>
        <family val="2"/>
        <scheme val="minor"/>
      </rPr>
      <t>11 Liter</t>
    </r>
  </si>
  <si>
    <r>
      <t xml:space="preserve">Semak Agave/lidah naga di
</t>
    </r>
    <r>
      <rPr>
        <i/>
        <sz val="11"/>
        <color rgb="FF000000"/>
        <rFont val="Calibri"/>
        <family val="2"/>
        <scheme val="minor"/>
      </rPr>
      <t xml:space="preserve">Polybag </t>
    </r>
    <r>
      <rPr>
        <sz val="11"/>
        <color rgb="FF000000"/>
        <rFont val="Calibri"/>
        <family val="2"/>
        <scheme val="minor"/>
      </rPr>
      <t>20 Liter</t>
    </r>
  </si>
  <si>
    <r>
      <t xml:space="preserve">Semak Alamanda/Bunga
terompet emas di </t>
    </r>
    <r>
      <rPr>
        <i/>
        <sz val="11"/>
        <color rgb="FF000000"/>
        <rFont val="Calibri"/>
        <family val="2"/>
        <scheme val="minor"/>
      </rPr>
      <t xml:space="preserve">Polybag </t>
    </r>
    <r>
      <rPr>
        <sz val="11"/>
        <color rgb="FF000000"/>
        <rFont val="Calibri"/>
        <family val="2"/>
        <scheme val="minor"/>
      </rPr>
      <t>20 Liter</t>
    </r>
  </si>
  <si>
    <r>
      <t xml:space="preserve">Semak Bakung Jawa di </t>
    </r>
    <r>
      <rPr>
        <i/>
        <sz val="11"/>
        <color rgb="FF000000"/>
        <rFont val="Calibri"/>
        <family val="2"/>
        <scheme val="minor"/>
      </rPr>
      <t xml:space="preserve">Polybag
</t>
    </r>
    <r>
      <rPr>
        <sz val="11"/>
        <color rgb="FF000000"/>
        <rFont val="Calibri"/>
        <family val="2"/>
        <scheme val="minor"/>
      </rPr>
      <t>20 Liter</t>
    </r>
  </si>
  <si>
    <r>
      <t xml:space="preserve">Semak Bromelia di </t>
    </r>
    <r>
      <rPr>
        <i/>
        <sz val="11"/>
        <color rgb="FF000000"/>
        <rFont val="Calibri"/>
        <family val="2"/>
        <scheme val="minor"/>
      </rPr>
      <t xml:space="preserve">Polybag </t>
    </r>
    <r>
      <rPr>
        <sz val="11"/>
        <color rgb="FF000000"/>
        <rFont val="Calibri"/>
        <family val="2"/>
        <scheme val="minor"/>
      </rPr>
      <t>20
Liter</t>
    </r>
  </si>
  <si>
    <r>
      <t xml:space="preserve">Semak Bugenvil/bunga kertas di
</t>
    </r>
    <r>
      <rPr>
        <i/>
        <sz val="11"/>
        <color rgb="FF000000"/>
        <rFont val="Calibri"/>
        <family val="2"/>
        <scheme val="minor"/>
      </rPr>
      <t xml:space="preserve">Polybag </t>
    </r>
    <r>
      <rPr>
        <sz val="11"/>
        <color rgb="FF000000"/>
        <rFont val="Calibri"/>
        <family val="2"/>
        <scheme val="minor"/>
      </rPr>
      <t>20 Liter</t>
    </r>
  </si>
  <si>
    <r>
      <t xml:space="preserve">Semak Bunga Terompet Kuning di
</t>
    </r>
    <r>
      <rPr>
        <i/>
        <sz val="11"/>
        <color rgb="FF000000"/>
        <rFont val="Calibri"/>
        <family val="2"/>
        <scheme val="minor"/>
      </rPr>
      <t xml:space="preserve">Polybag </t>
    </r>
    <r>
      <rPr>
        <sz val="11"/>
        <color rgb="FF000000"/>
        <rFont val="Calibri"/>
        <family val="2"/>
        <scheme val="minor"/>
      </rPr>
      <t>20 Liter</t>
    </r>
  </si>
  <si>
    <r>
      <t xml:space="preserve">Semak Canna  di </t>
    </r>
    <r>
      <rPr>
        <i/>
        <sz val="11"/>
        <color rgb="FF000000"/>
        <rFont val="Calibri"/>
        <family val="2"/>
        <scheme val="minor"/>
      </rPr>
      <t xml:space="preserve">Polybag </t>
    </r>
    <r>
      <rPr>
        <sz val="11"/>
        <color rgb="FF000000"/>
        <rFont val="Calibri"/>
        <family val="2"/>
        <scheme val="minor"/>
      </rPr>
      <t>20 Liter</t>
    </r>
  </si>
  <si>
    <r>
      <t xml:space="preserve">Semak Dracaena ‘Song of India’ di
</t>
    </r>
    <r>
      <rPr>
        <i/>
        <sz val="11"/>
        <color rgb="FF000000"/>
        <rFont val="Calibri"/>
        <family val="2"/>
        <scheme val="minor"/>
      </rPr>
      <t xml:space="preserve">Polybag </t>
    </r>
    <r>
      <rPr>
        <sz val="11"/>
        <color rgb="FF000000"/>
        <rFont val="Calibri"/>
        <family val="2"/>
        <scheme val="minor"/>
      </rPr>
      <t>20 Liter</t>
    </r>
  </si>
  <si>
    <r>
      <t xml:space="preserve">Semak Dracaena 'Song of
Jamaica' di </t>
    </r>
    <r>
      <rPr>
        <i/>
        <sz val="11"/>
        <color rgb="FF000000"/>
        <rFont val="Calibri"/>
        <family val="2"/>
        <scheme val="minor"/>
      </rPr>
      <t xml:space="preserve">Polybag </t>
    </r>
    <r>
      <rPr>
        <sz val="11"/>
        <color rgb="FF000000"/>
        <rFont val="Calibri"/>
        <family val="2"/>
        <scheme val="minor"/>
      </rPr>
      <t>20 Liter</t>
    </r>
  </si>
  <si>
    <r>
      <t xml:space="preserve">Semak Helliconia  di </t>
    </r>
    <r>
      <rPr>
        <i/>
        <sz val="11"/>
        <color rgb="FF000000"/>
        <rFont val="Calibri"/>
        <family val="2"/>
        <scheme val="minor"/>
      </rPr>
      <t xml:space="preserve">Polybag </t>
    </r>
    <r>
      <rPr>
        <sz val="11"/>
        <color rgb="FF000000"/>
        <rFont val="Calibri"/>
        <family val="2"/>
        <scheme val="minor"/>
      </rPr>
      <t>20
Liter</t>
    </r>
  </si>
  <si>
    <r>
      <t xml:space="preserve">Semak Honje/Kecombrang di
</t>
    </r>
    <r>
      <rPr>
        <i/>
        <sz val="11"/>
        <color rgb="FF000000"/>
        <rFont val="Calibri"/>
        <family val="2"/>
        <scheme val="minor"/>
      </rPr>
      <t xml:space="preserve">Polybag </t>
    </r>
    <r>
      <rPr>
        <sz val="11"/>
        <color rgb="FF000000"/>
        <rFont val="Calibri"/>
        <family val="2"/>
        <scheme val="minor"/>
      </rPr>
      <t>20 Liter</t>
    </r>
  </si>
  <si>
    <r>
      <t xml:space="preserve">Semak Hujan Mas di </t>
    </r>
    <r>
      <rPr>
        <i/>
        <sz val="11"/>
        <color rgb="FF000000"/>
        <rFont val="Calibri"/>
        <family val="2"/>
        <scheme val="minor"/>
      </rPr>
      <t xml:space="preserve">Polybag </t>
    </r>
    <r>
      <rPr>
        <sz val="11"/>
        <color rgb="FF000000"/>
        <rFont val="Calibri"/>
        <family val="2"/>
        <scheme val="minor"/>
      </rPr>
      <t>20
Liter</t>
    </r>
  </si>
  <si>
    <r>
      <t xml:space="preserve">Semak Kacapiring
wangi/Gardenia di </t>
    </r>
    <r>
      <rPr>
        <i/>
        <sz val="11"/>
        <color rgb="FF000000"/>
        <rFont val="Calibri"/>
        <family val="2"/>
        <scheme val="minor"/>
      </rPr>
      <t xml:space="preserve">Polybag </t>
    </r>
    <r>
      <rPr>
        <sz val="11"/>
        <color rgb="FF000000"/>
        <rFont val="Calibri"/>
        <family val="2"/>
        <scheme val="minor"/>
      </rPr>
      <t>20
Liter</t>
    </r>
  </si>
  <si>
    <r>
      <t xml:space="preserve">Semak Kembang sepatu di
</t>
    </r>
    <r>
      <rPr>
        <i/>
        <sz val="11"/>
        <color rgb="FF000000"/>
        <rFont val="Calibri"/>
        <family val="2"/>
        <scheme val="minor"/>
      </rPr>
      <t xml:space="preserve">Polybag </t>
    </r>
    <r>
      <rPr>
        <sz val="11"/>
        <color rgb="FF000000"/>
        <rFont val="Calibri"/>
        <family val="2"/>
        <scheme val="minor"/>
      </rPr>
      <t>20 Liter</t>
    </r>
  </si>
  <si>
    <r>
      <t xml:space="preserve">Semak Oleander/Bunga Mentega
di </t>
    </r>
    <r>
      <rPr>
        <i/>
        <sz val="11"/>
        <color rgb="FF000000"/>
        <rFont val="Calibri"/>
        <family val="2"/>
        <scheme val="minor"/>
      </rPr>
      <t xml:space="preserve">Polybag </t>
    </r>
    <r>
      <rPr>
        <sz val="11"/>
        <color rgb="FF000000"/>
        <rFont val="Calibri"/>
        <family val="2"/>
        <scheme val="minor"/>
      </rPr>
      <t>20 Liter</t>
    </r>
  </si>
  <si>
    <r>
      <t xml:space="preserve">Semak Penda Emas di </t>
    </r>
    <r>
      <rPr>
        <i/>
        <sz val="11"/>
        <color rgb="FF000000"/>
        <rFont val="Calibri"/>
        <family val="2"/>
        <scheme val="minor"/>
      </rPr>
      <t xml:space="preserve">Polybag </t>
    </r>
    <r>
      <rPr>
        <sz val="11"/>
        <color rgb="FF000000"/>
        <rFont val="Calibri"/>
        <family val="2"/>
        <scheme val="minor"/>
      </rPr>
      <t>20
Liter</t>
    </r>
  </si>
  <si>
    <r>
      <t xml:space="preserve">Semak Puring di </t>
    </r>
    <r>
      <rPr>
        <i/>
        <sz val="11"/>
        <color rgb="FF000000"/>
        <rFont val="Calibri"/>
        <family val="2"/>
        <scheme val="minor"/>
      </rPr>
      <t xml:space="preserve">Polybag </t>
    </r>
    <r>
      <rPr>
        <sz val="11"/>
        <color rgb="FF000000"/>
        <rFont val="Calibri"/>
        <family val="2"/>
        <scheme val="minor"/>
      </rPr>
      <t>20 Liter</t>
    </r>
  </si>
  <si>
    <r>
      <t xml:space="preserve">Semak Tabernac di </t>
    </r>
    <r>
      <rPr>
        <i/>
        <sz val="11"/>
        <color rgb="FF000000"/>
        <rFont val="Calibri"/>
        <family val="2"/>
        <scheme val="minor"/>
      </rPr>
      <t xml:space="preserve">Polybag </t>
    </r>
    <r>
      <rPr>
        <sz val="11"/>
        <color rgb="FF000000"/>
        <rFont val="Calibri"/>
        <family val="2"/>
        <scheme val="minor"/>
      </rPr>
      <t>20
Liter</t>
    </r>
  </si>
  <si>
    <r>
      <t xml:space="preserve">Semak Walisongo/Umbrella Tree
di </t>
    </r>
    <r>
      <rPr>
        <i/>
        <sz val="11"/>
        <color rgb="FF000000"/>
        <rFont val="Calibri"/>
        <family val="2"/>
        <scheme val="minor"/>
      </rPr>
      <t xml:space="preserve">Polybag </t>
    </r>
    <r>
      <rPr>
        <sz val="11"/>
        <color rgb="FF000000"/>
        <rFont val="Calibri"/>
        <family val="2"/>
        <scheme val="minor"/>
      </rPr>
      <t>20 Liter</t>
    </r>
  </si>
  <si>
    <r>
      <t xml:space="preserve">Penutup Tanah Kacang hias di
</t>
    </r>
    <r>
      <rPr>
        <i/>
        <sz val="11"/>
        <color rgb="FF000000"/>
        <rFont val="Calibri"/>
        <family val="2"/>
        <scheme val="minor"/>
      </rPr>
      <t xml:space="preserve">Polybag </t>
    </r>
    <r>
      <rPr>
        <sz val="11"/>
        <color rgb="FF000000"/>
        <rFont val="Calibri"/>
        <family val="2"/>
        <scheme val="minor"/>
      </rPr>
      <t>0.5 Liter</t>
    </r>
  </si>
  <si>
    <r>
      <t xml:space="preserve">Penutup Tanah Widelia di
</t>
    </r>
    <r>
      <rPr>
        <i/>
        <sz val="11"/>
        <color rgb="FF000000"/>
        <rFont val="Calibri"/>
        <family val="2"/>
        <scheme val="minor"/>
      </rPr>
      <t xml:space="preserve">Polybag </t>
    </r>
    <r>
      <rPr>
        <sz val="11"/>
        <color rgb="FF000000"/>
        <rFont val="Calibri"/>
        <family val="2"/>
        <scheme val="minor"/>
      </rPr>
      <t>0.5 Liter</t>
    </r>
  </si>
  <si>
    <r>
      <t xml:space="preserve">Penutup Tanah Sutra bombay
di </t>
    </r>
    <r>
      <rPr>
        <i/>
        <sz val="11"/>
        <color rgb="FF000000"/>
        <rFont val="Calibri"/>
        <family val="2"/>
        <scheme val="minor"/>
      </rPr>
      <t xml:space="preserve">Polybag </t>
    </r>
    <r>
      <rPr>
        <sz val="11"/>
        <color rgb="FF000000"/>
        <rFont val="Calibri"/>
        <family val="2"/>
        <scheme val="minor"/>
      </rPr>
      <t>0.5 Liter</t>
    </r>
  </si>
  <si>
    <r>
      <t xml:space="preserve">Penutup Tanah Lantana di
</t>
    </r>
    <r>
      <rPr>
        <i/>
        <sz val="11"/>
        <color rgb="FF000000"/>
        <rFont val="Calibri"/>
        <family val="2"/>
        <scheme val="minor"/>
      </rPr>
      <t xml:space="preserve">Polybag </t>
    </r>
    <r>
      <rPr>
        <sz val="11"/>
        <color rgb="FF000000"/>
        <rFont val="Calibri"/>
        <family val="2"/>
        <scheme val="minor"/>
      </rPr>
      <t>0.5 Liter</t>
    </r>
  </si>
  <si>
    <r>
      <t xml:space="preserve">Penutup Tanah Kucai Mini di
</t>
    </r>
    <r>
      <rPr>
        <i/>
        <sz val="11"/>
        <color rgb="FF000000"/>
        <rFont val="Calibri"/>
        <family val="2"/>
        <scheme val="minor"/>
      </rPr>
      <t xml:space="preserve">Polybag </t>
    </r>
    <r>
      <rPr>
        <sz val="11"/>
        <color rgb="FF000000"/>
        <rFont val="Calibri"/>
        <family val="2"/>
        <scheme val="minor"/>
      </rPr>
      <t>0.5 Liter</t>
    </r>
  </si>
  <si>
    <r>
      <t xml:space="preserve">Bibit Vegetasi (Biji </t>
    </r>
    <r>
      <rPr>
        <i/>
        <sz val="11"/>
        <color rgb="FF000000"/>
        <rFont val="Calibri"/>
        <family val="2"/>
        <scheme val="minor"/>
      </rPr>
      <t>Legume Crop Cover/LCC</t>
    </r>
    <r>
      <rPr>
        <sz val="11"/>
        <color rgb="FF000000"/>
        <rFont val="Calibri"/>
        <family val="2"/>
        <scheme val="minor"/>
      </rPr>
      <t>)</t>
    </r>
  </si>
  <si>
    <r>
      <t xml:space="preserve">Sewa </t>
    </r>
    <r>
      <rPr>
        <i/>
        <sz val="11"/>
        <color rgb="FF000000"/>
        <rFont val="Calibri"/>
        <family val="2"/>
        <scheme val="minor"/>
      </rPr>
      <t>Water Truck</t>
    </r>
  </si>
  <si>
    <r>
      <t xml:space="preserve">Besi </t>
    </r>
    <r>
      <rPr>
        <i/>
        <sz val="11"/>
        <color rgb="FF000000"/>
        <rFont val="Calibri"/>
        <family val="2"/>
        <scheme val="minor"/>
      </rPr>
      <t xml:space="preserve">hollow </t>
    </r>
    <r>
      <rPr>
        <sz val="11"/>
        <color rgb="FF000000"/>
        <rFont val="Calibri"/>
        <family val="2"/>
        <scheme val="minor"/>
      </rPr>
      <t>30x60</t>
    </r>
  </si>
  <si>
    <t>UPAH TENAGA KERJA, BAHAN DAN PERALATAN</t>
  </si>
  <si>
    <t>NO.</t>
  </si>
  <si>
    <t>URAIAN</t>
  </si>
  <si>
    <t>KODE</t>
  </si>
  <si>
    <t>SATUAN</t>
  </si>
  <si>
    <t>HARGA</t>
  </si>
  <si>
    <t>KET.</t>
  </si>
  <si>
    <t>A.</t>
  </si>
  <si>
    <t>UPAH TENAGA KERJA</t>
  </si>
  <si>
    <t>Tukang</t>
  </si>
  <si>
    <t>Tukang Besi/ Besi
Beton</t>
  </si>
  <si>
    <t>Tukang Cat</t>
  </si>
  <si>
    <t>Tukang Cat/Pelitur</t>
  </si>
  <si>
    <t>Tukang Ereksi</t>
  </si>
  <si>
    <t>Tukang Kayu</t>
  </si>
  <si>
    <t>Tukang Las</t>
  </si>
  <si>
    <t>Tukang Las Konstruksi</t>
  </si>
  <si>
    <t>Tukang Pipa</t>
  </si>
  <si>
    <t>Tukang Listrik</t>
  </si>
  <si>
    <t>Tukang Kaca</t>
  </si>
  <si>
    <t>Tukang vibrator</t>
  </si>
  <si>
    <t>Tukang    penganyam
bronjong</t>
  </si>
  <si>
    <t>B.</t>
  </si>
  <si>
    <t>C.</t>
  </si>
  <si>
    <t>INFORMASI :</t>
  </si>
  <si>
    <t>1. YANG DIBLOCK KUNING ADALAH HARGA SATUAN YANG BISA DIUBAH SESUAI HARGA BAHAN SETEMPAT</t>
  </si>
  <si>
    <t>2. CUKUP MERUBAH HARGA MAKA AHS&amp;HSP AKAN BERUBAH MENYESUAIKAN</t>
  </si>
  <si>
    <t>3. HARGA BAHAN DEFAULT ADALAH Rp. 10.000 YANG BISA DIRUBAH, SESUAI HARGA SETEMPAT</t>
  </si>
  <si>
    <t xml:space="preserve">4. UNTUK MENDAPATKAN HARGA BAHAN BISA MENGGUNAKAN FORMULA </t>
  </si>
  <si>
    <t xml:space="preserve">    HARGA BAHAN SETEMPAT+PENGIRIMAN+PPN11%+(10%KENAIKAN HARGA)</t>
  </si>
  <si>
    <t>Harga Satuan (Rp.)</t>
  </si>
  <si>
    <t>Jumlah Harga (Rp.)</t>
  </si>
  <si>
    <t>Jumlah Harga Alat</t>
  </si>
  <si>
    <t>Jumlah Harga Tenaga Kerja</t>
  </si>
  <si>
    <t>Jumlah Harga Bahan</t>
  </si>
  <si>
    <t>4.1.2 Penanaman Pohon</t>
  </si>
  <si>
    <t>4.1.2.1 Pohon Kecil, Polybag 20 L</t>
  </si>
  <si>
    <t xml:space="preserve">4.1.2.1.1  Penanaman 1 Buah Pohon Kecil Bunga Mentega (Nerium Oleander) Diameter 1-2 cm, Tinggi 2-2,5 Meter, Polybag 20 L </t>
  </si>
  <si>
    <t>*) panjang bambu 2 m' x 3 batang</t>
  </si>
  <si>
    <t>4.1.2.1.2 Penanaman  1  Buah  Pohon  Kecil  Bunga  Terompet  Kuning</t>
  </si>
  <si>
    <t>4.1.2.1.3 Penanaman 1 Buah Pohon Kecil Bungur Sakura/Bungur Jepang</t>
  </si>
  <si>
    <t>4.1.3  Penanaman Palem</t>
  </si>
  <si>
    <t>4.1.4  Penanaman Semak</t>
  </si>
  <si>
    <t>4.1.6      Penanaman Rumput</t>
  </si>
  <si>
    <t>4.1.7.2</t>
  </si>
  <si>
    <t>4.1.7.3</t>
  </si>
  <si>
    <t>4.1.7.4</t>
  </si>
  <si>
    <t>4.1.7.5</t>
  </si>
  <si>
    <t>4.1.7.6</t>
  </si>
  <si>
    <t>4.1.7.7</t>
  </si>
  <si>
    <t>4.1.7.8</t>
  </si>
  <si>
    <t>4.1.7.9</t>
  </si>
  <si>
    <t>4.1.8 Pengolahan Tanah berPH Tidak Subur</t>
  </si>
  <si>
    <t>4.1.9      Pengolahan Tanah Bertekstur Tidak Subur</t>
  </si>
  <si>
    <t>4.1.10    Penyiraman pada Tanah Datar (Lahan Subur)</t>
  </si>
  <si>
    <t>4.1.11    Penyiraman pada Tanah Tidak Subur di Lahan Datar</t>
  </si>
  <si>
    <t>4.1.12    Penyiraman pada Tanah Subur di Lahan Miring/Kelerengan</t>
  </si>
  <si>
    <t>4.1.13    Penyiraman pada Tanah Tidak Subur di Lahan Miring/Kelerengan</t>
  </si>
  <si>
    <t>4.2.  PEKERJAAN PEMELIHARAAN TANAMAN</t>
  </si>
  <si>
    <t>4.2.1.     Penyiraman pada Masa Pemeliharaan</t>
  </si>
  <si>
    <t>4.2.2.     Pemupukan Organik</t>
  </si>
  <si>
    <t>4.2.2.1   Pemupukan Pupuk Organik (1 kali) untuk 1 Buah Pohon/Palem</t>
  </si>
  <si>
    <t>Pemupukan  pupuk  anorganik  cair  (1  kali)  untuk  1  buah semak/penutup tanah/rumput</t>
  </si>
  <si>
    <t>4.2.4      Pemangkasan</t>
  </si>
  <si>
    <t>4.2.5      Penyemprotan Pestisida (Insektisida/Fungisida)</t>
  </si>
  <si>
    <t>4.2.6      Pembersihan Lahan (Menyapu)</t>
  </si>
  <si>
    <t>4.2.7      Pencabutan Gulma</t>
  </si>
  <si>
    <t>4.3.  PEKERJAAN HARDSCAPE DAN STREET FURNITURE</t>
  </si>
  <si>
    <t>4.3.1 Pembuatan dan Pemasangan 1 Buah Tong Sampah Kaleng 2 Tabung</t>
  </si>
  <si>
    <r>
      <t xml:space="preserve">4.1.2.3  Pohon Sedang, </t>
    </r>
    <r>
      <rPr>
        <i/>
        <sz val="11"/>
        <color rgb="FF000000"/>
        <rFont val="Calibri"/>
        <family val="2"/>
        <scheme val="minor"/>
      </rPr>
      <t xml:space="preserve">Polybag </t>
    </r>
    <r>
      <rPr>
        <sz val="11"/>
        <color rgb="FF000000"/>
        <rFont val="Calibri"/>
        <family val="2"/>
        <scheme val="minor"/>
      </rPr>
      <t>50 L</t>
    </r>
  </si>
  <si>
    <r>
      <t xml:space="preserve">4.1.2.4  Pohon Sedang, </t>
    </r>
    <r>
      <rPr>
        <i/>
        <sz val="11"/>
        <color rgb="FF000000"/>
        <rFont val="Calibri"/>
        <family val="2"/>
        <scheme val="minor"/>
      </rPr>
      <t xml:space="preserve">Polybag </t>
    </r>
    <r>
      <rPr>
        <sz val="11"/>
        <color rgb="FF000000"/>
        <rFont val="Calibri"/>
        <family val="2"/>
        <scheme val="minor"/>
      </rPr>
      <t>75 L</t>
    </r>
  </si>
  <si>
    <r>
      <t>4.1.2.4.1 Penanaman 1 Buah Pohon Sedang Bintaro (</t>
    </r>
    <r>
      <rPr>
        <i/>
        <sz val="11"/>
        <color rgb="FF000000"/>
        <rFont val="Calibri"/>
        <family val="2"/>
        <scheme val="minor"/>
      </rPr>
      <t>Cerbera Manghas)</t>
    </r>
    <r>
      <rPr>
        <sz val="11"/>
        <color rgb="FF000000"/>
        <rFont val="Calibri"/>
        <family val="2"/>
        <scheme val="minor"/>
      </rPr>
      <t xml:space="preserve">, Diameter 5-7 cm, Tinggi 3-4 meter, </t>
    </r>
    <r>
      <rPr>
        <i/>
        <sz val="11"/>
        <color rgb="FF000000"/>
        <rFont val="Calibri"/>
        <family val="2"/>
        <scheme val="minor"/>
      </rPr>
      <t xml:space="preserve">Polybag </t>
    </r>
    <r>
      <rPr>
        <sz val="11"/>
        <color rgb="FF000000"/>
        <rFont val="Calibri"/>
        <family val="2"/>
        <scheme val="minor"/>
      </rPr>
      <t>75 L</t>
    </r>
  </si>
  <si>
    <r>
      <t xml:space="preserve">4.1.2.5  Pohon Besar, </t>
    </r>
    <r>
      <rPr>
        <i/>
        <sz val="11"/>
        <color rgb="FF000000"/>
        <rFont val="Calibri"/>
        <family val="2"/>
        <scheme val="minor"/>
      </rPr>
      <t xml:space="preserve">Polybag </t>
    </r>
    <r>
      <rPr>
        <sz val="11"/>
        <color rgb="FF000000"/>
        <rFont val="Calibri"/>
        <family val="2"/>
        <scheme val="minor"/>
      </rPr>
      <t>100 L</t>
    </r>
  </si>
  <si>
    <r>
      <t xml:space="preserve">4.1.2.6  Pohon Besar, </t>
    </r>
    <r>
      <rPr>
        <i/>
        <sz val="11"/>
        <color rgb="FF000000"/>
        <rFont val="Calibri"/>
        <family val="2"/>
        <scheme val="minor"/>
      </rPr>
      <t xml:space="preserve">Polybag </t>
    </r>
    <r>
      <rPr>
        <sz val="11"/>
        <color rgb="FF000000"/>
        <rFont val="Calibri"/>
        <family val="2"/>
        <scheme val="minor"/>
      </rPr>
      <t>150 L</t>
    </r>
  </si>
  <si>
    <r>
      <t>4.1.2.6.1 Penanaman  1  Buah  Pohon  Besar  Bodhi  (</t>
    </r>
    <r>
      <rPr>
        <i/>
        <sz val="11"/>
        <color rgb="FF000000"/>
        <rFont val="Calibri"/>
        <family val="2"/>
        <scheme val="minor"/>
      </rPr>
      <t>Ficus  Religiosa</t>
    </r>
    <r>
      <rPr>
        <sz val="11"/>
        <color rgb="FF000000"/>
        <rFont val="Calibri"/>
        <family val="2"/>
        <scheme val="minor"/>
      </rPr>
      <t xml:space="preserve">), Diameter 15-20 cm, Tinggi Diatas 5 meter, </t>
    </r>
    <r>
      <rPr>
        <i/>
        <sz val="11"/>
        <color rgb="FF000000"/>
        <rFont val="Calibri"/>
        <family val="2"/>
        <scheme val="minor"/>
      </rPr>
      <t xml:space="preserve">Polybag </t>
    </r>
    <r>
      <rPr>
        <sz val="11"/>
        <color rgb="FF000000"/>
        <rFont val="Calibri"/>
        <family val="2"/>
        <scheme val="minor"/>
      </rPr>
      <t>150 L</t>
    </r>
  </si>
  <si>
    <r>
      <t xml:space="preserve">4.1.2.7  Pohon Besar, </t>
    </r>
    <r>
      <rPr>
        <i/>
        <sz val="11"/>
        <color rgb="FF000000"/>
        <rFont val="Calibri"/>
        <family val="2"/>
        <scheme val="minor"/>
      </rPr>
      <t xml:space="preserve">Polybag </t>
    </r>
    <r>
      <rPr>
        <sz val="11"/>
        <color rgb="FF000000"/>
        <rFont val="Calibri"/>
        <family val="2"/>
        <scheme val="minor"/>
      </rPr>
      <t>200 L</t>
    </r>
  </si>
  <si>
    <r>
      <t>4.1.2.7.1 Penanaman  1 Buah Pohon Besar Beringin (</t>
    </r>
    <r>
      <rPr>
        <i/>
        <sz val="11"/>
        <color rgb="FF000000"/>
        <rFont val="Calibri"/>
        <family val="2"/>
        <scheme val="minor"/>
      </rPr>
      <t>Ficus Benjamina</t>
    </r>
    <r>
      <rPr>
        <sz val="11"/>
        <color rgb="FF000000"/>
        <rFont val="Calibri"/>
        <family val="2"/>
        <scheme val="minor"/>
      </rPr>
      <t xml:space="preserve">), Diameter 20-25 cm, Tinggi Diatas 5 meter, </t>
    </r>
    <r>
      <rPr>
        <i/>
        <sz val="11"/>
        <color rgb="FF000000"/>
        <rFont val="Calibri"/>
        <family val="2"/>
        <scheme val="minor"/>
      </rPr>
      <t xml:space="preserve">Polybag </t>
    </r>
    <r>
      <rPr>
        <sz val="11"/>
        <color rgb="FF000000"/>
        <rFont val="Calibri"/>
        <family val="2"/>
        <scheme val="minor"/>
      </rPr>
      <t>200 L</t>
    </r>
  </si>
  <si>
    <r>
      <t xml:space="preserve">4.1.2.8  Pohon Besar, </t>
    </r>
    <r>
      <rPr>
        <i/>
        <sz val="11"/>
        <color rgb="FF000000"/>
        <rFont val="Calibri"/>
        <family val="2"/>
        <scheme val="minor"/>
      </rPr>
      <t xml:space="preserve">Polybag </t>
    </r>
    <r>
      <rPr>
        <sz val="11"/>
        <color rgb="FF000000"/>
        <rFont val="Calibri"/>
        <family val="2"/>
        <scheme val="minor"/>
      </rPr>
      <t>250 L</t>
    </r>
  </si>
  <si>
    <r>
      <t>4.1.2.8.1 Penanaman 1 Buah Pohon Besar Baobab (</t>
    </r>
    <r>
      <rPr>
        <i/>
        <sz val="11"/>
        <color rgb="FF000000"/>
        <rFont val="Calibri"/>
        <family val="2"/>
        <scheme val="minor"/>
      </rPr>
      <t>Adansonia Digitata</t>
    </r>
    <r>
      <rPr>
        <sz val="11"/>
        <color rgb="FF000000"/>
        <rFont val="Calibri"/>
        <family val="2"/>
        <scheme val="minor"/>
      </rPr>
      <t xml:space="preserve">) Diameter 25-30 cm, Tinggi Diatas 6 meter, </t>
    </r>
    <r>
      <rPr>
        <i/>
        <sz val="11"/>
        <color rgb="FF000000"/>
        <rFont val="Calibri"/>
        <family val="2"/>
        <scheme val="minor"/>
      </rPr>
      <t xml:space="preserve">Polybag </t>
    </r>
    <r>
      <rPr>
        <sz val="11"/>
        <color rgb="FF000000"/>
        <rFont val="Calibri"/>
        <family val="2"/>
        <scheme val="minor"/>
      </rPr>
      <t>250 L</t>
    </r>
  </si>
  <si>
    <r>
      <t xml:space="preserve">4.1.4.1 Semak, </t>
    </r>
    <r>
      <rPr>
        <i/>
        <sz val="11"/>
        <color rgb="FF000000"/>
        <rFont val="Calibri"/>
        <family val="2"/>
        <scheme val="minor"/>
      </rPr>
      <t xml:space="preserve">Polybag </t>
    </r>
    <r>
      <rPr>
        <sz val="11"/>
        <color rgb="FF000000"/>
        <rFont val="Calibri"/>
        <family val="2"/>
        <scheme val="minor"/>
      </rPr>
      <t>5 L</t>
    </r>
  </si>
  <si>
    <r>
      <t xml:space="preserve">4.1.4.2  Semak, </t>
    </r>
    <r>
      <rPr>
        <i/>
        <sz val="11"/>
        <color rgb="FF000000"/>
        <rFont val="Calibri"/>
        <family val="2"/>
        <scheme val="minor"/>
      </rPr>
      <t xml:space="preserve">Polybag </t>
    </r>
    <r>
      <rPr>
        <sz val="11"/>
        <color rgb="FF000000"/>
        <rFont val="Calibri"/>
        <family val="2"/>
        <scheme val="minor"/>
      </rPr>
      <t>11 L</t>
    </r>
  </si>
  <si>
    <r>
      <t xml:space="preserve">4.1.4.3  Semak, </t>
    </r>
    <r>
      <rPr>
        <i/>
        <sz val="11"/>
        <color rgb="FF000000"/>
        <rFont val="Calibri"/>
        <family val="2"/>
        <scheme val="minor"/>
      </rPr>
      <t xml:space="preserve">Polybag </t>
    </r>
    <r>
      <rPr>
        <sz val="11"/>
        <color rgb="FF000000"/>
        <rFont val="Calibri"/>
        <family val="2"/>
        <scheme val="minor"/>
      </rPr>
      <t>20 L</t>
    </r>
  </si>
  <si>
    <r>
      <t>4.1.4.3.14 Penanaman  1  m2  Semak,  Kembang  Sepatu  (</t>
    </r>
    <r>
      <rPr>
        <i/>
        <sz val="11"/>
        <color rgb="FF000000"/>
        <rFont val="Calibri"/>
        <family val="2"/>
        <scheme val="minor"/>
      </rPr>
      <t>Hibiscus  Rosa- Sinensis</t>
    </r>
    <r>
      <rPr>
        <sz val="11"/>
        <color rgb="FF000000"/>
        <rFont val="Calibri"/>
        <family val="2"/>
        <scheme val="minor"/>
      </rPr>
      <t xml:space="preserve">), 12 Buah/ m2, </t>
    </r>
    <r>
      <rPr>
        <i/>
        <sz val="11"/>
        <color rgb="FF000000"/>
        <rFont val="Calibri"/>
        <family val="2"/>
        <scheme val="minor"/>
      </rPr>
      <t xml:space="preserve">Polybag </t>
    </r>
    <r>
      <rPr>
        <sz val="11"/>
        <color rgb="FF000000"/>
        <rFont val="Calibri"/>
        <family val="2"/>
        <scheme val="minor"/>
      </rPr>
      <t>20 L</t>
    </r>
  </si>
  <si>
    <r>
      <t xml:space="preserve">4.1.5    Penanaman Penutup Tanah </t>
    </r>
    <r>
      <rPr>
        <i/>
        <sz val="11"/>
        <color rgb="FF000000"/>
        <rFont val="Calibri"/>
        <family val="2"/>
        <scheme val="minor"/>
      </rPr>
      <t>(Ground Cover)</t>
    </r>
  </si>
  <si>
    <r>
      <t>4.1.6.3  Penanaman 1 m2 Rumput, Rumput Peking (</t>
    </r>
    <r>
      <rPr>
        <i/>
        <sz val="11"/>
        <color rgb="FF000000"/>
        <rFont val="Calibri"/>
        <family val="2"/>
        <scheme val="minor"/>
      </rPr>
      <t>Agrostis Stolonifera</t>
    </r>
    <r>
      <rPr>
        <sz val="11"/>
        <color rgb="FF000000"/>
        <rFont val="Calibri"/>
        <family val="2"/>
        <scheme val="minor"/>
      </rPr>
      <t>)</t>
    </r>
  </si>
  <si>
    <r>
      <t>4.1.6.4  Penanaman 1 m2 Rumput, Rumput Embun (</t>
    </r>
    <r>
      <rPr>
        <i/>
        <sz val="11"/>
        <color rgb="FF000000"/>
        <rFont val="Calibri"/>
        <family val="2"/>
        <scheme val="minor"/>
      </rPr>
      <t>Bothriochloa Pertusa</t>
    </r>
    <r>
      <rPr>
        <sz val="11"/>
        <color rgb="FF000000"/>
        <rFont val="Calibri"/>
        <family val="2"/>
        <scheme val="minor"/>
      </rPr>
      <t>)</t>
    </r>
  </si>
  <si>
    <t>Penanaman pada Lereng Tanah 1:2 (13°-26.5°), Metode Taplok per m2 Permukaan Lereng (Menggunakan Jenis Biji Rumput)</t>
  </si>
  <si>
    <t>Penanaman pada Lereng Tanah 1:1 (26.5°-45°), Metode Taplok per m2 Permukaan Lereng (Menggunakan Jenis Biji Rumput)</t>
  </si>
  <si>
    <r>
      <t xml:space="preserve">Penanaman pada Lereng Tanah dan/atau Kombinasi Tanah dan Batuan 1:0.5 (45°-63°), Metode </t>
    </r>
    <r>
      <rPr>
        <i/>
        <sz val="11"/>
        <color rgb="FF000000"/>
        <rFont val="Calibri"/>
        <family val="2"/>
        <scheme val="minor"/>
      </rPr>
      <t xml:space="preserve">Hydroseeding </t>
    </r>
    <r>
      <rPr>
        <sz val="11"/>
        <color rgb="FF000000"/>
        <rFont val="Calibri"/>
        <family val="2"/>
        <scheme val="minor"/>
      </rPr>
      <t>per m2 Permukaan Lereng (Menggunakan Jenis Biji Rumput)</t>
    </r>
  </si>
  <si>
    <t>Penanaman pada Lereng Tanah dan/atau Kombinasi Tanah dan Batuan 1:0.5 (45°-63°), Metode Taplok per m2 Permukaan Lereng (Menggunakan Jenis Biji Rumput)</t>
  </si>
  <si>
    <r>
      <t xml:space="preserve">Penanaman pada Lereng Tanah 1:2        (13°-26.5°),        Metode </t>
    </r>
    <r>
      <rPr>
        <i/>
        <sz val="11"/>
        <color rgb="FF000000"/>
        <rFont val="Calibri"/>
        <family val="2"/>
        <scheme val="minor"/>
      </rPr>
      <t xml:space="preserve">Hydroseeding </t>
    </r>
    <r>
      <rPr>
        <sz val="11"/>
        <color rgb="FF000000"/>
        <rFont val="Calibri"/>
        <family val="2"/>
        <scheme val="minor"/>
      </rPr>
      <t xml:space="preserve">per m2 Permukaan Lereng (Menggunakan Jenis Biji </t>
    </r>
    <r>
      <rPr>
        <i/>
        <sz val="11"/>
        <color rgb="FF000000"/>
        <rFont val="Calibri"/>
        <family val="2"/>
        <scheme val="minor"/>
      </rPr>
      <t>Legume Crop Cover</t>
    </r>
    <r>
      <rPr>
        <sz val="11"/>
        <color rgb="FF000000"/>
        <rFont val="Calibri"/>
        <family val="2"/>
        <scheme val="minor"/>
      </rPr>
      <t>/LCC)</t>
    </r>
  </si>
  <si>
    <r>
      <t xml:space="preserve">Penanaman pada Lereng Tanah 1:2 (13°-26.5°), Metode Taplok per m2  Permukaan Lereng (Menggunakan Jenis Biji </t>
    </r>
    <r>
      <rPr>
        <i/>
        <sz val="11"/>
        <color rgb="FF000000"/>
        <rFont val="Calibri"/>
        <family val="2"/>
        <scheme val="minor"/>
      </rPr>
      <t>Legume Crop Cover</t>
    </r>
    <r>
      <rPr>
        <sz val="11"/>
        <color rgb="FF000000"/>
        <rFont val="Calibri"/>
        <family val="2"/>
        <scheme val="minor"/>
      </rPr>
      <t>/LCC)</t>
    </r>
  </si>
  <si>
    <r>
      <t xml:space="preserve">Penanaman pada Lereng Tanah1:1         (26.5°-45°),         Metode </t>
    </r>
    <r>
      <rPr>
        <i/>
        <sz val="11"/>
        <color rgb="FF000000"/>
        <rFont val="Calibri"/>
        <family val="2"/>
        <scheme val="minor"/>
      </rPr>
      <t xml:space="preserve">Hydroseeding </t>
    </r>
    <r>
      <rPr>
        <sz val="11"/>
        <color rgb="FF000000"/>
        <rFont val="Calibri"/>
        <family val="2"/>
        <scheme val="minor"/>
      </rPr>
      <t xml:space="preserve">per m2 Permukaan Lereng (Menggunakan Jenis Biji </t>
    </r>
    <r>
      <rPr>
        <i/>
        <sz val="11"/>
        <color rgb="FF000000"/>
        <rFont val="Calibri"/>
        <family val="2"/>
        <scheme val="minor"/>
      </rPr>
      <t>Legume Crop Cover</t>
    </r>
    <r>
      <rPr>
        <sz val="11"/>
        <color rgb="FF000000"/>
        <rFont val="Calibri"/>
        <family val="2"/>
        <scheme val="minor"/>
      </rPr>
      <t>/LCC)</t>
    </r>
  </si>
  <si>
    <r>
      <t xml:space="preserve">4.1.7.10 Penanaman Pada Lereng Tanah 1:1 (26.5°-45°), Metode Taplok per m2  Permukaan Lereng (Menggunakan Jenis Biji </t>
    </r>
    <r>
      <rPr>
        <i/>
        <sz val="11"/>
        <color rgb="FF000000"/>
        <rFont val="Calibri"/>
        <family val="2"/>
        <scheme val="minor"/>
      </rPr>
      <t>Legume Crop Cover</t>
    </r>
    <r>
      <rPr>
        <sz val="11"/>
        <color rgb="FF000000"/>
        <rFont val="Calibri"/>
        <family val="2"/>
        <scheme val="minor"/>
      </rPr>
      <t>/LCC)</t>
    </r>
  </si>
  <si>
    <r>
      <t xml:space="preserve">4.1.7.11 Penanaman pada Lereng Tanah dan/atau Kombinasi Tanah dan Batuan 1:0.5 (45°-63°), Metode </t>
    </r>
    <r>
      <rPr>
        <i/>
        <sz val="11"/>
        <color rgb="FF000000"/>
        <rFont val="Calibri"/>
        <family val="2"/>
        <scheme val="minor"/>
      </rPr>
      <t xml:space="preserve">Hydroseeding </t>
    </r>
    <r>
      <rPr>
        <sz val="11"/>
        <color rgb="FF000000"/>
        <rFont val="Calibri"/>
        <family val="2"/>
        <scheme val="minor"/>
      </rPr>
      <t xml:space="preserve">per m2 Permukaan Lereng (Menggunakan Jenis Biji </t>
    </r>
    <r>
      <rPr>
        <i/>
        <sz val="11"/>
        <color rgb="FF000000"/>
        <rFont val="Calibri"/>
        <family val="2"/>
        <scheme val="minor"/>
      </rPr>
      <t>Legume Crop Cover</t>
    </r>
    <r>
      <rPr>
        <sz val="11"/>
        <color rgb="FF000000"/>
        <rFont val="Calibri"/>
        <family val="2"/>
        <scheme val="minor"/>
      </rPr>
      <t>/LCC)</t>
    </r>
  </si>
  <si>
    <r>
      <t xml:space="preserve">4.1.7.12 Penanaman pada Lereng Tanah dan/atau Kombinasi Tanah dan Batuan 1:0.5 (45°-63°), Metode Taplok per m2 Permukaan Lereng (Menggunakan Jenis Biji </t>
    </r>
    <r>
      <rPr>
        <i/>
        <sz val="11"/>
        <color rgb="FF000000"/>
        <rFont val="Calibri"/>
        <family val="2"/>
        <scheme val="minor"/>
      </rPr>
      <t>Legume Crop Cover</t>
    </r>
    <r>
      <rPr>
        <sz val="11"/>
        <color rgb="FF000000"/>
        <rFont val="Calibri"/>
        <family val="2"/>
        <scheme val="minor"/>
      </rPr>
      <t>/LCC)</t>
    </r>
  </si>
  <si>
    <r>
      <t xml:space="preserve">4.1.10.5 Penyiraman  1  m2   Rumput  untuk  1  Hari  (dengan  </t>
    </r>
    <r>
      <rPr>
        <i/>
        <sz val="11"/>
        <color rgb="FF000000"/>
        <rFont val="Calibri"/>
        <family val="2"/>
        <scheme val="minor"/>
      </rPr>
      <t>Sprinkler</t>
    </r>
    <r>
      <rPr>
        <sz val="11"/>
        <color rgb="FF000000"/>
        <rFont val="Calibri"/>
        <family val="2"/>
        <scheme val="minor"/>
      </rPr>
      <t>*)</t>
    </r>
  </si>
  <si>
    <t>4.1.12.1 Penyiraman untuk 1 Hari di Tanah Subur di Kelerengan Tanah 1:2 (13° - 26.5°) per m2</t>
  </si>
  <si>
    <t>4.1.12.2 Penyiraman untuk 1 Hari di Tanah Subur di Kelerengan Tanah 1:2 (26.5°- 45°) per m2</t>
  </si>
  <si>
    <r>
      <t xml:space="preserve">4.2.1.2   Penyiraman 1 m2 Area Tanam untuk 1 hari (dengan </t>
    </r>
    <r>
      <rPr>
        <i/>
        <sz val="11"/>
        <color rgb="FF000000"/>
        <rFont val="Calibri"/>
        <family val="2"/>
        <scheme val="minor"/>
      </rPr>
      <t>Sprinkler</t>
    </r>
    <r>
      <rPr>
        <sz val="11"/>
        <color rgb="FF000000"/>
        <rFont val="Calibri"/>
        <family val="2"/>
        <scheme val="minor"/>
      </rPr>
      <t>)</t>
    </r>
  </si>
  <si>
    <t>4.2.3.2   Pemupukan Pupuk Anorganik Padat (1 kali) untuk 1 m2 Semak</t>
  </si>
  <si>
    <r>
      <t xml:space="preserve">4.1.2.2.9 Penanaman  1  Buah  Pohon  Kecil  Pucuk  Merah  </t>
    </r>
    <r>
      <rPr>
        <i/>
        <sz val="11"/>
        <color rgb="FF000000"/>
        <rFont val="Calibri"/>
        <family val="2"/>
        <scheme val="minor"/>
      </rPr>
      <t>(Syzygium Myrtifolium), Diameter 2-3 cm, Tinggi 2-2,5 meter, Polybag 25L</t>
    </r>
  </si>
  <si>
    <r>
      <t xml:space="preserve">4.1.2.2.10 Penanaman  1  Buah  Pohon  Kecil  Sikat  Botol  </t>
    </r>
    <r>
      <rPr>
        <i/>
        <sz val="11"/>
        <color rgb="FF000000"/>
        <rFont val="Calibri"/>
        <family val="2"/>
        <scheme val="minor"/>
      </rPr>
      <t>(Callistemon Viminalis), Diameter 2-3 cm, Tinggi 2-2,5 meter, Polybag 25 L</t>
    </r>
  </si>
  <si>
    <r>
      <t xml:space="preserve">4.1.2.2.11 Penanaman 1 Buah Pohon Kecil </t>
    </r>
    <r>
      <rPr>
        <i/>
        <sz val="11"/>
        <color rgb="FF000000"/>
        <rFont val="Calibri"/>
        <family val="2"/>
        <scheme val="minor"/>
      </rPr>
      <t>Thevetia (Thevetia peruviana), Diameter 2-3 cm, Tinggi 2-2,5 meter, Polybag 25 L</t>
    </r>
  </si>
  <si>
    <r>
      <t xml:space="preserve">4.1.2.2.12 Penanaman 1 Buah Pohon Kecil Turi </t>
    </r>
    <r>
      <rPr>
        <i/>
        <sz val="11"/>
        <color rgb="FF000000"/>
        <rFont val="Calibri"/>
        <family val="2"/>
        <scheme val="minor"/>
      </rPr>
      <t>(Sesbania Grandiflora), Diameter 2-3 cm, Tinggi 2-2,5 meter, Polybag 25 L</t>
    </r>
  </si>
  <si>
    <r>
      <t xml:space="preserve">4.1.2.3.1 Penanaman 1 Buah Pohon Sedang Bintaro </t>
    </r>
    <r>
      <rPr>
        <i/>
        <sz val="11"/>
        <color rgb="FF000000"/>
        <rFont val="Calibri"/>
        <family val="2"/>
        <scheme val="minor"/>
      </rPr>
      <t>(Cerbera Manghas), Diameter 3-5 cm, Tinggi 3-4 meter, Polybag 50 L</t>
    </r>
  </si>
  <si>
    <t>4.1.2.3.3 Penanaman  1  Buah  Pohon  Sedang  Bunga  Terompet  Kuning (Tecoma stans), Diameter 3-5 cm, Tinggi 3-4 meter, Polybag 50 L</t>
  </si>
  <si>
    <r>
      <t>4.1.2.3.4 Penanaman 1 Buah Pohon Sedang Flamboyan (</t>
    </r>
    <r>
      <rPr>
        <i/>
        <sz val="11"/>
        <color rgb="FF000000"/>
        <rFont val="Calibri"/>
        <family val="2"/>
        <scheme val="minor"/>
      </rPr>
      <t>Delonix Regia</t>
    </r>
    <r>
      <rPr>
        <sz val="11"/>
        <color rgb="FF000000"/>
        <rFont val="Calibri"/>
        <family val="2"/>
        <scheme val="minor"/>
      </rPr>
      <t>), Diameter 3-5 cm, Tinggi 3-4 meter, Polybag 50 L</t>
    </r>
  </si>
  <si>
    <t>4.1.2.3.5 Penanaman   1   Buah   Pohon   Sedang   Flamboyan   Kuning (Peltophorum Pterocarpum), Diameter 3-5 cm, Tinggi 3-4 meter, Polybag 50 L</t>
  </si>
  <si>
    <r>
      <t>4.1.2.3.6 Penanaman   1   Buah   Pohon   Sedang   Janda   Merana   (</t>
    </r>
    <r>
      <rPr>
        <i/>
        <sz val="11"/>
        <color rgb="FF000000"/>
        <rFont val="Calibri"/>
        <family val="2"/>
        <scheme val="minor"/>
      </rPr>
      <t>Salix Babilonica), Diameter 3-5 cm, Tinggi 3-4 meter, Polybag 50 L</t>
    </r>
  </si>
  <si>
    <r>
      <t xml:space="preserve">(Tecoma Stans) </t>
    </r>
    <r>
      <rPr>
        <sz val="11"/>
        <color rgb="FF000000"/>
        <rFont val="Calibri"/>
        <family val="2"/>
        <scheme val="minor"/>
      </rPr>
      <t xml:space="preserve">Diameter 1-2 cm, Tinggi 2-2,5 meter, </t>
    </r>
    <r>
      <rPr>
        <i/>
        <sz val="11"/>
        <color rgb="FF000000"/>
        <rFont val="Calibri"/>
        <family val="2"/>
        <scheme val="minor"/>
      </rPr>
      <t xml:space="preserve">Polybag </t>
    </r>
    <r>
      <rPr>
        <sz val="11"/>
        <color rgb="FF000000"/>
        <rFont val="Calibri"/>
        <family val="2"/>
        <scheme val="minor"/>
      </rPr>
      <t>20L</t>
    </r>
  </si>
  <si>
    <r>
      <t xml:space="preserve">4.1.2.1.4 Penanaman 1 Buah Pohon Kecil </t>
    </r>
    <r>
      <rPr>
        <i/>
        <sz val="11"/>
        <color rgb="FF000000"/>
        <rFont val="Calibri"/>
        <family val="2"/>
        <scheme val="minor"/>
      </rPr>
      <t>Cassia Glauca</t>
    </r>
    <r>
      <rPr>
        <sz val="11"/>
        <color rgb="FF000000"/>
        <rFont val="Calibri"/>
        <family val="2"/>
        <scheme val="minor"/>
      </rPr>
      <t>/Hujan Emas</t>
    </r>
  </si>
  <si>
    <r>
      <t xml:space="preserve">4.1.2.1.5 Penanaman  1  Buah  Pohon  Kecil  </t>
    </r>
    <r>
      <rPr>
        <b/>
        <i/>
        <sz val="11"/>
        <color rgb="FF000000"/>
        <rFont val="Calibri"/>
        <family val="2"/>
        <scheme val="minor"/>
      </rPr>
      <t>Dracaena  ‘Song  of  India’</t>
    </r>
  </si>
  <si>
    <r>
      <t xml:space="preserve">(Dracaena Reflexa "Song of India") </t>
    </r>
    <r>
      <rPr>
        <sz val="11"/>
        <color rgb="FF000000"/>
        <rFont val="Calibri"/>
        <family val="2"/>
        <scheme val="minor"/>
      </rPr>
      <t xml:space="preserve">Diameter 1-2 cm, Tinggi 2-2,5 meter, </t>
    </r>
    <r>
      <rPr>
        <i/>
        <sz val="11"/>
        <color rgb="FF000000"/>
        <rFont val="Calibri"/>
        <family val="2"/>
        <scheme val="minor"/>
      </rPr>
      <t xml:space="preserve">Polybag </t>
    </r>
    <r>
      <rPr>
        <sz val="11"/>
        <color rgb="FF000000"/>
        <rFont val="Calibri"/>
        <family val="2"/>
        <scheme val="minor"/>
      </rPr>
      <t>20 L</t>
    </r>
  </si>
  <si>
    <r>
      <t xml:space="preserve">4.1.2.1.6 Penanaman 1 Buah Pohon Kecil </t>
    </r>
    <r>
      <rPr>
        <i/>
        <sz val="11"/>
        <color rgb="FF000000"/>
        <rFont val="Calibri"/>
        <family val="2"/>
        <scheme val="minor"/>
      </rPr>
      <t xml:space="preserve">Dracaena 'Song of Jamaica' (Dracaena Reflexa "Song of Jamaica") </t>
    </r>
    <r>
      <rPr>
        <sz val="11"/>
        <color rgb="FF000000"/>
        <rFont val="Calibri"/>
        <family val="2"/>
        <scheme val="minor"/>
      </rPr>
      <t>Diameter 1-2 cm, Tinggi 2-</t>
    </r>
  </si>
  <si>
    <r>
      <t xml:space="preserve">2,5 meter, </t>
    </r>
    <r>
      <rPr>
        <i/>
        <sz val="11"/>
        <color rgb="FF000000"/>
        <rFont val="Calibri"/>
        <family val="2"/>
        <scheme val="minor"/>
      </rPr>
      <t xml:space="preserve">Polybag </t>
    </r>
    <r>
      <rPr>
        <sz val="11"/>
        <color rgb="FF000000"/>
        <rFont val="Calibri"/>
        <family val="2"/>
        <scheme val="minor"/>
      </rPr>
      <t>20 L</t>
    </r>
  </si>
  <si>
    <r>
      <t xml:space="preserve">4.1.2.2  Pohon Kecil, </t>
    </r>
    <r>
      <rPr>
        <i/>
        <sz val="11"/>
        <color rgb="FF000000"/>
        <rFont val="Calibri"/>
        <family val="2"/>
        <scheme val="minor"/>
      </rPr>
      <t xml:space="preserve">Polybag </t>
    </r>
    <r>
      <rPr>
        <sz val="11"/>
        <color rgb="FF000000"/>
        <rFont val="Calibri"/>
        <family val="2"/>
        <scheme val="minor"/>
      </rPr>
      <t>25 L</t>
    </r>
  </si>
  <si>
    <t>4.2.6.1   Pembersihan (Penyapuan) 1 m2 Area Tanam</t>
  </si>
  <si>
    <t>4.2.7.1   Pencabutan Gulma (Intensitas Gulma di Atas 50%) 1 m2 Rumput</t>
  </si>
  <si>
    <t>4.2.7.2   Pencabutan Gulma (Intensitas Gulma di Atas 20%) 1 m2 Rumput</t>
  </si>
  <si>
    <r>
      <t xml:space="preserve">(Lagerstroemia Indica) </t>
    </r>
    <r>
      <rPr>
        <sz val="11"/>
        <color rgb="FF000000"/>
        <rFont val="Calibri"/>
        <family val="2"/>
        <scheme val="minor"/>
      </rPr>
      <t>Diameter 1-2 cm, Tinggi 2-2,5 meter, Polybag 20 L</t>
    </r>
  </si>
  <si>
    <r>
      <t xml:space="preserve">(Senna Surattensis) </t>
    </r>
    <r>
      <rPr>
        <sz val="11"/>
        <color rgb="FF000000"/>
        <rFont val="Calibri"/>
        <family val="2"/>
        <scheme val="minor"/>
      </rPr>
      <t xml:space="preserve">Diameter 1-2 cm, Tinggi 2-2,5 meter, </t>
    </r>
    <r>
      <rPr>
        <i/>
        <sz val="11"/>
        <color rgb="FF000000"/>
        <rFont val="Calibri"/>
        <family val="2"/>
        <scheme val="minor"/>
      </rPr>
      <t>Polybag 20 L</t>
    </r>
  </si>
  <si>
    <r>
      <t xml:space="preserve">4.1.2.1.7 Penanaman  1  Buah  Pohon  Kecil  Jarak  Batavia  </t>
    </r>
    <r>
      <rPr>
        <i/>
        <sz val="11"/>
        <color rgb="FF000000"/>
        <rFont val="Calibri"/>
        <family val="2"/>
        <scheme val="minor"/>
      </rPr>
      <t>(Jatropha Integerrima) Diameter 1-2 cm, Tinggi 2-2,5 meter, Polybag 20 L</t>
    </r>
  </si>
  <si>
    <r>
      <t xml:space="preserve">4.1.2.1.8 Penanaman 1 Buah Pohon Kecil Kayu Putih Kuning </t>
    </r>
    <r>
      <rPr>
        <i/>
        <sz val="11"/>
        <color rgb="FF000000"/>
        <rFont val="Calibri"/>
        <family val="2"/>
        <scheme val="minor"/>
      </rPr>
      <t>(Melaleuca Revolution Gold) Diameter 1-2 cm, Tinggi 2-2,5 meter, Polybag 20L</t>
    </r>
  </si>
  <si>
    <t>4.1.2.1.9 Penanaman   1   Buah   Pohon   Kecil   Bugenvil/Bunga   Kertas (Bougainvillea sp.) Diameter 1-2 cm, Tinggi 2-2,5 meter, Polybag 20L</t>
  </si>
  <si>
    <r>
      <t xml:space="preserve">4.1.2.1.10 Penanaman 1 Buah Pohon Kecil Penda Merah </t>
    </r>
    <r>
      <rPr>
        <i/>
        <sz val="11"/>
        <color rgb="FF000000"/>
        <rFont val="Calibri"/>
        <family val="2"/>
        <scheme val="minor"/>
      </rPr>
      <t>(Xanthostemon Youngii) Diameter 1-2 cm, Tinggi 2-2,5 meter, Polybag 20 L</t>
    </r>
  </si>
  <si>
    <r>
      <t xml:space="preserve">4.1.2.1.11 Penanaman  1  Buah  Pohon  Kecil  Pucuk  Merah  </t>
    </r>
    <r>
      <rPr>
        <i/>
        <sz val="11"/>
        <color rgb="FF000000"/>
        <rFont val="Calibri"/>
        <family val="2"/>
        <scheme val="minor"/>
      </rPr>
      <t>(Syzygium Myrtifolium) Diameter 1-2 cm, Tinggi 2-2,5 meter, Polybag 20 L</t>
    </r>
  </si>
  <si>
    <r>
      <t xml:space="preserve">4.1.2.1.12 Penanaman  1  Buah  Pohon  Kecil  Sikat  Botol  </t>
    </r>
    <r>
      <rPr>
        <i/>
        <sz val="11"/>
        <color rgb="FF000000"/>
        <rFont val="Calibri"/>
        <family val="2"/>
        <scheme val="minor"/>
      </rPr>
      <t>(Callistemon Viminalis) Diameter 1-2 cm, Tinggi 2-2,5 meter, Polybag 20 L</t>
    </r>
  </si>
  <si>
    <r>
      <t xml:space="preserve">4.1.2.1.13 Penanaman 1 Buah Pohon Kecil </t>
    </r>
    <r>
      <rPr>
        <i/>
        <sz val="11"/>
        <color rgb="FF000000"/>
        <rFont val="Calibri"/>
        <family val="2"/>
        <scheme val="minor"/>
      </rPr>
      <t>Thevetia (Thevetia Peruviana) Diameter 1-2 cm, Tinggi 2-2,5 meter, Polybag 20 L</t>
    </r>
  </si>
  <si>
    <r>
      <t xml:space="preserve">4.1.2.1.14 Penanaman 1 Buah Pohon Kecil Turi </t>
    </r>
    <r>
      <rPr>
        <i/>
        <sz val="11"/>
        <color rgb="FF000000"/>
        <rFont val="Calibri"/>
        <family val="2"/>
        <scheme val="minor"/>
      </rPr>
      <t>(Sesbania Grandiflora) Diameter 1-2 cm, Tinggi 2-2,5 meter, Polybag 20 L</t>
    </r>
  </si>
  <si>
    <r>
      <t xml:space="preserve">4.1.2.1.15 Penanaman 1 Buah Pohon Kecil Kembang Merak </t>
    </r>
    <r>
      <rPr>
        <i/>
        <sz val="11"/>
        <color rgb="FF000000"/>
        <rFont val="Calibri"/>
        <family val="2"/>
        <scheme val="minor"/>
      </rPr>
      <t>(Caesalpinia Pulcherrima) Diameter 1-2 cm, Tinggi 2-2,5 meter, Polybag 20L</t>
    </r>
  </si>
  <si>
    <r>
      <t xml:space="preserve">4.1.2.1.16 Penanaman  1  Buah  Pohon  Kecil  Pandan  Bali  </t>
    </r>
    <r>
      <rPr>
        <i/>
        <sz val="11"/>
        <color rgb="FF000000"/>
        <rFont val="Calibri"/>
        <family val="2"/>
        <scheme val="minor"/>
      </rPr>
      <t>(Cordyline Australis) Diameter 1-2 cm, Tinggi 2-2,5 meter, Polybag 20 L</t>
    </r>
  </si>
  <si>
    <r>
      <t xml:space="preserve">4.1.2.1.17 Penanaman 1 Buah Pohon Kecil </t>
    </r>
    <r>
      <rPr>
        <i/>
        <sz val="11"/>
        <color rgb="FF000000"/>
        <rFont val="Calibri"/>
        <family val="2"/>
        <scheme val="minor"/>
      </rPr>
      <t xml:space="preserve">Yucca (Yucca sp.) </t>
    </r>
    <r>
      <rPr>
        <sz val="11"/>
        <color rgb="FF000000"/>
        <rFont val="Calibri"/>
        <family val="2"/>
        <scheme val="minor"/>
      </rPr>
      <t>Diameter 1-2 cm, Tinggi 2-2,5 meter, Polybag 20 L</t>
    </r>
  </si>
  <si>
    <r>
      <t xml:space="preserve">4.1.2.2.1 Penanaman  1  Buah  Pohon  Kecil  Bunga  Mentega  </t>
    </r>
    <r>
      <rPr>
        <i/>
        <sz val="11"/>
        <color rgb="FF000000"/>
        <rFont val="Calibri"/>
        <family val="2"/>
        <scheme val="minor"/>
      </rPr>
      <t>(Nerium Oleander), Diameter 2-3 cm, Tinggi 2-2,5 meter, Polybag 25 L</t>
    </r>
  </si>
  <si>
    <t>4.1.2.2.2 Penanaman  1  Buah  Pohon  Kecil  Bunga  Terompet  Kuning (Tecoma stans), Diameter 2-3 cm, Tinggi 2-2,5 meter, Polybag 25L</t>
  </si>
  <si>
    <t>4.1.2.2.3 Penanaman 1 Buah Pohon Kecil Bungur Sakura/Bungur Jepang (Lagerstroemia indica), Diameter 2-3 cm, Tinggi 2-2,5 meter, Polybag 25 L</t>
  </si>
  <si>
    <r>
      <t xml:space="preserve">4.1.2.2.4 Penanaman   1   Buah   Pohon   Kecil   </t>
    </r>
    <r>
      <rPr>
        <i/>
        <sz val="11"/>
        <color rgb="FF000000"/>
        <rFont val="Calibri"/>
        <family val="2"/>
        <scheme val="minor"/>
      </rPr>
      <t>Cassia   Glauca   (Senna Surattensis), Diameter 2-3 cm, Tinggi 2-2,5 meter, Polybag 25 L</t>
    </r>
  </si>
  <si>
    <r>
      <t xml:space="preserve">4.1.2.2.5 Penanaman  1  Buah  Pohon  Kecil  </t>
    </r>
    <r>
      <rPr>
        <b/>
        <i/>
        <sz val="11"/>
        <color rgb="FF000000"/>
        <rFont val="Calibri"/>
        <family val="2"/>
        <scheme val="minor"/>
      </rPr>
      <t>Dracaena  ‘Song  of  India’ (Dracaena reflexa "song of india"), Diameter 2-3 cm, Tinggi 2-2,5 meter, Polybag 25 L</t>
    </r>
  </si>
  <si>
    <r>
      <t xml:space="preserve">4.1.2.2.6 Penanaman 1 Buah Pohon Kecil </t>
    </r>
    <r>
      <rPr>
        <i/>
        <sz val="11"/>
        <color rgb="FF000000"/>
        <rFont val="Calibri"/>
        <family val="2"/>
        <scheme val="minor"/>
      </rPr>
      <t xml:space="preserve">Dracaena 'Song of Jamaica' (Dracaena reflexa "song of jamaica"), </t>
    </r>
    <r>
      <rPr>
        <sz val="11"/>
        <color rgb="FF000000"/>
        <rFont val="Calibri"/>
        <family val="2"/>
        <scheme val="minor"/>
      </rPr>
      <t>Diameter 2-3 cm, Tinggi 2-2,5 meter, Polybag 25 L</t>
    </r>
  </si>
  <si>
    <r>
      <t xml:space="preserve">4.1.2.2.7 Penanaman  1  Buah  Pohon  Kecil  Jarak  Batavia  </t>
    </r>
    <r>
      <rPr>
        <i/>
        <sz val="11"/>
        <color rgb="FF000000"/>
        <rFont val="Calibri"/>
        <family val="2"/>
        <scheme val="minor"/>
      </rPr>
      <t>(Jatropha Integerrima), Diameter 2-3 cm, Tinggi 2-2,5 meter, Polybag 25L</t>
    </r>
  </si>
  <si>
    <r>
      <t xml:space="preserve">4.1.2.2.8 Penanaman 1 Buah Pohon Kecil Kayu Putih Kuning </t>
    </r>
    <r>
      <rPr>
        <i/>
        <sz val="11"/>
        <color rgb="FF000000"/>
        <rFont val="Calibri"/>
        <family val="2"/>
        <scheme val="minor"/>
      </rPr>
      <t>(Melaleuca Revolution Gold), Diameter 2-3 cm, Tinggi 2-2,5 meter, Polybag 25L</t>
    </r>
  </si>
  <si>
    <r>
      <t>4.1.2.3.2 Penanaman 1 Buah Pohon Sedang Bunga Kupu-Kupu (</t>
    </r>
    <r>
      <rPr>
        <i/>
        <sz val="11"/>
        <color rgb="FF000000"/>
        <rFont val="Calibri"/>
        <family val="2"/>
        <scheme val="minor"/>
      </rPr>
      <t>Bauhinia Blakeana/Purpurea), Diameter 3-5 cm, Tinggi 3-4 meter, Polybag 50L</t>
    </r>
  </si>
  <si>
    <t>4.1.2.3.7 Penanaman   1   Buah   Pohon   Sedang   Ketapang   kencana (Terminalia  mantaly),  Diameter  3-5  cm,  Tinggi  3-4  meter, Polybag 50 L</t>
  </si>
  <si>
    <r>
      <t>4.1.2.3.8 Penanaman  1  Buah  Pohon  Sedang  Sosis  (</t>
    </r>
    <r>
      <rPr>
        <i/>
        <sz val="11"/>
        <color rgb="FF000000"/>
        <rFont val="Calibri"/>
        <family val="2"/>
        <scheme val="minor"/>
      </rPr>
      <t>Kigelia  Africana</t>
    </r>
    <r>
      <rPr>
        <sz val="11"/>
        <color rgb="FF000000"/>
        <rFont val="Calibri"/>
        <family val="2"/>
        <scheme val="minor"/>
      </rPr>
      <t>), Diameter 3-5 cm, Tinggi 3-4 meter, Polybag 50 L</t>
    </r>
  </si>
  <si>
    <r>
      <t>4.1.2.3.9 Penanaman  1  Buah  Pohon  Sedang  Tabebuya  (</t>
    </r>
    <r>
      <rPr>
        <i/>
        <sz val="11"/>
        <color rgb="FF000000"/>
        <rFont val="Calibri"/>
        <family val="2"/>
        <scheme val="minor"/>
      </rPr>
      <t>Tabebuia  sp.</t>
    </r>
    <r>
      <rPr>
        <sz val="11"/>
        <color rgb="FF000000"/>
        <rFont val="Calibri"/>
        <family val="2"/>
        <scheme val="minor"/>
      </rPr>
      <t>), Diameter 3-5 cm, Tinggi 3-4 meter, Polybag 50 L</t>
    </r>
  </si>
  <si>
    <r>
      <t>4.1.2.3.10 Penanaman 1 Buah Pohon Sedang Waru (</t>
    </r>
    <r>
      <rPr>
        <i/>
        <sz val="11"/>
        <color rgb="FF000000"/>
        <rFont val="Calibri"/>
        <family val="2"/>
        <scheme val="minor"/>
      </rPr>
      <t>Hibiscus Tiliaceus</t>
    </r>
    <r>
      <rPr>
        <sz val="11"/>
        <color rgb="FF000000"/>
        <rFont val="Calibri"/>
        <family val="2"/>
        <scheme val="minor"/>
      </rPr>
      <t>), Diameter 3-5 cm, Tinggi 3-4 meter, Polybag 50 L</t>
    </r>
  </si>
  <si>
    <r>
      <t>4.1.2.4.2 Penanaman 1 Buah Pohon Sedang Biola Cantik (</t>
    </r>
    <r>
      <rPr>
        <i/>
        <sz val="11"/>
        <color rgb="FF000000"/>
        <rFont val="Calibri"/>
        <family val="2"/>
        <scheme val="minor"/>
      </rPr>
      <t>Ficus Lyrata)</t>
    </r>
    <r>
      <rPr>
        <sz val="11"/>
        <color rgb="FF000000"/>
        <rFont val="Calibri"/>
        <family val="2"/>
        <scheme val="minor"/>
      </rPr>
      <t>, Diameter 5-7 cm, Tinggi 3-4 meter, Polybag 75 L</t>
    </r>
  </si>
  <si>
    <r>
      <t>4.1.2.4.3 Penanaman 1 Buah Pohon Sedang Bunga Kupu-Kupu (</t>
    </r>
    <r>
      <rPr>
        <i/>
        <sz val="11"/>
        <color rgb="FF000000"/>
        <rFont val="Calibri"/>
        <family val="2"/>
        <scheme val="minor"/>
      </rPr>
      <t>Bauhinia Blakeana/Purpurea), Diameter 5-7 cm, Tinggi 3-4 meter, Polybag 75 L</t>
    </r>
  </si>
  <si>
    <r>
      <t>4.1.2.4.4 Penanaman  1  Buah  Pohon  Sedang  Bungur    (</t>
    </r>
    <r>
      <rPr>
        <i/>
        <sz val="11"/>
        <color rgb="FF000000"/>
        <rFont val="Calibri"/>
        <family val="2"/>
        <scheme val="minor"/>
      </rPr>
      <t>Lagerstroemia Speciosa), Diameter 5-7 cm, Tinggi 3-4 meter, Polybag 75 L</t>
    </r>
  </si>
  <si>
    <r>
      <t>4.1.2.4.5 Penanaman 1 Buah Pohon Sedang Flamboyan (</t>
    </r>
    <r>
      <rPr>
        <i/>
        <sz val="11"/>
        <color rgb="FF000000"/>
        <rFont val="Calibri"/>
        <family val="2"/>
        <scheme val="minor"/>
      </rPr>
      <t>Delonix Regia)</t>
    </r>
    <r>
      <rPr>
        <sz val="11"/>
        <color rgb="FF000000"/>
        <rFont val="Calibri"/>
        <family val="2"/>
        <scheme val="minor"/>
      </rPr>
      <t>, Diameter 5-7 cm, Tinggi 3-4 meter, Polybag 75 L</t>
    </r>
  </si>
  <si>
    <t>4.1.2.4.6 Penanaman   1   Buah   Pohon   Sedang   Flamboyan   Kuning (Peltophorum Pterocarpum), Diameter 5-7 cm, Tinggi 3-4 meter, Polybag 75 L</t>
  </si>
  <si>
    <r>
      <t>4.1.2.4.7 Penanaman   1   Buah   Pohon   Sedang   Janda   Merana   (</t>
    </r>
    <r>
      <rPr>
        <i/>
        <sz val="11"/>
        <color rgb="FF000000"/>
        <rFont val="Calibri"/>
        <family val="2"/>
        <scheme val="minor"/>
      </rPr>
      <t>Salix  Babilonica), Diameter 5-7 cm, Tinggi 3-4 meter, Polybag 75 L</t>
    </r>
  </si>
  <si>
    <r>
      <t>4.1.2.4.8 Penanaman 1 Buah Pohon Sedang Kamboja   (</t>
    </r>
    <r>
      <rPr>
        <i/>
        <sz val="11"/>
        <color rgb="FF000000"/>
        <rFont val="Calibri"/>
        <family val="2"/>
        <scheme val="minor"/>
      </rPr>
      <t>Plumeria Sp.)</t>
    </r>
    <r>
      <rPr>
        <sz val="11"/>
        <color rgb="FF000000"/>
        <rFont val="Calibri"/>
        <family val="2"/>
        <scheme val="minor"/>
      </rPr>
      <t>, Diameter 5-7 cm, Tinggi 3-4 meter, Polybag 75 L</t>
    </r>
  </si>
  <si>
    <r>
      <t>4.1.2.4.9 Penanaman 1 Buah Pohon Sedang Keben (</t>
    </r>
    <r>
      <rPr>
        <i/>
        <sz val="11"/>
        <color rgb="FF000000"/>
        <rFont val="Calibri"/>
        <family val="2"/>
        <scheme val="minor"/>
      </rPr>
      <t>Barringtonia Asiatica)</t>
    </r>
    <r>
      <rPr>
        <sz val="11"/>
        <color rgb="FF000000"/>
        <rFont val="Calibri"/>
        <family val="2"/>
        <scheme val="minor"/>
      </rPr>
      <t>, Diameter 5-7 cm, Tinggi 3-4 meter, Polybag 75 L</t>
    </r>
  </si>
  <si>
    <r>
      <t>4.1.2.4.10 Penanaman  1  Buah  Pohon  Sedang  Kecrutan  (</t>
    </r>
    <r>
      <rPr>
        <i/>
        <sz val="11"/>
        <color rgb="FF000000"/>
        <rFont val="Calibri"/>
        <family val="2"/>
        <scheme val="minor"/>
      </rPr>
      <t>Spathodea Campanulata), Diameter 5-7 cm, Tinggi 3-4 meter, Polybag 75 L</t>
    </r>
  </si>
  <si>
    <t>4.1.2.4.11 Penanaman   1   Buah   Pohon   Sedang   Ketapang   Kencana (Terminalia  Mantaly),  Diameter  5-7  cm,  Tinggi  3-4  meter, Polybag 75 L</t>
  </si>
  <si>
    <r>
      <t>4.1.2.4.12 Penanaman   1   Buah   Pohon   Sedang   Mahoni   (</t>
    </r>
    <r>
      <rPr>
        <i/>
        <sz val="11"/>
        <color rgb="FF000000"/>
        <rFont val="Calibri"/>
        <family val="2"/>
        <scheme val="minor"/>
      </rPr>
      <t>Swietenia Mahagoni), Diameter 5-7 cm, Tinggi 3-4 meter, Polybag 75 L</t>
    </r>
  </si>
  <si>
    <r>
      <t>4.1.2.4.13 Penanaman 1 Buah Pohon Sedang Pulai  (</t>
    </r>
    <r>
      <rPr>
        <i/>
        <sz val="11"/>
        <color rgb="FF000000"/>
        <rFont val="Calibri"/>
        <family val="2"/>
        <scheme val="minor"/>
      </rPr>
      <t>Alstonia Scholaris)</t>
    </r>
    <r>
      <rPr>
        <sz val="11"/>
        <color rgb="FF000000"/>
        <rFont val="Calibri"/>
        <family val="2"/>
        <scheme val="minor"/>
      </rPr>
      <t>, Diameter 5-7 cm, Tinggi 3-4 meter, Polybag 75 L</t>
    </r>
  </si>
  <si>
    <r>
      <t>4.1.2.4.14 Penanaman 1 Buah Pohon Sedang Putat (</t>
    </r>
    <r>
      <rPr>
        <i/>
        <sz val="11"/>
        <color rgb="FF000000"/>
        <rFont val="Calibri"/>
        <family val="2"/>
        <scheme val="minor"/>
      </rPr>
      <t>Planchonia Valida)</t>
    </r>
    <r>
      <rPr>
        <sz val="11"/>
        <color rgb="FF000000"/>
        <rFont val="Calibri"/>
        <family val="2"/>
        <scheme val="minor"/>
      </rPr>
      <t>, Diameter 5-7 cm, Tinggi 3-4 meter, Polybag 75 L</t>
    </r>
  </si>
  <si>
    <r>
      <t>4.1.2.4.15 Penanaman 1 Buah Pohon Sedang Sosis (</t>
    </r>
    <r>
      <rPr>
        <i/>
        <sz val="11"/>
        <color rgb="FF000000"/>
        <rFont val="Calibri"/>
        <family val="2"/>
        <scheme val="minor"/>
      </rPr>
      <t>Kigelia Africana)</t>
    </r>
    <r>
      <rPr>
        <sz val="11"/>
        <color rgb="FF000000"/>
        <rFont val="Calibri"/>
        <family val="2"/>
        <scheme val="minor"/>
      </rPr>
      <t>, Diameter 5-7 cm, Tinggi 3-4 meter, Polybag 75 L</t>
    </r>
  </si>
  <si>
    <r>
      <t>4.1.2.4.16 Penanaman 1 Buah Pohon Sedang Tabebuya  (</t>
    </r>
    <r>
      <rPr>
        <i/>
        <sz val="11"/>
        <color rgb="FF000000"/>
        <rFont val="Calibri"/>
        <family val="2"/>
        <scheme val="minor"/>
      </rPr>
      <t>Tabebuia Sp.)</t>
    </r>
    <r>
      <rPr>
        <sz val="11"/>
        <color rgb="FF000000"/>
        <rFont val="Calibri"/>
        <family val="2"/>
        <scheme val="minor"/>
      </rPr>
      <t>, Diameter 5-7 cm, Tinggi 3-4 meter, Polybag 75 L</t>
    </r>
  </si>
  <si>
    <r>
      <t>4.1.2.4.17 Penanaman 1 Buah Pohon Sedang Trembesi (</t>
    </r>
    <r>
      <rPr>
        <i/>
        <sz val="11"/>
        <color rgb="FF000000"/>
        <rFont val="Calibri"/>
        <family val="2"/>
        <scheme val="minor"/>
      </rPr>
      <t>Samanea Saman)</t>
    </r>
    <r>
      <rPr>
        <sz val="11"/>
        <color rgb="FF000000"/>
        <rFont val="Calibri"/>
        <family val="2"/>
        <scheme val="minor"/>
      </rPr>
      <t>, Diameter 5-7 cm, Tinggi 3-4 meter, Polybag 75 L</t>
    </r>
  </si>
  <si>
    <r>
      <t>4.1.2.4.18 Penanaman 1 Buah Pohon Sedang Waru (</t>
    </r>
    <r>
      <rPr>
        <i/>
        <sz val="11"/>
        <color rgb="FF000000"/>
        <rFont val="Calibri"/>
        <family val="2"/>
        <scheme val="minor"/>
      </rPr>
      <t>Hibiscus Tiliaceus)</t>
    </r>
    <r>
      <rPr>
        <sz val="11"/>
        <color rgb="FF000000"/>
        <rFont val="Calibri"/>
        <family val="2"/>
        <scheme val="minor"/>
      </rPr>
      <t>, Diameter 5-7 cm, Tinggi 3-4 meter, Polybag 75 L</t>
    </r>
  </si>
  <si>
    <r>
      <t>4.1.2.5.1 Penanaman   1   Buah   Pohon   Besar   Pohon   Beringin   (</t>
    </r>
    <r>
      <rPr>
        <i/>
        <sz val="11"/>
        <color rgb="FF000000"/>
        <rFont val="Calibri"/>
        <family val="2"/>
        <scheme val="minor"/>
      </rPr>
      <t>Ficus Benjamina), Diameter 7-15 cm, Tinggi diatas 5 meter, Polybag 100L</t>
    </r>
  </si>
  <si>
    <r>
      <t>4.1.2.5.2 Penanaman 1 Buah Pohon Besar Biola Cantik (</t>
    </r>
    <r>
      <rPr>
        <i/>
        <sz val="11"/>
        <color rgb="FF000000"/>
        <rFont val="Calibri"/>
        <family val="2"/>
        <scheme val="minor"/>
      </rPr>
      <t>Ficus Lyrata</t>
    </r>
    <r>
      <rPr>
        <sz val="11"/>
        <color rgb="FF000000"/>
        <rFont val="Calibri"/>
        <family val="2"/>
        <scheme val="minor"/>
      </rPr>
      <t>), Diameter 7-15 cm, Tinggi Diatas 5 meter, Polybag 100 L</t>
    </r>
  </si>
  <si>
    <r>
      <t>4.1.2.5.3 Penanaman  1  Buah  Pohon  Besar  Bodhi  (</t>
    </r>
    <r>
      <rPr>
        <i/>
        <sz val="11"/>
        <color rgb="FF000000"/>
        <rFont val="Calibri"/>
        <family val="2"/>
        <scheme val="minor"/>
      </rPr>
      <t>Ficus  Religiosa</t>
    </r>
    <r>
      <rPr>
        <sz val="11"/>
        <color rgb="FF000000"/>
        <rFont val="Calibri"/>
        <family val="2"/>
        <scheme val="minor"/>
      </rPr>
      <t>), Diameter 7-15 cm, Tinggi Diatas 5 meter, Polybag 100 L</t>
    </r>
  </si>
  <si>
    <r>
      <t>4.1.2.5.4 Penanaman   1   Buah   Pohon   Besar   Bungur   (</t>
    </r>
    <r>
      <rPr>
        <i/>
        <sz val="11"/>
        <color rgb="FF000000"/>
        <rFont val="Calibri"/>
        <family val="2"/>
        <scheme val="minor"/>
      </rPr>
      <t>Lagerstroemis Speciosa), Diameter 7-15 cm, Tinggi Diatas 5 meter, Polybag 100L</t>
    </r>
  </si>
  <si>
    <r>
      <t>4.1.2.5.5 Penanaman 1 Buah Pohon Besar Flamboyan (</t>
    </r>
    <r>
      <rPr>
        <i/>
        <sz val="11"/>
        <color rgb="FF000000"/>
        <rFont val="Calibri"/>
        <family val="2"/>
        <scheme val="minor"/>
      </rPr>
      <t>Delonix Regia</t>
    </r>
    <r>
      <rPr>
        <sz val="11"/>
        <color rgb="FF000000"/>
        <rFont val="Calibri"/>
        <family val="2"/>
        <scheme val="minor"/>
      </rPr>
      <t>), Diameter 7-15 cm, Tinggi Diatas 5 meter, Polybag 100 L</t>
    </r>
  </si>
  <si>
    <r>
      <t>4.1.2.5.6 Penanaman  1  Buah  Pohon  Besar  Kamboja  (</t>
    </r>
    <r>
      <rPr>
        <i/>
        <sz val="11"/>
        <color rgb="FF000000"/>
        <rFont val="Calibri"/>
        <family val="2"/>
        <scheme val="minor"/>
      </rPr>
      <t>Plumeria  Sp.</t>
    </r>
    <r>
      <rPr>
        <sz val="11"/>
        <color rgb="FF000000"/>
        <rFont val="Calibri"/>
        <family val="2"/>
        <scheme val="minor"/>
      </rPr>
      <t>), Diameter 7-15 cm, Tinggi Diatas 5 meter, Polybag 100 L</t>
    </r>
  </si>
  <si>
    <r>
      <t>4.1.2.5.7 Penanaman 1 Buah Pohon Besar Keben (</t>
    </r>
    <r>
      <rPr>
        <i/>
        <sz val="11"/>
        <color rgb="FF000000"/>
        <rFont val="Calibri"/>
        <family val="2"/>
        <scheme val="minor"/>
      </rPr>
      <t>Barringtonia Asiatica</t>
    </r>
    <r>
      <rPr>
        <sz val="11"/>
        <color rgb="FF000000"/>
        <rFont val="Calibri"/>
        <family val="2"/>
        <scheme val="minor"/>
      </rPr>
      <t>), Diameter 7-15 cm, Tinggi Diatas 5 meter, Polybag 100 L</t>
    </r>
  </si>
  <si>
    <r>
      <t>4.1.2.5.8 Penanaman   1   Buah   Pohon   Besar   Kecrutan   (</t>
    </r>
    <r>
      <rPr>
        <i/>
        <sz val="11"/>
        <color rgb="FF000000"/>
        <rFont val="Calibri"/>
        <family val="2"/>
        <scheme val="minor"/>
      </rPr>
      <t>Spathodea Campanulata), Diameter 7-15 cm, Tinggi Diatas 5 meter, Polybag 100 L</t>
    </r>
  </si>
  <si>
    <r>
      <t>4.1.2.5.9 Penanaman 1 Buah Pohon Besar Ketapang Kencana (</t>
    </r>
    <r>
      <rPr>
        <i/>
        <sz val="11"/>
        <color rgb="FF000000"/>
        <rFont val="Calibri"/>
        <family val="2"/>
        <scheme val="minor"/>
      </rPr>
      <t>Terminalia Mantaly), Diameter 7-15 cm, Tinggi Diatas 5 meter, Polybag 100L</t>
    </r>
  </si>
  <si>
    <r>
      <t>4.1.2.5.10 Penanaman 1 Buah Pohon Besar Mahoni (</t>
    </r>
    <r>
      <rPr>
        <i/>
        <sz val="11"/>
        <color rgb="FF000000"/>
        <rFont val="Calibri"/>
        <family val="2"/>
        <scheme val="minor"/>
      </rPr>
      <t>Swietenia Mahagoni</t>
    </r>
    <r>
      <rPr>
        <sz val="11"/>
        <color rgb="FF000000"/>
        <rFont val="Calibri"/>
        <family val="2"/>
        <scheme val="minor"/>
      </rPr>
      <t>), Diameter 7-15 cm, Tinggi Diatas 5 meter, Polybag 100 L</t>
    </r>
  </si>
  <si>
    <r>
      <t>4.1.2.5.11 Penanaman 1 Buah Pohon Besar Pulai   (</t>
    </r>
    <r>
      <rPr>
        <i/>
        <sz val="11"/>
        <color rgb="FF000000"/>
        <rFont val="Calibri"/>
        <family val="2"/>
        <scheme val="minor"/>
      </rPr>
      <t>Alstonia Scholaris</t>
    </r>
    <r>
      <rPr>
        <sz val="11"/>
        <color rgb="FF000000"/>
        <rFont val="Calibri"/>
        <family val="2"/>
        <scheme val="minor"/>
      </rPr>
      <t>), Diameter 7-15 cm, Tinggi Diatas 5 meter, Polybag 100 L</t>
    </r>
  </si>
  <si>
    <r>
      <t>4.1.2.5.12 Penanaman 1 Buah Pohon Besar Putat (</t>
    </r>
    <r>
      <rPr>
        <i/>
        <sz val="11"/>
        <color rgb="FF000000"/>
        <rFont val="Calibri"/>
        <family val="2"/>
        <scheme val="minor"/>
      </rPr>
      <t>Planchonia Valida</t>
    </r>
    <r>
      <rPr>
        <sz val="11"/>
        <color rgb="FF000000"/>
        <rFont val="Calibri"/>
        <family val="2"/>
        <scheme val="minor"/>
      </rPr>
      <t>), Diameter 7-15 cm, Tinggi Diatas 5 meter, Polybag 100 L</t>
    </r>
  </si>
  <si>
    <r>
      <t>4.1.2.5.13 Penanaman  1  Buah  Pohon  Besar  Sosis  (</t>
    </r>
    <r>
      <rPr>
        <i/>
        <sz val="11"/>
        <color rgb="FF000000"/>
        <rFont val="Calibri"/>
        <family val="2"/>
        <scheme val="minor"/>
      </rPr>
      <t>Kigelia  Africana</t>
    </r>
    <r>
      <rPr>
        <sz val="11"/>
        <color rgb="FF000000"/>
        <rFont val="Calibri"/>
        <family val="2"/>
        <scheme val="minor"/>
      </rPr>
      <t>), Diameter 7-15 cm, Tinggi Diatas 5 meter, Polybag 100 L</t>
    </r>
  </si>
  <si>
    <r>
      <t>4.1.2.5.14 Penanaman 1 Buah Pohon Besar Trembesi (</t>
    </r>
    <r>
      <rPr>
        <i/>
        <sz val="11"/>
        <color rgb="FF000000"/>
        <rFont val="Calibri"/>
        <family val="2"/>
        <scheme val="minor"/>
      </rPr>
      <t>Samanea Saman</t>
    </r>
    <r>
      <rPr>
        <sz val="11"/>
        <color rgb="FF000000"/>
        <rFont val="Calibri"/>
        <family val="2"/>
        <scheme val="minor"/>
      </rPr>
      <t>), Diameter 7-15 cm, Tinggi Diatas 5 meter, Polybag 100 L</t>
    </r>
  </si>
  <si>
    <r>
      <t>4.1.2.6.2 Penanaman 1 Buah Pohon Besar Beringin (</t>
    </r>
    <r>
      <rPr>
        <i/>
        <sz val="11"/>
        <color rgb="FF000000"/>
        <rFont val="Calibri"/>
        <family val="2"/>
        <scheme val="minor"/>
      </rPr>
      <t>Ficus Benjamina</t>
    </r>
    <r>
      <rPr>
        <sz val="11"/>
        <color rgb="FF000000"/>
        <rFont val="Calibri"/>
        <family val="2"/>
        <scheme val="minor"/>
      </rPr>
      <t>), Diameter 15-20 cm, Tinggi Diatas 5 meter, Polybag 150 L</t>
    </r>
  </si>
  <si>
    <r>
      <t>4.1.2.6.3 Penanaman  1  Buah  Pohon  Besar  Bodhi  (</t>
    </r>
    <r>
      <rPr>
        <i/>
        <sz val="11"/>
        <color rgb="FF000000"/>
        <rFont val="Calibri"/>
        <family val="2"/>
        <scheme val="minor"/>
      </rPr>
      <t>Ficus  Religiosa</t>
    </r>
    <r>
      <rPr>
        <sz val="11"/>
        <color rgb="FF000000"/>
        <rFont val="Calibri"/>
        <family val="2"/>
        <scheme val="minor"/>
      </rPr>
      <t>), Diameter 15-20 cm, Tinggi Diatas 5 meter, Polybag 150 L</t>
    </r>
  </si>
  <si>
    <r>
      <t>4.1.2.6.4 Penanaman 1 Buah Pohon Besar Flamboyan (</t>
    </r>
    <r>
      <rPr>
        <i/>
        <sz val="11"/>
        <color rgb="FF000000"/>
        <rFont val="Calibri"/>
        <family val="2"/>
        <scheme val="minor"/>
      </rPr>
      <t>Delonix Regia</t>
    </r>
    <r>
      <rPr>
        <sz val="11"/>
        <color rgb="FF000000"/>
        <rFont val="Calibri"/>
        <family val="2"/>
        <scheme val="minor"/>
      </rPr>
      <t>), Diameter 15-20 cm, Tinggi Diatas 5 meter, Polybag 150 L</t>
    </r>
  </si>
  <si>
    <r>
      <t>4.1.2.6.5 Penanaman  1  Buah  Pohon  Besar  Kamboja  (</t>
    </r>
    <r>
      <rPr>
        <i/>
        <sz val="11"/>
        <color rgb="FF000000"/>
        <rFont val="Calibri"/>
        <family val="2"/>
        <scheme val="minor"/>
      </rPr>
      <t>Plumeria  Sp.</t>
    </r>
    <r>
      <rPr>
        <sz val="11"/>
        <color rgb="FF000000"/>
        <rFont val="Calibri"/>
        <family val="2"/>
        <scheme val="minor"/>
      </rPr>
      <t>), Diameter 15-20 cm, Tinggi Diatas 5 meter, Polybag 150 L</t>
    </r>
  </si>
  <si>
    <r>
      <t>4.1.2.6.6 Penanaman 1 Buah Pohon Besar Pulai   (</t>
    </r>
    <r>
      <rPr>
        <i/>
        <sz val="11"/>
        <color rgb="FF000000"/>
        <rFont val="Calibri"/>
        <family val="2"/>
        <scheme val="minor"/>
      </rPr>
      <t>Alstonia Scholaris</t>
    </r>
    <r>
      <rPr>
        <sz val="11"/>
        <color rgb="FF000000"/>
        <rFont val="Calibri"/>
        <family val="2"/>
        <scheme val="minor"/>
      </rPr>
      <t>), Diameter 15-20 cm, Tinggi Diatas 5 meter, Polybag 150 L</t>
    </r>
  </si>
  <si>
    <r>
      <t>4.1.2.6.7 Penanaman  1  Buah  Pohon  Besar  Sosis  (</t>
    </r>
    <r>
      <rPr>
        <i/>
        <sz val="11"/>
        <color rgb="FF000000"/>
        <rFont val="Calibri"/>
        <family val="2"/>
        <scheme val="minor"/>
      </rPr>
      <t>Kigelia  Africana</t>
    </r>
    <r>
      <rPr>
        <sz val="11"/>
        <color rgb="FF000000"/>
        <rFont val="Calibri"/>
        <family val="2"/>
        <scheme val="minor"/>
      </rPr>
      <t>), Diameter 15-20 cm, Tinggi Diatas 5 meter, Polybag 150 L</t>
    </r>
  </si>
  <si>
    <r>
      <t>4.1.2.6.8 Penanaman 1 Buah Pohon Besar Trembesi (</t>
    </r>
    <r>
      <rPr>
        <i/>
        <sz val="11"/>
        <color rgb="FF000000"/>
        <rFont val="Calibri"/>
        <family val="2"/>
        <scheme val="minor"/>
      </rPr>
      <t>Samanea Saman</t>
    </r>
    <r>
      <rPr>
        <sz val="11"/>
        <color rgb="FF000000"/>
        <rFont val="Calibri"/>
        <family val="2"/>
        <scheme val="minor"/>
      </rPr>
      <t>), Diameter 15-20 cm, Tinggi Diatas 5 meter, Polybag 150 L</t>
    </r>
  </si>
  <si>
    <r>
      <t>4.1.2.7.2 Penanaman  1  Buah  Pohon  Besar  Bodhi  (</t>
    </r>
    <r>
      <rPr>
        <i/>
        <sz val="11"/>
        <color rgb="FF000000"/>
        <rFont val="Calibri"/>
        <family val="2"/>
        <scheme val="minor"/>
      </rPr>
      <t>Ficus  Religiosa</t>
    </r>
    <r>
      <rPr>
        <sz val="11"/>
        <color rgb="FF000000"/>
        <rFont val="Calibri"/>
        <family val="2"/>
        <scheme val="minor"/>
      </rPr>
      <t>), Diameter 20-25 cm, Tinggi Diatas 5 meter, Polybag 200L</t>
    </r>
  </si>
  <si>
    <r>
      <t>4.1.2.7.3 Penanaman  1 Buah Pohon Besar Flamboyan (</t>
    </r>
    <r>
      <rPr>
        <i/>
        <sz val="11"/>
        <color rgb="FF000000"/>
        <rFont val="Calibri"/>
        <family val="2"/>
        <scheme val="minor"/>
      </rPr>
      <t>Delonix Regia</t>
    </r>
    <r>
      <rPr>
        <sz val="11"/>
        <color rgb="FF000000"/>
        <rFont val="Calibri"/>
        <family val="2"/>
        <scheme val="minor"/>
      </rPr>
      <t>), Diameter 20-25 cm, Tinggi Diatas 5 meter, Polybag 200 L</t>
    </r>
  </si>
  <si>
    <r>
      <t>4.1.2.7.4 Penanaman 1 Buah Pohon Besar Kamboja Fosil (</t>
    </r>
    <r>
      <rPr>
        <i/>
        <sz val="11"/>
        <color rgb="FF000000"/>
        <rFont val="Calibri"/>
        <family val="2"/>
        <scheme val="minor"/>
      </rPr>
      <t>Plumeria Sp.</t>
    </r>
    <r>
      <rPr>
        <sz val="11"/>
        <color rgb="FF000000"/>
        <rFont val="Calibri"/>
        <family val="2"/>
        <scheme val="minor"/>
      </rPr>
      <t>), Diameter 20-25 cm, Tinggi Diatas 5 meter, Polybag 200 L</t>
    </r>
  </si>
  <si>
    <r>
      <t>4.1.2.7.5 Penanaman  1  Buah  Pohon  Besar  Pulai  (</t>
    </r>
    <r>
      <rPr>
        <i/>
        <sz val="11"/>
        <color rgb="FF000000"/>
        <rFont val="Calibri"/>
        <family val="2"/>
        <scheme val="minor"/>
      </rPr>
      <t>Alstonia  Scholaris</t>
    </r>
    <r>
      <rPr>
        <sz val="11"/>
        <color rgb="FF000000"/>
        <rFont val="Calibri"/>
        <family val="2"/>
        <scheme val="minor"/>
      </rPr>
      <t>), Diameter 20-25 cm, Tinggi Diatas 5 meter, Polybag 200L</t>
    </r>
  </si>
  <si>
    <r>
      <t>4.1.2.7.6 Penanaman  1  Buah  Pohon  Besar  Sosis  (</t>
    </r>
    <r>
      <rPr>
        <i/>
        <sz val="11"/>
        <color rgb="FF000000"/>
        <rFont val="Calibri"/>
        <family val="2"/>
        <scheme val="minor"/>
      </rPr>
      <t>Kigelia  Africana</t>
    </r>
    <r>
      <rPr>
        <sz val="11"/>
        <color rgb="FF000000"/>
        <rFont val="Calibri"/>
        <family val="2"/>
        <scheme val="minor"/>
      </rPr>
      <t>), Diameter 20-25 cm, Tinggi Diatas 5 meter, Polybag 200L</t>
    </r>
  </si>
  <si>
    <r>
      <t>4.1.2.7.7 Penanaman 1 Buah Pohon Besar Trembesi (</t>
    </r>
    <r>
      <rPr>
        <i/>
        <sz val="11"/>
        <color rgb="FF000000"/>
        <rFont val="Calibri"/>
        <family val="2"/>
        <scheme val="minor"/>
      </rPr>
      <t>Samanea Saman</t>
    </r>
    <r>
      <rPr>
        <sz val="11"/>
        <color rgb="FF000000"/>
        <rFont val="Calibri"/>
        <family val="2"/>
        <scheme val="minor"/>
      </rPr>
      <t>), Diameter 20-25 cm, Tinggi Diatas 5 meter, Polybag 200L</t>
    </r>
  </si>
  <si>
    <r>
      <t>4.1.2.8.2 Penanaman 1 Buah Pohon Besar Beringin (</t>
    </r>
    <r>
      <rPr>
        <i/>
        <sz val="11"/>
        <color rgb="FF000000"/>
        <rFont val="Calibri"/>
        <family val="2"/>
        <scheme val="minor"/>
      </rPr>
      <t>Ficus Benjamina</t>
    </r>
    <r>
      <rPr>
        <sz val="11"/>
        <color rgb="FF000000"/>
        <rFont val="Calibri"/>
        <family val="2"/>
        <scheme val="minor"/>
      </rPr>
      <t>) Diameter 25-30 cm, Tinggi Diatas 6 meter, Polybag 250 L</t>
    </r>
  </si>
  <si>
    <r>
      <t>4.1.2.8.3 Penanaman 1 Buah Pohon Besar Bodhi (</t>
    </r>
    <r>
      <rPr>
        <i/>
        <sz val="11"/>
        <color rgb="FF000000"/>
        <rFont val="Calibri"/>
        <family val="2"/>
        <scheme val="minor"/>
      </rPr>
      <t>Ficus Religiosa</t>
    </r>
    <r>
      <rPr>
        <sz val="11"/>
        <color rgb="FF000000"/>
        <rFont val="Calibri"/>
        <family val="2"/>
        <scheme val="minor"/>
      </rPr>
      <t>) Diameter 25-30 cm, Tinggi Diatas 6 meter, Polybag 250 L</t>
    </r>
  </si>
  <si>
    <r>
      <t>4.1.2.8.4 Penanaman 1 Buah Pohon Besar Kamboja Fosil (</t>
    </r>
    <r>
      <rPr>
        <i/>
        <sz val="11"/>
        <color rgb="FF000000"/>
        <rFont val="Calibri"/>
        <family val="2"/>
        <scheme val="minor"/>
      </rPr>
      <t>Plumeria Sp.</t>
    </r>
    <r>
      <rPr>
        <sz val="11"/>
        <color rgb="FF000000"/>
        <rFont val="Calibri"/>
        <family val="2"/>
        <scheme val="minor"/>
      </rPr>
      <t>) Diameter 25-30 cm, Tinggi Diatas 6 meter, Polybag 250 L</t>
    </r>
  </si>
  <si>
    <r>
      <t>4.1.2.8.5 Penanaman  1  Buah  Pohon  Besar  Pulai   (</t>
    </r>
    <r>
      <rPr>
        <i/>
        <sz val="11"/>
        <color rgb="FF000000"/>
        <rFont val="Calibri"/>
        <family val="2"/>
        <scheme val="minor"/>
      </rPr>
      <t>Alstonia  Scholaris</t>
    </r>
    <r>
      <rPr>
        <sz val="11"/>
        <color rgb="FF000000"/>
        <rFont val="Calibri"/>
        <family val="2"/>
        <scheme val="minor"/>
      </rPr>
      <t>) Diameter 25-30 cm, Tinggi Diatas 6 meter, Polybag 250 L</t>
    </r>
  </si>
  <si>
    <r>
      <t>4.1.2.8.6 Penanaman  1  Buah  Pohon  Besar  Sosis  (</t>
    </r>
    <r>
      <rPr>
        <i/>
        <sz val="11"/>
        <color rgb="FF000000"/>
        <rFont val="Calibri"/>
        <family val="2"/>
        <scheme val="minor"/>
      </rPr>
      <t>Kigelia  Africana</t>
    </r>
    <r>
      <rPr>
        <sz val="11"/>
        <color rgb="FF000000"/>
        <rFont val="Calibri"/>
        <family val="2"/>
        <scheme val="minor"/>
      </rPr>
      <t>) Diameter 25-30 cm, Tinggi Diatas 6 meter, Polybag 250 L</t>
    </r>
  </si>
  <si>
    <r>
      <t>4.1.2.8.7 Penanaman 1 Buah Pohon Besar Trembesi (</t>
    </r>
    <r>
      <rPr>
        <i/>
        <sz val="11"/>
        <color rgb="FF000000"/>
        <rFont val="Calibri"/>
        <family val="2"/>
        <scheme val="minor"/>
      </rPr>
      <t>Samanea Saman</t>
    </r>
    <r>
      <rPr>
        <sz val="11"/>
        <color rgb="FF000000"/>
        <rFont val="Calibri"/>
        <family val="2"/>
        <scheme val="minor"/>
      </rPr>
      <t>) Diameter 25-30 cm, Tinggi Diatas 6 meter, Polybag 250 L</t>
    </r>
  </si>
  <si>
    <t>4.1.4.1.1 Penanaman  1  m2   Semak,  Alamanda/Bunga  Terompet  Emas (Allamanda Cathartica), 25 Buah/m2, Polybag 5 L</t>
  </si>
  <si>
    <r>
      <t>4.1.4.1.2 Penanaman 1 m2 Semak, Bakung Lele (</t>
    </r>
    <r>
      <rPr>
        <i/>
        <sz val="11"/>
        <color rgb="FF000000"/>
        <rFont val="Calibri"/>
        <family val="2"/>
        <scheme val="minor"/>
      </rPr>
      <t>Hymenocalis Speciosa</t>
    </r>
    <r>
      <rPr>
        <sz val="11"/>
        <color rgb="FF000000"/>
        <rFont val="Calibri"/>
        <family val="2"/>
        <scheme val="minor"/>
      </rPr>
      <t>), 36 Buah/m2, Polybag  5 L</t>
    </r>
  </si>
  <si>
    <r>
      <t>4.1.4.1.3 Penanaman 1 m2 Semak, Bunga Iris (</t>
    </r>
    <r>
      <rPr>
        <i/>
        <sz val="11"/>
        <color rgb="FF000000"/>
        <rFont val="Calibri"/>
        <family val="2"/>
        <scheme val="minor"/>
      </rPr>
      <t>Neomarica Longifolia</t>
    </r>
    <r>
      <rPr>
        <sz val="11"/>
        <color rgb="FF000000"/>
        <rFont val="Calibri"/>
        <family val="2"/>
        <scheme val="minor"/>
      </rPr>
      <t>), 36 Buah/m2, Polybag 5 L</t>
    </r>
  </si>
  <si>
    <r>
      <t>4.1.4.1.4 Penanaman 1 m2 Semak, Calathea (</t>
    </r>
    <r>
      <rPr>
        <i/>
        <sz val="11"/>
        <color rgb="FF000000"/>
        <rFont val="Calibri"/>
        <family val="2"/>
        <scheme val="minor"/>
      </rPr>
      <t>Calathea Sp.</t>
    </r>
    <r>
      <rPr>
        <sz val="11"/>
        <color rgb="FF000000"/>
        <rFont val="Calibri"/>
        <family val="2"/>
        <scheme val="minor"/>
      </rPr>
      <t>), 16 Buah/m2, Polybag 5 L</t>
    </r>
  </si>
  <si>
    <r>
      <t>4.1.4.1.5 Penanaman 1 m2 Semak, Cendrawasih (</t>
    </r>
    <r>
      <rPr>
        <i/>
        <sz val="11"/>
        <color rgb="FF000000"/>
        <rFont val="Calibri"/>
        <family val="2"/>
        <scheme val="minor"/>
      </rPr>
      <t>Phyllanthus Myrtifolius</t>
    </r>
    <r>
      <rPr>
        <sz val="11"/>
        <color rgb="FF000000"/>
        <rFont val="Calibri"/>
        <family val="2"/>
        <scheme val="minor"/>
      </rPr>
      <t>), 36 Buah/m2, Polybag 5 L</t>
    </r>
  </si>
  <si>
    <r>
      <t>4.1.4.1.6 Penanaman 1 m2  Semak, Hujan Mas (</t>
    </r>
    <r>
      <rPr>
        <i/>
        <sz val="11"/>
        <color rgb="FF000000"/>
        <rFont val="Calibri"/>
        <family val="2"/>
        <scheme val="minor"/>
      </rPr>
      <t>Galphimia Glauca</t>
    </r>
    <r>
      <rPr>
        <sz val="11"/>
        <color rgb="FF000000"/>
        <rFont val="Calibri"/>
        <family val="2"/>
        <scheme val="minor"/>
      </rPr>
      <t>), 25 Buah/m2, Polybag 5 L</t>
    </r>
  </si>
  <si>
    <r>
      <t>4.1.4.1.7 Penanaman 1 m2 Semak, Kacapiring Wangi/Gardenia (</t>
    </r>
    <r>
      <rPr>
        <i/>
        <sz val="11"/>
        <color rgb="FF000000"/>
        <rFont val="Calibri"/>
        <family val="2"/>
        <scheme val="minor"/>
      </rPr>
      <t>Gardenia Jasminoides), 25 Buah/m2, Polybag 5 L</t>
    </r>
  </si>
  <si>
    <r>
      <t>4.1.4.1.8 Penanaman 1 m2  Semak, Kemuning (</t>
    </r>
    <r>
      <rPr>
        <i/>
        <sz val="11"/>
        <color rgb="FF000000"/>
        <rFont val="Calibri"/>
        <family val="2"/>
        <scheme val="minor"/>
      </rPr>
      <t>Murraya Paniculata</t>
    </r>
    <r>
      <rPr>
        <sz val="11"/>
        <color rgb="FF000000"/>
        <rFont val="Calibri"/>
        <family val="2"/>
        <scheme val="minor"/>
      </rPr>
      <t>), 25 Buah/m2, Polybag 5 L</t>
    </r>
  </si>
  <si>
    <r>
      <t>4.1.4.1.10  Penanaman   1   m2     Semak,   Pandan   Kuning   (</t>
    </r>
    <r>
      <rPr>
        <i/>
        <sz val="11"/>
        <color rgb="FF000000"/>
        <rFont val="Calibri"/>
        <family val="2"/>
        <scheme val="minor"/>
      </rPr>
      <t>Pandanus Pygmaeus), 25 Buah/m2, Polybag 5 L</t>
    </r>
  </si>
  <si>
    <t>4.1.4.1.12  Penanaman    1    m2      Semak,    Sansevieria/Lidah    Mertua (Sansevieria Trifasciata), 25 Buah/m2, Polybag 5 L</t>
  </si>
  <si>
    <t>4.1.4.1.13  Penanaman       1       m2          Semak,       Tabernae/Mondokaki (Tabernaemontana Divaricata ), 25 Buah/m2, Polybag 5 L</t>
  </si>
  <si>
    <r>
      <t>4.1.4.1.14  Penanaman 1 m2 Semak, Walisongo/Umbrella Tree (</t>
    </r>
    <r>
      <rPr>
        <i/>
        <sz val="11"/>
        <color rgb="FF000000"/>
        <rFont val="Calibri"/>
        <family val="2"/>
        <scheme val="minor"/>
      </rPr>
      <t>Schefflera Arboricola), 25 Buah/m2, Polybag 5 L</t>
    </r>
  </si>
  <si>
    <r>
      <t>4.1.4.2.1 Penanaman 1 m2 Semak, Agave/Lidah Naga (</t>
    </r>
    <r>
      <rPr>
        <i/>
        <sz val="11"/>
        <color rgb="FF000000"/>
        <rFont val="Calibri"/>
        <family val="2"/>
        <scheme val="minor"/>
      </rPr>
      <t>Agave Americana</t>
    </r>
    <r>
      <rPr>
        <sz val="11"/>
        <color rgb="FF000000"/>
        <rFont val="Calibri"/>
        <family val="2"/>
        <scheme val="minor"/>
      </rPr>
      <t>), 5 Buah/m2, Polybag 11 L</t>
    </r>
  </si>
  <si>
    <t>4.1.4.2.2 Penanaman  1  m2   Semak,  Alamanda/Bunga  Terompet  Emas (Allamanda Cathartica), 9 Buah/m2, Polybag 11 L</t>
  </si>
  <si>
    <r>
      <t>4.1.4.2.3 Penanaman 1 m2 Semak, Bakung Jawa (</t>
    </r>
    <r>
      <rPr>
        <i/>
        <sz val="11"/>
        <color rgb="FF000000"/>
        <rFont val="Calibri"/>
        <family val="2"/>
        <scheme val="minor"/>
      </rPr>
      <t>Crinum Asiaticum</t>
    </r>
    <r>
      <rPr>
        <sz val="11"/>
        <color rgb="FF000000"/>
        <rFont val="Calibri"/>
        <family val="2"/>
        <scheme val="minor"/>
      </rPr>
      <t>), 16 Buah/m2, Polybag 11 L</t>
    </r>
  </si>
  <si>
    <r>
      <t>4.1.4.2.4 Penanaman 1 m2 Semak, Bakung Lele (</t>
    </r>
    <r>
      <rPr>
        <i/>
        <sz val="11"/>
        <color rgb="FF000000"/>
        <rFont val="Calibri"/>
        <family val="2"/>
        <scheme val="minor"/>
      </rPr>
      <t>Hymenocalis Speciosa</t>
    </r>
    <r>
      <rPr>
        <sz val="11"/>
        <color rgb="FF000000"/>
        <rFont val="Calibri"/>
        <family val="2"/>
        <scheme val="minor"/>
      </rPr>
      <t>), 16 Buah/m2, Polybag 11 L</t>
    </r>
  </si>
  <si>
    <r>
      <t>4.1.4.2.5 Penanaman 1 m2 Semak, Bromelia (</t>
    </r>
    <r>
      <rPr>
        <i/>
        <sz val="11"/>
        <color rgb="FF000000"/>
        <rFont val="Calibri"/>
        <family val="2"/>
        <scheme val="minor"/>
      </rPr>
      <t>Bromelia Sp.</t>
    </r>
    <r>
      <rPr>
        <sz val="11"/>
        <color rgb="FF000000"/>
        <rFont val="Calibri"/>
        <family val="2"/>
        <scheme val="minor"/>
      </rPr>
      <t>), 5 Buah/m2, Polybag 11 L</t>
    </r>
  </si>
  <si>
    <r>
      <t>4.1.4.2.6 Penanaman  1  m2   Semak,  Bunga  Terompet  Kuning  (</t>
    </r>
    <r>
      <rPr>
        <i/>
        <sz val="11"/>
        <color rgb="FF000000"/>
        <rFont val="Calibri"/>
        <family val="2"/>
        <scheme val="minor"/>
      </rPr>
      <t>Tecoma Stans), 9 Buah/m2, Polybag 11 L</t>
    </r>
  </si>
  <si>
    <r>
      <t>4.1.4.2.7 Penanaman  1  m2   Semak,  Costus    (</t>
    </r>
    <r>
      <rPr>
        <i/>
        <sz val="11"/>
        <color rgb="FF000000"/>
        <rFont val="Calibri"/>
        <family val="2"/>
        <scheme val="minor"/>
      </rPr>
      <t>Costus  Woodsonii</t>
    </r>
    <r>
      <rPr>
        <sz val="11"/>
        <color rgb="FF000000"/>
        <rFont val="Calibri"/>
        <family val="2"/>
        <scheme val="minor"/>
      </rPr>
      <t>),  16 Buah/m2, Polybag 11 L</t>
    </r>
  </si>
  <si>
    <r>
      <t xml:space="preserve">4.1.4.2.8 Penanaman 1 m2  Semak, Dracaena </t>
    </r>
    <r>
      <rPr>
        <b/>
        <sz val="11"/>
        <color rgb="FF000000"/>
        <rFont val="Calibri"/>
        <family val="2"/>
        <scheme val="minor"/>
      </rPr>
      <t>‘</t>
    </r>
    <r>
      <rPr>
        <sz val="11"/>
        <color rgb="FF000000"/>
        <rFont val="Calibri"/>
        <family val="2"/>
        <scheme val="minor"/>
      </rPr>
      <t xml:space="preserve">Song Of </t>
    </r>
    <r>
      <rPr>
        <b/>
        <sz val="11"/>
        <color rgb="FF000000"/>
        <rFont val="Calibri"/>
        <family val="2"/>
        <scheme val="minor"/>
      </rPr>
      <t xml:space="preserve">India’ </t>
    </r>
    <r>
      <rPr>
        <sz val="11"/>
        <color rgb="FF000000"/>
        <rFont val="Calibri"/>
        <family val="2"/>
        <scheme val="minor"/>
      </rPr>
      <t>(</t>
    </r>
    <r>
      <rPr>
        <i/>
        <sz val="11"/>
        <color rgb="FF000000"/>
        <rFont val="Calibri"/>
        <family val="2"/>
        <scheme val="minor"/>
      </rPr>
      <t>Dracaena Reflexa "Song Of India"), 9 Buah/m2, Polybag 11 L</t>
    </r>
  </si>
  <si>
    <r>
      <t>4.1.4.2.9 Penanaman 1 m2 Semak, Dracaena 'Song Of Jamaica' (</t>
    </r>
    <r>
      <rPr>
        <i/>
        <sz val="11"/>
        <color rgb="FF000000"/>
        <rFont val="Calibri"/>
        <family val="2"/>
        <scheme val="minor"/>
      </rPr>
      <t>Dracaena Reflexa "Song Of Jamaica"), 9 Buah/m2, Polybag 11 L</t>
    </r>
  </si>
  <si>
    <r>
      <t>4.1.4.2.10  Penanaman 1 m2 Semak, Helliconia  (</t>
    </r>
    <r>
      <rPr>
        <i/>
        <sz val="11"/>
        <color rgb="FF000000"/>
        <rFont val="Calibri"/>
        <family val="2"/>
        <scheme val="minor"/>
      </rPr>
      <t>Heliconia Psittacorum</t>
    </r>
    <r>
      <rPr>
        <sz val="11"/>
        <color rgb="FF000000"/>
        <rFont val="Calibri"/>
        <family val="2"/>
        <scheme val="minor"/>
      </rPr>
      <t>), 16 Buah/m2, Polybag 11 L</t>
    </r>
  </si>
  <si>
    <r>
      <t>4.1.4.2.11  Penanaman   1   m2    Semak,   Honje/Kecombrang   (</t>
    </r>
    <r>
      <rPr>
        <i/>
        <sz val="11"/>
        <color rgb="FF000000"/>
        <rFont val="Calibri"/>
        <family val="2"/>
        <scheme val="minor"/>
      </rPr>
      <t>Etlingera Elatior), 16 Buah/m2, Polybag 11 L</t>
    </r>
  </si>
  <si>
    <r>
      <t>4.1.4.2.12  Penanaman 1 m2  Semak, Hujan Mas (</t>
    </r>
    <r>
      <rPr>
        <i/>
        <sz val="11"/>
        <color rgb="FF000000"/>
        <rFont val="Calibri"/>
        <family val="2"/>
        <scheme val="minor"/>
      </rPr>
      <t>Galphimia Glauca</t>
    </r>
    <r>
      <rPr>
        <sz val="11"/>
        <color rgb="FF000000"/>
        <rFont val="Calibri"/>
        <family val="2"/>
        <scheme val="minor"/>
      </rPr>
      <t>), 16 Buah/m2, Polybag 11 L</t>
    </r>
  </si>
  <si>
    <r>
      <t>4.1.4.2.13  Penanaman 1 m2 Semak, Kaca Piring (</t>
    </r>
    <r>
      <rPr>
        <i/>
        <sz val="11"/>
        <color rgb="FF000000"/>
        <rFont val="Calibri"/>
        <family val="2"/>
        <scheme val="minor"/>
      </rPr>
      <t>Gardenia Augusta</t>
    </r>
    <r>
      <rPr>
        <sz val="11"/>
        <color rgb="FF000000"/>
        <rFont val="Calibri"/>
        <family val="2"/>
        <scheme val="minor"/>
      </rPr>
      <t>), 16 Buah/m2, Polybag 11 L</t>
    </r>
  </si>
  <si>
    <t>4.1.4.2.14  Penanaman   1   m2     Semak,   Kacapiring   Wangi/Gardenia (Gardenia Jasminoides), 16 Buah/m2, Polybag 11 L</t>
  </si>
  <si>
    <r>
      <t>4.1.4.2.15  Penanaman 1 m2  Semak, Kana (</t>
    </r>
    <r>
      <rPr>
        <i/>
        <sz val="11"/>
        <color rgb="FF000000"/>
        <rFont val="Calibri"/>
        <family val="2"/>
        <scheme val="minor"/>
      </rPr>
      <t>Canna Indica</t>
    </r>
    <r>
      <rPr>
        <sz val="11"/>
        <color rgb="FF000000"/>
        <rFont val="Calibri"/>
        <family val="2"/>
        <scheme val="minor"/>
      </rPr>
      <t>), 16 Buah/m2, Polybag 11 L</t>
    </r>
  </si>
  <si>
    <r>
      <t>4.1.4.2.16  Penanaman 1 m2 Semak, Lili Brazil (</t>
    </r>
    <r>
      <rPr>
        <i/>
        <sz val="11"/>
        <color rgb="FF000000"/>
        <rFont val="Calibri"/>
        <family val="2"/>
        <scheme val="minor"/>
      </rPr>
      <t>Dianella Tasmanica</t>
    </r>
    <r>
      <rPr>
        <sz val="11"/>
        <color rgb="FF000000"/>
        <rFont val="Calibri"/>
        <family val="2"/>
        <scheme val="minor"/>
      </rPr>
      <t>), 16 Buah/m2, Polybag 11 L</t>
    </r>
  </si>
  <si>
    <r>
      <t>4.1.4.2.17  Penanaman 1 m2 Semak, Melati Putih (</t>
    </r>
    <r>
      <rPr>
        <i/>
        <sz val="11"/>
        <color rgb="FF000000"/>
        <rFont val="Calibri"/>
        <family val="2"/>
        <scheme val="minor"/>
      </rPr>
      <t>Jasminum Sambac</t>
    </r>
    <r>
      <rPr>
        <sz val="11"/>
        <color rgb="FF000000"/>
        <rFont val="Calibri"/>
        <family val="2"/>
        <scheme val="minor"/>
      </rPr>
      <t>), 16 Buah/m2, Polybag 11 L</t>
    </r>
  </si>
  <si>
    <r>
      <t>4.1.4.2.18  Penanaman 1 m2 Semak, Nusa Indah (</t>
    </r>
    <r>
      <rPr>
        <i/>
        <sz val="11"/>
        <color rgb="FF000000"/>
        <rFont val="Calibri"/>
        <family val="2"/>
        <scheme val="minor"/>
      </rPr>
      <t>Mussaenda</t>
    </r>
    <r>
      <rPr>
        <sz val="11"/>
        <color rgb="FF000000"/>
        <rFont val="Calibri"/>
        <family val="2"/>
        <scheme val="minor"/>
      </rPr>
      <t>), 9 Buah/m2, Polybag 11 L</t>
    </r>
  </si>
  <si>
    <r>
      <t>4.1.4.2.19  Penanaman 1 m2  Semak, Oleander/Bunga Mentega (</t>
    </r>
    <r>
      <rPr>
        <i/>
        <sz val="11"/>
        <color rgb="FF000000"/>
        <rFont val="Calibri"/>
        <family val="2"/>
        <scheme val="minor"/>
      </rPr>
      <t>Nerium Oleander), 16 Buah/m2, Polybag 11 L</t>
    </r>
  </si>
  <si>
    <r>
      <t>4.1.4.2.20  Penanaman 1 m2  Semak, Pretty Pink (</t>
    </r>
    <r>
      <rPr>
        <i/>
        <sz val="11"/>
        <color rgb="FF000000"/>
        <rFont val="Calibri"/>
        <family val="2"/>
        <scheme val="minor"/>
      </rPr>
      <t>Breynia Disticha</t>
    </r>
    <r>
      <rPr>
        <sz val="11"/>
        <color rgb="FF000000"/>
        <rFont val="Calibri"/>
        <family val="2"/>
        <scheme val="minor"/>
      </rPr>
      <t>), 16 Buah/m2, Polybag 11 L</t>
    </r>
  </si>
  <si>
    <r>
      <t>4.1.4.2.21  Penanaman 1 m2  Semak, Puring (</t>
    </r>
    <r>
      <rPr>
        <i/>
        <sz val="11"/>
        <color rgb="FF000000"/>
        <rFont val="Calibri"/>
        <family val="2"/>
        <scheme val="minor"/>
      </rPr>
      <t>Codiaeum Variegatum</t>
    </r>
    <r>
      <rPr>
        <sz val="11"/>
        <color rgb="FF000000"/>
        <rFont val="Calibri"/>
        <family val="2"/>
        <scheme val="minor"/>
      </rPr>
      <t>), 16 Buah/m2, Polybag 11 L</t>
    </r>
  </si>
  <si>
    <r>
      <t>4.1.4.2.22  Penanaman  1  m2   Semak,  Ruelia  /  Kencana  Ungu  (</t>
    </r>
    <r>
      <rPr>
        <i/>
        <sz val="11"/>
        <color rgb="FF000000"/>
        <rFont val="Calibri"/>
        <family val="2"/>
        <scheme val="minor"/>
      </rPr>
      <t>Ruellia Simplex), 16 Buah/m2, Polybag 11 L</t>
    </r>
  </si>
  <si>
    <t>4.1.4.2.23  Penanaman    1    m2      Semak,    Sansevieria/Lidah    Mertua (Sansevieria Trifasciata), 16 Buah/m2, Polybag 11 L</t>
  </si>
  <si>
    <r>
      <t>4.1.4.2.24  Penanaman 1 m2 Semak, Soka  (</t>
    </r>
    <r>
      <rPr>
        <i/>
        <sz val="11"/>
        <color rgb="FF000000"/>
        <rFont val="Calibri"/>
        <family val="2"/>
        <scheme val="minor"/>
      </rPr>
      <t>Ixora Coccinea</t>
    </r>
    <r>
      <rPr>
        <sz val="11"/>
        <color rgb="FF000000"/>
        <rFont val="Calibri"/>
        <family val="2"/>
        <scheme val="minor"/>
      </rPr>
      <t>), 16 Buah/m2, Polybag 11 L</t>
    </r>
  </si>
  <si>
    <r>
      <t>4.1.4.2.25  Penanaman 1 m2 Semak, Tabernae (</t>
    </r>
    <r>
      <rPr>
        <i/>
        <sz val="11"/>
        <color rgb="FF000000"/>
        <rFont val="Calibri"/>
        <family val="2"/>
        <scheme val="minor"/>
      </rPr>
      <t>Tabernaemontana Sp.</t>
    </r>
    <r>
      <rPr>
        <sz val="11"/>
        <color rgb="FF000000"/>
        <rFont val="Calibri"/>
        <family val="2"/>
        <scheme val="minor"/>
      </rPr>
      <t>), 16 Buah/m2, Polybag 11 L</t>
    </r>
  </si>
  <si>
    <r>
      <t>4.1.4.2.26  Penanaman 1 m2 Semak, Walisongo/Umbrella Tree (</t>
    </r>
    <r>
      <rPr>
        <i/>
        <sz val="11"/>
        <color rgb="FF000000"/>
        <rFont val="Calibri"/>
        <family val="2"/>
        <scheme val="minor"/>
      </rPr>
      <t>Schefflera Arboricola), 16 Buah/m2, Polybag 11 L</t>
    </r>
  </si>
  <si>
    <r>
      <t>4.1.4.3.1 Penanaman 1 m2 Semak, Agave/Lidah Naga (</t>
    </r>
    <r>
      <rPr>
        <i/>
        <sz val="11"/>
        <color rgb="FF000000"/>
        <rFont val="Calibri"/>
        <family val="2"/>
        <scheme val="minor"/>
      </rPr>
      <t>Agave Americana</t>
    </r>
    <r>
      <rPr>
        <sz val="11"/>
        <color rgb="FF000000"/>
        <rFont val="Calibri"/>
        <family val="2"/>
        <scheme val="minor"/>
      </rPr>
      <t>), 3 Buah/ m2, Polybag 20 L</t>
    </r>
  </si>
  <si>
    <t>4.1.4.3.2 Penanaman  1  m2  Semak,  Alamanda/Bunga  Terompet  Emas (Allamanda Cathartica), 5 Buah/ m2, Polybag 20 L</t>
  </si>
  <si>
    <r>
      <t>4.1.4.3.3 Penanaman 1 m2 Semak, Bakung Jawa (</t>
    </r>
    <r>
      <rPr>
        <i/>
        <sz val="11"/>
        <color rgb="FF000000"/>
        <rFont val="Calibri"/>
        <family val="2"/>
        <scheme val="minor"/>
      </rPr>
      <t>Crinum Asiaticum</t>
    </r>
    <r>
      <rPr>
        <sz val="11"/>
        <color rgb="FF000000"/>
        <rFont val="Calibri"/>
        <family val="2"/>
        <scheme val="minor"/>
      </rPr>
      <t>), 12 Buah/ m2, Polybag 20 L</t>
    </r>
  </si>
  <si>
    <r>
      <t>4.1.4.3.4  Penanaman 1 m2 Semak, Bromelia (</t>
    </r>
    <r>
      <rPr>
        <i/>
        <sz val="11"/>
        <color rgb="FF000000"/>
        <rFont val="Calibri"/>
        <family val="2"/>
        <scheme val="minor"/>
      </rPr>
      <t>Bromelia Sp.</t>
    </r>
    <r>
      <rPr>
        <sz val="11"/>
        <color rgb="FF000000"/>
        <rFont val="Calibri"/>
        <family val="2"/>
        <scheme val="minor"/>
      </rPr>
      <t>), 3 Buah/ m2, Polybag 20 L</t>
    </r>
  </si>
  <si>
    <r>
      <t>4.1.4.3.5 Penanaman 1 m2 Semak, Bugenvil/Bunga Kertas (</t>
    </r>
    <r>
      <rPr>
        <i/>
        <sz val="11"/>
        <color rgb="FF000000"/>
        <rFont val="Calibri"/>
        <family val="2"/>
        <scheme val="minor"/>
      </rPr>
      <t>Bougenvillea Sp), 12 Buah/ m2, Polybag 20 L</t>
    </r>
  </si>
  <si>
    <r>
      <t>4.1.4.3.6 Penanaman  1  m2  Semak,  Bunga  Terompet  Kuning  (</t>
    </r>
    <r>
      <rPr>
        <i/>
        <sz val="11"/>
        <color rgb="FF000000"/>
        <rFont val="Calibri"/>
        <family val="2"/>
        <scheme val="minor"/>
      </rPr>
      <t>Tecoma Stans), 12 Buah/ m2, Polybag 20 L</t>
    </r>
  </si>
  <si>
    <r>
      <t>4.1.4.3.7 Penanaman 1 m2 Semak, Canna (</t>
    </r>
    <r>
      <rPr>
        <i/>
        <sz val="11"/>
        <color rgb="FF000000"/>
        <rFont val="Calibri"/>
        <family val="2"/>
        <scheme val="minor"/>
      </rPr>
      <t>Canna Indica</t>
    </r>
    <r>
      <rPr>
        <sz val="11"/>
        <color rgb="FF000000"/>
        <rFont val="Calibri"/>
        <family val="2"/>
        <scheme val="minor"/>
      </rPr>
      <t>), 12 Buah/ m2, Polybag 20 L</t>
    </r>
  </si>
  <si>
    <r>
      <t xml:space="preserve">4.1.4.3.8 Penanaman 1 m2 Semak, Dracaena </t>
    </r>
    <r>
      <rPr>
        <b/>
        <sz val="11"/>
        <color rgb="FF000000"/>
        <rFont val="Calibri"/>
        <family val="2"/>
        <scheme val="minor"/>
      </rPr>
      <t>‘</t>
    </r>
    <r>
      <rPr>
        <sz val="11"/>
        <color rgb="FF000000"/>
        <rFont val="Calibri"/>
        <family val="2"/>
        <scheme val="minor"/>
      </rPr>
      <t xml:space="preserve">Song Of </t>
    </r>
    <r>
      <rPr>
        <b/>
        <sz val="11"/>
        <color rgb="FF000000"/>
        <rFont val="Calibri"/>
        <family val="2"/>
        <scheme val="minor"/>
      </rPr>
      <t xml:space="preserve">India’ </t>
    </r>
    <r>
      <rPr>
        <sz val="11"/>
        <color rgb="FF000000"/>
        <rFont val="Calibri"/>
        <family val="2"/>
        <scheme val="minor"/>
      </rPr>
      <t>(</t>
    </r>
    <r>
      <rPr>
        <i/>
        <sz val="11"/>
        <color rgb="FF000000"/>
        <rFont val="Calibri"/>
        <family val="2"/>
        <scheme val="minor"/>
      </rPr>
      <t>Dracaena Reflexa "Song Of India"), 12 Buah/ m2, Polybag 20 L</t>
    </r>
  </si>
  <si>
    <r>
      <t>4.1.4.3.9 Penanaman 1 m2 Semak, Dracaena 'Song Of Jamaica' (</t>
    </r>
    <r>
      <rPr>
        <i/>
        <sz val="11"/>
        <color rgb="FF000000"/>
        <rFont val="Calibri"/>
        <family val="2"/>
        <scheme val="minor"/>
      </rPr>
      <t>Dracaena Reflexa "Song Of Jamaica"), 12 Buah/ m2, Polybag 20 L</t>
    </r>
  </si>
  <si>
    <r>
      <t>4.1.4.3.10 Penanaman 1 m2 Semak, Helliconia  (</t>
    </r>
    <r>
      <rPr>
        <i/>
        <sz val="11"/>
        <color rgb="FF000000"/>
        <rFont val="Calibri"/>
        <family val="2"/>
        <scheme val="minor"/>
      </rPr>
      <t>Heliconia Psittacorum</t>
    </r>
    <r>
      <rPr>
        <sz val="11"/>
        <color rgb="FF000000"/>
        <rFont val="Calibri"/>
        <family val="2"/>
        <scheme val="minor"/>
      </rPr>
      <t>), 12 Buah/ m2, Polybag 20 L</t>
    </r>
  </si>
  <si>
    <r>
      <t>4.1.4.3.11 Penanaman   1   m2    Semak,   Honje/Kecombrang   (</t>
    </r>
    <r>
      <rPr>
        <i/>
        <sz val="11"/>
        <color rgb="FF000000"/>
        <rFont val="Calibri"/>
        <family val="2"/>
        <scheme val="minor"/>
      </rPr>
      <t>Etlingera Elatior), 12 Buah/ m2, Polybag 20 L</t>
    </r>
  </si>
  <si>
    <r>
      <t>4.1.4.3.12 Penanaman 1 m2 Semak, Hujan Mas (</t>
    </r>
    <r>
      <rPr>
        <i/>
        <sz val="11"/>
        <color rgb="FF000000"/>
        <rFont val="Calibri"/>
        <family val="2"/>
        <scheme val="minor"/>
      </rPr>
      <t>Galphimia Glauca</t>
    </r>
    <r>
      <rPr>
        <sz val="11"/>
        <color rgb="FF000000"/>
        <rFont val="Calibri"/>
        <family val="2"/>
        <scheme val="minor"/>
      </rPr>
      <t>), 12 Buah/ m2, Polybag 20 L</t>
    </r>
  </si>
  <si>
    <r>
      <t>4.1.4.3.13 Penanaman 1 m2 Semak, Kacapiring Wangi/Gardenia (</t>
    </r>
    <r>
      <rPr>
        <i/>
        <sz val="11"/>
        <color rgb="FF000000"/>
        <rFont val="Calibri"/>
        <family val="2"/>
        <scheme val="minor"/>
      </rPr>
      <t>Gardenia Jasminoides), 12 Buah/ m2, Polybag 20 L</t>
    </r>
  </si>
  <si>
    <r>
      <t>4.1.4.3.15 Penanaman 1 m2  Semak, Oleander/Bunga Mentega (</t>
    </r>
    <r>
      <rPr>
        <i/>
        <sz val="11"/>
        <color rgb="FF000000"/>
        <rFont val="Calibri"/>
        <family val="2"/>
        <scheme val="minor"/>
      </rPr>
      <t>Nerium Oleander), 12 Buah/ m2, Polybag 20 L</t>
    </r>
  </si>
  <si>
    <r>
      <t>4.1.4.3.16 Penanaman   1   m2    Semak,   Penda   Emas   (</t>
    </r>
    <r>
      <rPr>
        <i/>
        <sz val="11"/>
        <color rgb="FF000000"/>
        <rFont val="Calibri"/>
        <family val="2"/>
        <scheme val="minor"/>
      </rPr>
      <t>Xanthostemon Chrysanthus), 12 Buah/ m2, Polybag 20 L</t>
    </r>
  </si>
  <si>
    <r>
      <t>4.1.4.3.17 Penanaman 1 m2 Semak, Puring (</t>
    </r>
    <r>
      <rPr>
        <i/>
        <sz val="11"/>
        <color rgb="FF000000"/>
        <rFont val="Calibri"/>
        <family val="2"/>
        <scheme val="minor"/>
      </rPr>
      <t>Codiaeum Variegatum</t>
    </r>
    <r>
      <rPr>
        <sz val="11"/>
        <color rgb="FF000000"/>
        <rFont val="Calibri"/>
        <family val="2"/>
        <scheme val="minor"/>
      </rPr>
      <t>), 12 Buah/ m2, Polybag 20 L</t>
    </r>
  </si>
  <si>
    <r>
      <t>4.1.4.3.18 Penanaman 1 m2 Semak, Tabernac (</t>
    </r>
    <r>
      <rPr>
        <i/>
        <sz val="11"/>
        <color rgb="FF000000"/>
        <rFont val="Calibri"/>
        <family val="2"/>
        <scheme val="minor"/>
      </rPr>
      <t xml:space="preserve">Tabernaemontana Sp. </t>
    </r>
    <r>
      <rPr>
        <sz val="11"/>
        <color rgb="FF000000"/>
        <rFont val="Calibri"/>
        <family val="2"/>
        <scheme val="minor"/>
      </rPr>
      <t>), 12 Buah/ m2, Polybag 20 L</t>
    </r>
  </si>
  <si>
    <r>
      <t>4.1.4.3.19 Penanaman 1 m2 Semak, Walisongo/Umbrella Tree (</t>
    </r>
    <r>
      <rPr>
        <i/>
        <sz val="11"/>
        <color rgb="FF000000"/>
        <rFont val="Calibri"/>
        <family val="2"/>
        <scheme val="minor"/>
      </rPr>
      <t>Schefflera Arboricola), 12 Buah/ m2, Polybag 20 L</t>
    </r>
  </si>
  <si>
    <r>
      <t>4.1.6.1  Penanaman   1   m2     Rumput,   Rumput   Gajah   (</t>
    </r>
    <r>
      <rPr>
        <i/>
        <sz val="11"/>
        <color rgb="FF000000"/>
        <rFont val="Calibri"/>
        <family val="2"/>
        <scheme val="minor"/>
      </rPr>
      <t>Pennisetum Purpureum)</t>
    </r>
  </si>
  <si>
    <r>
      <t>4.1.6.2  Penanaman  1  m2   Rumput,  Rumput  Gajah  Mini  (</t>
    </r>
    <r>
      <rPr>
        <i/>
        <sz val="11"/>
        <color rgb="FF000000"/>
        <rFont val="Calibri"/>
        <family val="2"/>
        <scheme val="minor"/>
      </rPr>
      <t>Axonopus Compressus)</t>
    </r>
  </si>
  <si>
    <t>Penanaman pada Lereng Tanah 1:2 (13°-26.5°), Metode Hydroseeding per m2 Permukaan Lereng (Menggunakan Jenis Biji Rumput)</t>
  </si>
  <si>
    <t>4.1.9.1   Pengolahan Tanah Bertekstur Liat 40.01%-60.00% atau Tanah Sandy per m3</t>
  </si>
  <si>
    <t>4.1.9.2   Pengolahan Tanah Bertekstur Liat 60.01%-100.00% atau Tanah Sandy Loam per m3</t>
  </si>
  <si>
    <t>4.1.9.3   Pengolahan Tanah Bertekstur Pasir 60.01%-100.00% atau Tanah Loam to Clay Loam per m3</t>
  </si>
  <si>
    <t>4.1.10.1 Penyiraman untuk 1 Hari (dengan Selang Plastik 3/4 inch) untuk 1 Buah Pohon/Palem</t>
  </si>
  <si>
    <t>4.1.10.2 Penyiraman 1 m2 Semak/Penutup Tanah untuk 1 Hari (dengan Selang Plastik 3/4 inch)</t>
  </si>
  <si>
    <t>4.1.10.3 Penyiraman 1 m2 Rumput untuk 1 Hari (dengan Selang Plastik 3/4 inch)</t>
  </si>
  <si>
    <t xml:space="preserve">4.1.10.4 Penyiraman 1 m2  Semak/Penutup Tanah untuk 1 Hari (dengan Sprinkler) </t>
  </si>
  <si>
    <t>4.1.11.1 Penyiraman untuk 1 Hari (dengan Selang Plastik 3/4 inch) untuk 1 Buah Pohon/Palem di Tanah Tidak Subur di Lahan Datar dan Tidak Memiliki Jaringan Air Yang Baik</t>
  </si>
  <si>
    <t>4.1.11.2 Penyiraman untuk 1 Hari (dengan Selang Plastik 3/4 inch) untuk 1 m2 Semak/Penutup Tanah di Tanah Tidak Subur di Lahan Datar dan Tidak Memiliki Jaringan Air Yang Baik</t>
  </si>
  <si>
    <t>4.1.11.3 Penyiraman untuk 1 Hari (dengan Selang Plastik 3/4 inch) untuk 1 m2  Rumput di Tanah Tidak Subur di Lahan Datar dan Tidak Memiliki Jaringan Air Yang Baik</t>
  </si>
  <si>
    <r>
      <t xml:space="preserve">4.1.11.4 Penyiraman  untuk  1  Hari  (dengan  </t>
    </r>
    <r>
      <rPr>
        <i/>
        <sz val="11"/>
        <color rgb="FF000000"/>
        <rFont val="Calibri"/>
        <family val="2"/>
        <scheme val="minor"/>
      </rPr>
      <t>Sprinkler</t>
    </r>
    <r>
      <rPr>
        <sz val="11"/>
        <color rgb="FF000000"/>
        <rFont val="Calibri"/>
        <family val="2"/>
        <scheme val="minor"/>
      </rPr>
      <t>*)  untuk  1  m2 Semak/Penutup Tanah di Tanah Tidak Subur di Lahan Datar dan Tidak Memiliki Jaringan Air Yang Baik</t>
    </r>
  </si>
  <si>
    <r>
      <t xml:space="preserve">4.1.11.5 Penyiraman untuk 1 Hari (dengan </t>
    </r>
    <r>
      <rPr>
        <i/>
        <sz val="11"/>
        <color rgb="FF000000"/>
        <rFont val="Calibri"/>
        <family val="2"/>
        <scheme val="minor"/>
      </rPr>
      <t>Sprinkler</t>
    </r>
    <r>
      <rPr>
        <sz val="11"/>
        <color rgb="FF000000"/>
        <rFont val="Calibri"/>
        <family val="2"/>
        <scheme val="minor"/>
      </rPr>
      <t>*) untuk 1 m2 Rumput di Tanah Tidak Subur di Lahan Datar dan Tidak Memiliki Jaringan Air Yang Baik</t>
    </r>
  </si>
  <si>
    <t>4.1.11.6 Penyiraman untuk 1 Hari (dengan Selang Plastik 3/4 inch) untuk 1 Buah Pohon/Palem di Tanah Tidak Subur di Lahan Datar dan Memiliki Jaringan Air Yang Baik</t>
  </si>
  <si>
    <t>4.1.11.7 Penyiraman untuk 1 Hari (dengan Selang Plastik 3/4 inch) untuk 1 m2 Semak/Penutup Tanah di Tanah Tidak Subur di Lahan Datar dan Memiliki Jaringan Air Yang Baik</t>
  </si>
  <si>
    <t>4.1.11.8 Penyiraman untuk 1 Hari (dengan Selang Plastik 3/4 inch) untuk 1 m2 Rumput di Tanah Tidak Subur di Lahan Datar dan Memiliki Jaringan Air Yang Baik</t>
  </si>
  <si>
    <r>
      <t xml:space="preserve">4.1.11.9 Penyiraman  untuk  1  Hari  (dengan  </t>
    </r>
    <r>
      <rPr>
        <i/>
        <sz val="11"/>
        <color rgb="FF000000"/>
        <rFont val="Calibri"/>
        <family val="2"/>
        <scheme val="minor"/>
      </rPr>
      <t>Sprinkler</t>
    </r>
    <r>
      <rPr>
        <sz val="11"/>
        <color rgb="FF000000"/>
        <rFont val="Calibri"/>
        <family val="2"/>
        <scheme val="minor"/>
      </rPr>
      <t>*)  untuk  1  m2 Semak/Penutup Tanah di Tanah Tidak Subur di Lahan Datar dan Memiliki Jaringan Air Yang Baik</t>
    </r>
  </si>
  <si>
    <r>
      <t xml:space="preserve">4.1.11.10   Penyiraman untuk 1 Hari (dengan </t>
    </r>
    <r>
      <rPr>
        <i/>
        <sz val="11"/>
        <color rgb="FF000000"/>
        <rFont val="Calibri"/>
        <family val="2"/>
        <scheme val="minor"/>
      </rPr>
      <t>Sprinkler</t>
    </r>
    <r>
      <rPr>
        <sz val="11"/>
        <color rgb="FF000000"/>
        <rFont val="Calibri"/>
        <family val="2"/>
        <scheme val="minor"/>
      </rPr>
      <t>*) untuk 1 m2 Rumput di Tanah Tidak Subur di Lahan Datar dan  Memiliki Jaringan Air Yang Baik</t>
    </r>
  </si>
  <si>
    <t>4.1.12.3 Penyiraman untuk 1 Hari di Tanah Subur di Kelerengan Tanah 1:0.5 (45° - 63°) per m2</t>
  </si>
  <si>
    <t>4.1.13.1 Penyiraman untuk 1 Hari di Tanah Tidak Subur di Kelerengan Tanah 1:2 (13° - 26.5°) per m2 untuk Sumber Air Dari Luar Lokasi Pekerjaan</t>
  </si>
  <si>
    <t>4.1.13.2 Penyiraman untuk 1 Hari di Tanah Tidak Subur di Kelerengan Tanah 1:1 (26.5° - 45°) per m2 untuk Sumber Air Dari Luar Lokasi Pekerjaan</t>
  </si>
  <si>
    <t>4.1.13.3 Penyiraman untuk 1 Hari di Tanah Tidak Subur di Kelerengan Tanah 1:0.5 (45° - 63°) per m2 untuk Sumber Air Dari Luar Lokasi Pekerjaan</t>
  </si>
  <si>
    <t>4.1.13.4 Penyiraman untuk 1 Hari di Tanah Tidak Subur di Kelerengan Tanah 1:2 (13° - 26.5°) per m2 untuk Sumber Air Tersedia Lokasi Pekerjaan</t>
  </si>
  <si>
    <t>4.1.13.5 Penyiraman untuk 1 Hari di Tanah Tidak Subur di Kelerengan Tanah 1:1 (26.5° - 45°) per m2 untuk Sumber Air Tersedia Lokasi Pekerjaan</t>
  </si>
  <si>
    <t>4.1.13.6 Penyiraman untuk 1 Hari di Tanah Tidak Subur di Kelerengan Tanah 1:0.5 (45° - 63°) per m2 untuk Sumber Air Tersedia Lokasi Pekerjaan</t>
  </si>
  <si>
    <t>4.2.1.1   Penyiraman 1m2 Area Tanam untuk 1 hari (dengan Selang Plastik 3/4 inch)</t>
  </si>
  <si>
    <t>4.2.2.2   Pemupukan Pupuk Organik (1 kali) untuk 1 m2 Semak/Penutup Tanah/Rumput</t>
  </si>
  <si>
    <t xml:space="preserve">4.2.3. </t>
  </si>
  <si>
    <t xml:space="preserve">Pemupukan Anorganik </t>
  </si>
  <si>
    <t xml:space="preserve">4.2.3.1 </t>
  </si>
  <si>
    <t xml:space="preserve">Pemupukan  Pupuk  Anorganik  Padat  (1  kali)  untuk  1  Buah Pohon/Palem </t>
  </si>
  <si>
    <t>4.2.4.1   Pemangkasan 1 Buah Pohon Kecil (Dia. Tajuk &lt; 5 m, Tinggi 3-6m) Termasuk Pengangkutan Keluar Area Tanam</t>
  </si>
  <si>
    <t>4.2.4.2   Pemangkasan 1 Buah Pohon Sedang (Dia. Tajuk 5-10 m) Termasuk Pengangkutan Keluar Area Tanam</t>
  </si>
  <si>
    <t>4.2.4.3   Pemangkasan 1 Buah Pohon Besar (Dia. Tajuk &gt; 10 m) Termasuk Pengangkutan Keluar Area Tanam</t>
  </si>
  <si>
    <r>
      <t xml:space="preserve">4.2.5.1   Penyemprotan Pestisida (Insektisida/Fungisida) dengan </t>
    </r>
    <r>
      <rPr>
        <i/>
        <sz val="11"/>
        <color rgb="FF000000"/>
        <rFont val="Calibri"/>
        <family val="2"/>
        <scheme val="minor"/>
      </rPr>
      <t>Sprayer Gendong 1 Kali untuk 1 Buah Pohon/Palem</t>
    </r>
  </si>
  <si>
    <r>
      <t xml:space="preserve">4.2.5.2   Penyemprotan Pestisida (Fungisida /Insektisida) dengan </t>
    </r>
    <r>
      <rPr>
        <i/>
        <sz val="11"/>
        <color rgb="FF000000"/>
        <rFont val="Calibri"/>
        <family val="2"/>
        <scheme val="minor"/>
      </rPr>
      <t>Sprayer Gendong 1 Kali untuk 1 m2 Semak</t>
    </r>
  </si>
  <si>
    <r>
      <t xml:space="preserve">4.2.5.3   Penyemprotan Pestisida (Fungisida /Insektisida) dengan </t>
    </r>
    <r>
      <rPr>
        <i/>
        <sz val="11"/>
        <color rgb="FF000000"/>
        <rFont val="Calibri"/>
        <family val="2"/>
        <scheme val="minor"/>
      </rPr>
      <t>Sprayer Gendong 1 Kali untuk 1 m2 Penutup Tanah/Rumput</t>
    </r>
  </si>
  <si>
    <r>
      <t xml:space="preserve">Penanaman pada Lereng Tanah1:1 (26.5°-45°), Metode </t>
    </r>
    <r>
      <rPr>
        <i/>
        <sz val="11"/>
        <color rgb="FF000000"/>
        <rFont val="Calibri"/>
        <family val="2"/>
        <scheme val="minor"/>
      </rPr>
      <t xml:space="preserve">Hydroseeding </t>
    </r>
    <r>
      <rPr>
        <sz val="11"/>
        <color rgb="FF000000"/>
        <rFont val="Calibri"/>
        <family val="2"/>
        <scheme val="minor"/>
      </rPr>
      <t>per m2 Permukaan Lereng (Menggunakan Jenis Biji Rumput)</t>
    </r>
  </si>
  <si>
    <t>HARGA SATUAN PEKERJAAN</t>
  </si>
  <si>
    <t xml:space="preserve">4.1.4.1.9 Penanaman 1 m2 Semak, Melati Putih (Jasminum Sambac), 25 Buah/m2 , Polybag 5 L </t>
  </si>
  <si>
    <t>m4</t>
  </si>
  <si>
    <t>m5</t>
  </si>
  <si>
    <t>m6</t>
  </si>
  <si>
    <r>
      <t>4.1.4.1.11  Penanaman   1   m2     Semak,   Pretty Pink (Breynia Disticha),</t>
    </r>
    <r>
      <rPr>
        <i/>
        <sz val="11"/>
        <color rgb="FF000000"/>
        <rFont val="Calibri"/>
        <family val="2"/>
        <scheme val="minor"/>
      </rPr>
      <t xml:space="preserve"> 25 Buah/m2, Polybag 5 L</t>
    </r>
  </si>
  <si>
    <t>OJ</t>
  </si>
  <si>
    <t>0,0256</t>
  </si>
  <si>
    <t>0,0026</t>
  </si>
  <si>
    <t>pohon</t>
  </si>
  <si>
    <t>Colt T-120 (D);   R-Blk. 4; 12 m3</t>
  </si>
  <si>
    <t>Jam</t>
  </si>
  <si>
    <t>0,0253</t>
  </si>
  <si>
    <t>0,0299</t>
  </si>
  <si>
    <t>0,0030</t>
  </si>
  <si>
    <t>0,0355</t>
  </si>
  <si>
    <t>0,0563</t>
  </si>
  <si>
    <t>0,0056</t>
  </si>
  <si>
    <t>Fuso (D); R-Blk. 8; 35 m3</t>
  </si>
  <si>
    <t>0,1118</t>
  </si>
  <si>
    <t>0,0112</t>
  </si>
  <si>
    <t>0,5269</t>
  </si>
  <si>
    <t>0,0527</t>
  </si>
  <si>
    <t>0,1819</t>
  </si>
  <si>
    <t>Crane Truk 3 ton; Winch 5 Ton</t>
  </si>
  <si>
    <t>0,1318</t>
  </si>
  <si>
    <t>0,5434</t>
  </si>
  <si>
    <t>0,0543</t>
  </si>
  <si>
    <t>0,7443</t>
  </si>
  <si>
    <t>0,0744</t>
  </si>
  <si>
    <t>0,2865</t>
  </si>
  <si>
    <t>0,1861</t>
  </si>
  <si>
    <t>0,9880</t>
  </si>
  <si>
    <t>0,0988</t>
  </si>
  <si>
    <t>0,3976</t>
  </si>
  <si>
    <t>0,2470</t>
  </si>
  <si>
    <t>Polybag</t>
  </si>
  <si>
    <t>Pick up L300</t>
  </si>
  <si>
    <t>0,0120</t>
  </si>
  <si>
    <t>0,0054</t>
  </si>
  <si>
    <t>0,0163</t>
  </si>
  <si>
    <t>0,0172</t>
  </si>
  <si>
    <t>0,0465</t>
  </si>
  <si>
    <t>0,0094</t>
  </si>
  <si>
    <t>Penutup tanah Kacang Hias</t>
  </si>
  <si>
    <t>0,0199</t>
  </si>
  <si>
    <t>0,0188</t>
  </si>
  <si>
    <t>0,0019</t>
  </si>
  <si>
    <t>0,0398</t>
  </si>
  <si>
    <r>
      <t xml:space="preserve">Pohon Pucuk Merah di </t>
    </r>
    <r>
      <rPr>
        <i/>
        <sz val="11"/>
        <color rgb="FF000000"/>
        <rFont val="Calibri"/>
        <family val="2"/>
        <scheme val="minor"/>
      </rPr>
      <t xml:space="preserve">Polybag
</t>
    </r>
    <r>
      <rPr>
        <sz val="11"/>
        <color rgb="FF000000"/>
        <rFont val="Calibri"/>
        <family val="2"/>
        <scheme val="minor"/>
      </rPr>
      <t>20 Liter</t>
    </r>
  </si>
  <si>
    <r>
      <t xml:space="preserve">Pohon Pucuk Merah di </t>
    </r>
    <r>
      <rPr>
        <i/>
        <sz val="11"/>
        <color rgb="FF000000"/>
        <rFont val="Calibri"/>
        <family val="2"/>
        <scheme val="minor"/>
      </rPr>
      <t xml:space="preserve">Polybag
</t>
    </r>
    <r>
      <rPr>
        <sz val="11"/>
        <color rgb="FF000000"/>
        <rFont val="Calibri"/>
        <family val="2"/>
        <scheme val="minor"/>
      </rPr>
      <t>25 Liter</t>
    </r>
  </si>
  <si>
    <r>
      <t xml:space="preserve">Pohon Bunga Kupu-kupu di
</t>
    </r>
    <r>
      <rPr>
        <i/>
        <sz val="11"/>
        <color rgb="FF000000"/>
        <rFont val="Calibri"/>
        <family val="2"/>
        <scheme val="minor"/>
      </rPr>
      <t xml:space="preserve">Polybag </t>
    </r>
    <r>
      <rPr>
        <sz val="11"/>
        <color rgb="FF000000"/>
        <rFont val="Calibri"/>
        <family val="2"/>
        <scheme val="minor"/>
      </rPr>
      <t>50 Liter</t>
    </r>
  </si>
  <si>
    <r>
      <t xml:space="preserve">Pohon Bunga Kupu-kupu di
</t>
    </r>
    <r>
      <rPr>
        <i/>
        <sz val="11"/>
        <color rgb="FF000000"/>
        <rFont val="Calibri"/>
        <family val="2"/>
        <scheme val="minor"/>
      </rPr>
      <t xml:space="preserve">Polybag </t>
    </r>
    <r>
      <rPr>
        <sz val="11"/>
        <color rgb="FF000000"/>
        <rFont val="Calibri"/>
        <family val="2"/>
        <scheme val="minor"/>
      </rPr>
      <t>75 Liter</t>
    </r>
  </si>
  <si>
    <r>
      <t xml:space="preserve">Pohon Mahoni di </t>
    </r>
    <r>
      <rPr>
        <i/>
        <sz val="11"/>
        <color rgb="FF000000"/>
        <rFont val="Calibri"/>
        <family val="2"/>
        <scheme val="minor"/>
      </rPr>
      <t xml:space="preserve">Polybag </t>
    </r>
    <r>
      <rPr>
        <sz val="11"/>
        <color rgb="FF000000"/>
        <rFont val="Calibri"/>
        <family val="2"/>
        <scheme val="minor"/>
      </rPr>
      <t>100
Liter</t>
    </r>
  </si>
  <si>
    <r>
      <t xml:space="preserve">Pohon Mahoni di </t>
    </r>
    <r>
      <rPr>
        <i/>
        <sz val="11"/>
        <color rgb="FF000000"/>
        <rFont val="Calibri"/>
        <family val="2"/>
        <scheme val="minor"/>
      </rPr>
      <t xml:space="preserve">Polybag </t>
    </r>
    <r>
      <rPr>
        <sz val="11"/>
        <color rgb="FF000000"/>
        <rFont val="Calibri"/>
        <family val="2"/>
        <scheme val="minor"/>
      </rPr>
      <t>150
Liter</t>
    </r>
  </si>
  <si>
    <r>
      <t xml:space="preserve">Pohon Beringin di </t>
    </r>
    <r>
      <rPr>
        <i/>
        <sz val="11"/>
        <color rgb="FF000000"/>
        <rFont val="Calibri"/>
        <family val="2"/>
        <scheme val="minor"/>
      </rPr>
      <t xml:space="preserve">Polybag </t>
    </r>
    <r>
      <rPr>
        <sz val="11"/>
        <color rgb="FF000000"/>
        <rFont val="Calibri"/>
        <family val="2"/>
        <scheme val="minor"/>
      </rPr>
      <t>250
Liter</t>
    </r>
  </si>
  <si>
    <r>
      <t xml:space="preserve">Semak Alamanda/Bunga
Terompet Emas di </t>
    </r>
    <r>
      <rPr>
        <i/>
        <sz val="11"/>
        <color rgb="FF000000"/>
        <rFont val="Calibri"/>
        <family val="2"/>
        <scheme val="minor"/>
      </rPr>
      <t xml:space="preserve">Polybag </t>
    </r>
    <r>
      <rPr>
        <sz val="11"/>
        <color rgb="FF000000"/>
        <rFont val="Calibri"/>
        <family val="2"/>
        <scheme val="minor"/>
      </rPr>
      <t>5
Liter</t>
    </r>
  </si>
  <si>
    <r>
      <t xml:space="preserve">Semak Alamanda/Bunga
Terompet Emas di </t>
    </r>
    <r>
      <rPr>
        <i/>
        <sz val="11"/>
        <color rgb="FF000000"/>
        <rFont val="Calibri"/>
        <family val="2"/>
        <scheme val="minor"/>
      </rPr>
      <t xml:space="preserve">Polybag </t>
    </r>
    <r>
      <rPr>
        <sz val="11"/>
        <color rgb="FF000000"/>
        <rFont val="Calibri"/>
        <family val="2"/>
        <scheme val="minor"/>
      </rPr>
      <t>11
Liter</t>
    </r>
  </si>
  <si>
    <r>
      <t xml:space="preserve">Semak Alamanda/Bunga
Terompet Emas di </t>
    </r>
    <r>
      <rPr>
        <i/>
        <sz val="11"/>
        <color rgb="FF000000"/>
        <rFont val="Calibri"/>
        <family val="2"/>
        <scheme val="minor"/>
      </rPr>
      <t xml:space="preserve">Polybag </t>
    </r>
    <r>
      <rPr>
        <sz val="11"/>
        <color rgb="FF000000"/>
        <rFont val="Calibri"/>
        <family val="2"/>
        <scheme val="minor"/>
      </rPr>
      <t>20
Liter</t>
    </r>
  </si>
  <si>
    <t>4.1.1.25 Pengadaan dan Pengangkutan Penutup Tanah</t>
  </si>
  <si>
    <t>4.1.1.27 Pengadaan dan Pengangkutan Rumput</t>
  </si>
  <si>
    <t>4      PEKERJAAN LANSEKAP</t>
  </si>
  <si>
    <t>4.1.2.3.11 Penanaman 1 Buah Pohon Sedang Pakis Brazil ( Schizolobium Parahyba), Dia 3-5 cm, Tinggi 3-4 meter, Polybag 50L</t>
  </si>
  <si>
    <r>
      <t xml:space="preserve">Pohon Pakis Brazil di </t>
    </r>
    <r>
      <rPr>
        <i/>
        <sz val="11"/>
        <color rgb="FF000000"/>
        <rFont val="Calibri"/>
        <family val="2"/>
        <scheme val="minor"/>
      </rPr>
      <t xml:space="preserve">Polybag </t>
    </r>
    <r>
      <rPr>
        <sz val="11"/>
        <color rgb="FF000000"/>
        <rFont val="Calibri"/>
        <family val="2"/>
        <scheme val="minor"/>
      </rPr>
      <t>50
Liter</t>
    </r>
  </si>
  <si>
    <t>4.1.2.3.12 Penanaman 1 Buah Pohon Sedang Leda (Eucalyptus Deglupta) Dia 3-5 cm, tinggi 3-4 m, Polybag 50 L</t>
  </si>
  <si>
    <r>
      <t xml:space="preserve">Pohon Leda di </t>
    </r>
    <r>
      <rPr>
        <i/>
        <sz val="11"/>
        <color rgb="FF000000"/>
        <rFont val="Calibri"/>
        <family val="2"/>
        <scheme val="minor"/>
      </rPr>
      <t xml:space="preserve">Polybag </t>
    </r>
    <r>
      <rPr>
        <sz val="11"/>
        <color rgb="FF000000"/>
        <rFont val="Calibri"/>
        <family val="2"/>
        <scheme val="minor"/>
      </rPr>
      <t>50
Liter</t>
    </r>
  </si>
  <si>
    <t>4.1.2.3.13 Penanaman 1 Buah Pohon Sedang Saga (Adenanthera Pavonina), Diameter 3-5 cm, Tinggi 3-4 meter, Polybag 50 L</t>
  </si>
  <si>
    <r>
      <t xml:space="preserve">Pohon Saga di </t>
    </r>
    <r>
      <rPr>
        <i/>
        <sz val="11"/>
        <color rgb="FF000000"/>
        <rFont val="Calibri"/>
        <family val="2"/>
        <scheme val="minor"/>
      </rPr>
      <t xml:space="preserve">Polybag </t>
    </r>
    <r>
      <rPr>
        <sz val="11"/>
        <color rgb="FF000000"/>
        <rFont val="Calibri"/>
        <family val="2"/>
        <scheme val="minor"/>
      </rPr>
      <t>50
Liter</t>
    </r>
  </si>
  <si>
    <t>4.1.2.3.14 Penanaman 1 Buah Pohon Sedang kiara Payung (Filicium Decipiens), Diameter 3-5 cm, Tinggi 3-4 meter, Polybag 50 L</t>
  </si>
  <si>
    <r>
      <t xml:space="preserve">PohonKiara Payung di </t>
    </r>
    <r>
      <rPr>
        <i/>
        <sz val="11"/>
        <color rgb="FF000000"/>
        <rFont val="Calibri"/>
        <family val="2"/>
        <scheme val="minor"/>
      </rPr>
      <t xml:space="preserve">Polybag </t>
    </r>
    <r>
      <rPr>
        <sz val="11"/>
        <color rgb="FF000000"/>
        <rFont val="Calibri"/>
        <family val="2"/>
        <scheme val="minor"/>
      </rPr>
      <t>50
Liter</t>
    </r>
  </si>
  <si>
    <t>4.1.2.4.19 Penanaman 1 Buah Pohon Sedang Pakis Brazil ( Schizolobium Parahyba), Diameter 5-7 cm, Tinggi 3-4 meter, Polybag 75 L</t>
  </si>
  <si>
    <r>
      <t xml:space="preserve">Pohon Pakis Brazil di </t>
    </r>
    <r>
      <rPr>
        <i/>
        <sz val="11"/>
        <color rgb="FF000000"/>
        <rFont val="Calibri"/>
        <family val="2"/>
        <scheme val="minor"/>
      </rPr>
      <t xml:space="preserve">Polybag </t>
    </r>
    <r>
      <rPr>
        <sz val="11"/>
        <color rgb="FF000000"/>
        <rFont val="Calibri"/>
        <family val="2"/>
        <scheme val="minor"/>
      </rPr>
      <t>75
Liter</t>
    </r>
  </si>
  <si>
    <r>
      <t xml:space="preserve">Pohon Leda di </t>
    </r>
    <r>
      <rPr>
        <i/>
        <sz val="11"/>
        <color rgb="FF000000"/>
        <rFont val="Calibri"/>
        <family val="2"/>
        <scheme val="minor"/>
      </rPr>
      <t xml:space="preserve">Polybag </t>
    </r>
    <r>
      <rPr>
        <sz val="11"/>
        <color rgb="FF000000"/>
        <rFont val="Calibri"/>
        <family val="2"/>
        <scheme val="minor"/>
      </rPr>
      <t>75
Liter</t>
    </r>
  </si>
  <si>
    <t>4.1.2.4.20 Penanaman 1 Buah Pohon SedangLeda (Eucalyptus Deglupta), Diameter 5-7 cm, Tinggi 3-4 meter, Polybag 75 L</t>
  </si>
  <si>
    <t>4.1.2.4.21 Penanaman 1 Buah Pohon Sedang Saga (Adenantera Pavonina), Diameter 5-7 cm, Tinggi 3-4 meter, Polybag 75 L</t>
  </si>
  <si>
    <r>
      <t xml:space="preserve">Pohon Saga di </t>
    </r>
    <r>
      <rPr>
        <i/>
        <sz val="11"/>
        <color rgb="FF000000"/>
        <rFont val="Calibri"/>
        <family val="2"/>
        <scheme val="minor"/>
      </rPr>
      <t xml:space="preserve">Polybag </t>
    </r>
    <r>
      <rPr>
        <sz val="11"/>
        <color rgb="FF000000"/>
        <rFont val="Calibri"/>
        <family val="2"/>
        <scheme val="minor"/>
      </rPr>
      <t>75
Liter</t>
    </r>
  </si>
  <si>
    <t>4.1.2.4.22 Penanaman 1 Buah Pohon Sedang Kiara Payung (Filicium Decipiens), Diameter 5-7 cm, Tinggi 3-4 meter, Polybag 75 L</t>
  </si>
  <si>
    <r>
      <t xml:space="preserve">Pohon Kiara Payung di </t>
    </r>
    <r>
      <rPr>
        <i/>
        <sz val="11"/>
        <color rgb="FF000000"/>
        <rFont val="Calibri"/>
        <family val="2"/>
        <scheme val="minor"/>
      </rPr>
      <t xml:space="preserve">Polybag </t>
    </r>
    <r>
      <rPr>
        <sz val="11"/>
        <color rgb="FF000000"/>
        <rFont val="Calibri"/>
        <family val="2"/>
        <scheme val="minor"/>
      </rPr>
      <t>75
Liter</t>
    </r>
  </si>
  <si>
    <r>
      <t xml:space="preserve">4.1.3.1  Palem Rumpun Kecil, </t>
    </r>
    <r>
      <rPr>
        <i/>
        <sz val="11"/>
        <color rgb="FF000000"/>
        <rFont val="Calibri"/>
        <family val="2"/>
        <scheme val="minor"/>
      </rPr>
      <t xml:space="preserve">Polybag </t>
    </r>
    <r>
      <rPr>
        <sz val="11"/>
        <color rgb="FF000000"/>
        <rFont val="Calibri"/>
        <family val="2"/>
        <scheme val="minor"/>
      </rPr>
      <t>11 L</t>
    </r>
  </si>
  <si>
    <t>4.1.3.1.1 Penanaman 1 Buah Palem Kecil, Palem Rumpun kecil, Palem Waregu (Rhapis Excelsa), Tinggi mak 1 m, Polybag 11L</t>
  </si>
  <si>
    <t>Palem Waregu di Polybag 11 L</t>
  </si>
  <si>
    <t>4.1.3.1.2 Penanaman 1 Buah Palem Kecil, Palem Rumpun kecil, Palem Kuning (Dypsis Lutescens), Tinggi mak 1 m, Polybag 11L</t>
  </si>
  <si>
    <t>Palem Kuning di Polybag 11 L</t>
  </si>
  <si>
    <t>4.1.3.1.3 Penanaman 1 Buah Palem Kecil, Palem Rumpun kecil, Palem Komodoria Komodor/Chamadorea (Chamaedorea seifrizii), Tinggi mak 1 m, Polybag 11L</t>
  </si>
  <si>
    <t>Palem  Komodoria Komodor/Chamadorea di Polybag 11 L</t>
  </si>
  <si>
    <r>
      <t xml:space="preserve">4.1.3.2  Palem Rumpun Kecil, </t>
    </r>
    <r>
      <rPr>
        <i/>
        <sz val="11"/>
        <color rgb="FF000000"/>
        <rFont val="Calibri"/>
        <family val="2"/>
        <scheme val="minor"/>
      </rPr>
      <t xml:space="preserve">Polybag </t>
    </r>
    <r>
      <rPr>
        <sz val="11"/>
        <color rgb="FF000000"/>
        <rFont val="Calibri"/>
        <family val="2"/>
        <scheme val="minor"/>
      </rPr>
      <t>20 L</t>
    </r>
  </si>
  <si>
    <t>Palem Waregu di Polybag 20 L</t>
  </si>
  <si>
    <t>Palem Kuning di Polybag 20 L</t>
  </si>
  <si>
    <t>4.1.3.1.3 Penanaman 1 Buah Palem Kecil, Palem Rumpun kecil, Palem Komodoria Komodor/Chamadorea (Chamaedorea seifrizii), Tinggi  1,2-1,5 m, Polybag 20L</t>
  </si>
  <si>
    <t>4.1.3.2.2 Penanaman 1 Buah Palem Kecil, Palem Rumpun kecil, Palem Kuning (Dypsis Lutescens), Tinggi  1,2-1,5 m, Polybag 20L</t>
  </si>
  <si>
    <t>4.1.3.2.1 Penanaman 1 Buah Palem Kecil, Palem Rumpun kecil, Palem Waregu (Rhapis Excelsa), Tinggi 1,2-1,5 m, Polybag 20L</t>
  </si>
  <si>
    <t>Palem  Komodoria Komodor/Chamadorea di Polybag 20 L</t>
  </si>
  <si>
    <r>
      <t xml:space="preserve">4.1.3.3 Palem Rumpun Besar, </t>
    </r>
    <r>
      <rPr>
        <i/>
        <sz val="11"/>
        <color rgb="FF000000"/>
        <rFont val="Calibri"/>
        <family val="2"/>
        <scheme val="minor"/>
      </rPr>
      <t xml:space="preserve">Polybag </t>
    </r>
    <r>
      <rPr>
        <sz val="11"/>
        <color rgb="FF000000"/>
        <rFont val="Calibri"/>
        <family val="2"/>
        <scheme val="minor"/>
      </rPr>
      <t>50 L</t>
    </r>
  </si>
  <si>
    <r>
      <t>4.1.3.3.1 Penanaman 1 Buah Palem Rumpun Besar, Palem Jepang (</t>
    </r>
    <r>
      <rPr>
        <i/>
        <sz val="11"/>
        <color rgb="FF000000"/>
        <rFont val="Calibri"/>
        <family val="2"/>
        <scheme val="minor"/>
      </rPr>
      <t>Ptychosperma Macarthurii),  Tinggi 2,5-3 meter, Polybag 50 L</t>
    </r>
  </si>
  <si>
    <r>
      <t xml:space="preserve">Palem jepang di </t>
    </r>
    <r>
      <rPr>
        <i/>
        <sz val="11"/>
        <color rgb="FF000000"/>
        <rFont val="Calibri"/>
        <family val="2"/>
        <scheme val="minor"/>
      </rPr>
      <t xml:space="preserve">Polybag </t>
    </r>
    <r>
      <rPr>
        <sz val="11"/>
        <color rgb="FF000000"/>
        <rFont val="Calibri"/>
        <family val="2"/>
        <scheme val="minor"/>
      </rPr>
      <t>50
Liter</t>
    </r>
  </si>
  <si>
    <r>
      <t>4.1.3.3.2 Penanaman 1 Buah Palem Rumpun Besar, Palem merah/Pinang Merah (Cyrtostachys Renda)</t>
    </r>
    <r>
      <rPr>
        <i/>
        <sz val="11"/>
        <color rgb="FF000000"/>
        <rFont val="Calibri"/>
        <family val="2"/>
        <scheme val="minor"/>
      </rPr>
      <t>,  Tinggi 2,5-3 meter, Polybag 50 L</t>
    </r>
  </si>
  <si>
    <r>
      <t xml:space="preserve">Palem Merah/Pinang Merah di </t>
    </r>
    <r>
      <rPr>
        <i/>
        <sz val="11"/>
        <color rgb="FF000000"/>
        <rFont val="Calibri"/>
        <family val="2"/>
        <scheme val="minor"/>
      </rPr>
      <t xml:space="preserve">Polybag </t>
    </r>
    <r>
      <rPr>
        <sz val="11"/>
        <color rgb="FF000000"/>
        <rFont val="Calibri"/>
        <family val="2"/>
        <scheme val="minor"/>
      </rPr>
      <t>50
Liter</t>
    </r>
  </si>
  <si>
    <r>
      <t xml:space="preserve">Palem ekor ikan rumpun di </t>
    </r>
    <r>
      <rPr>
        <i/>
        <sz val="11"/>
        <color rgb="FF000000"/>
        <rFont val="Calibri"/>
        <family val="2"/>
        <scheme val="minor"/>
      </rPr>
      <t xml:space="preserve">Polybag </t>
    </r>
    <r>
      <rPr>
        <sz val="11"/>
        <color rgb="FF000000"/>
        <rFont val="Calibri"/>
        <family val="2"/>
        <scheme val="minor"/>
      </rPr>
      <t>50
Liter</t>
    </r>
  </si>
  <si>
    <r>
      <t>4.1.3.3.3 Penanaman 1 Buah Palem Rumpun Besar, Palem ekor ikan rumpun (Caryota mitis)</t>
    </r>
    <r>
      <rPr>
        <i/>
        <sz val="11"/>
        <color rgb="FF000000"/>
        <rFont val="Calibri"/>
        <family val="2"/>
        <scheme val="minor"/>
      </rPr>
      <t>,  Tinggi 2,5-3 meter, Polybag 50 L</t>
    </r>
  </si>
  <si>
    <t>4.1.3.4 Palem Tunggal Kecil,Polybag 11 - 25 L</t>
  </si>
  <si>
    <r>
      <t>4.1.3.4.1 Penanaman 1 Buah Palem Tunggal Kecil, Palem Kol (Licuala grandis), Tinggi 0,5-0,6 meter</t>
    </r>
    <r>
      <rPr>
        <i/>
        <sz val="11"/>
        <color rgb="FF000000"/>
        <rFont val="Calibri"/>
        <family val="2"/>
        <scheme val="minor"/>
      </rPr>
      <t>, Polybag 11 L</t>
    </r>
  </si>
  <si>
    <r>
      <t>4.1.3.4.2 Penanaman 1 Buah Palem Tunggal Kecil, Palem Kol (Licuala grandis), Tinggi 0,6-0,8 meter</t>
    </r>
    <r>
      <rPr>
        <i/>
        <sz val="11"/>
        <color rgb="FF000000"/>
        <rFont val="Calibri"/>
        <family val="2"/>
        <scheme val="minor"/>
      </rPr>
      <t>, Polybag 20 L</t>
    </r>
  </si>
  <si>
    <t>4.1.3.4.3 Penanaman 1 Buah Palem Tunggal Kecil, Sikas Halus/Mawar Jambe (Cycas Revoluta), Tinggi 0,5 - 0,6 meter, Polybag 25 L</t>
  </si>
  <si>
    <t>4.1.3.5 Palem Tunggal Kecil,Polybag 50 L</t>
  </si>
  <si>
    <t>4.1.3.5.1 Penanaman 1 Buah Palem Tunggal Kecil, Palem Phonix (Phonix Roebelenii) Tinggi 1,2-1,5 meter, Polybag 50 L</t>
  </si>
  <si>
    <t>4.1.3.5.2 Penanaman 1 Buah Palem Tunggal Kecil, Palem Putri (Veichia Merillii) Tinggi 2-2,5 meter, Polybag 50 L</t>
  </si>
  <si>
    <t>4.1.3.5.3 Penanaman 1 Buah Palem Tunggal Kecil, Sikas Halus/Mawar Jambe (Cycas Revoluta), Tinggi 0,8-1 meter, Polybag 50 L</t>
  </si>
  <si>
    <r>
      <t xml:space="preserve">Sikas Halus/Mawar Jambe di </t>
    </r>
    <r>
      <rPr>
        <i/>
        <sz val="11"/>
        <color rgb="FF000000"/>
        <rFont val="Calibri"/>
        <family val="2"/>
        <scheme val="minor"/>
      </rPr>
      <t>Polybag 50</t>
    </r>
    <r>
      <rPr>
        <sz val="11"/>
        <color rgb="FF000000"/>
        <rFont val="Calibri"/>
        <family val="2"/>
        <scheme val="minor"/>
      </rPr>
      <t xml:space="preserve">
Liter</t>
    </r>
  </si>
  <si>
    <t>4.1.3.6 Palem Tunggal Besar, Polybag 100L</t>
  </si>
  <si>
    <t>4.1.3.6.1 Penanaman 1 Buah Palem Tunggal Besar, Palem Ekor Tupai (Wodyetia Bifurcata), Tinggi 3 - 3,5 meter, Polybag 100L</t>
  </si>
  <si>
    <r>
      <t xml:space="preserve">Palem Ekor Tupai di </t>
    </r>
    <r>
      <rPr>
        <i/>
        <sz val="11"/>
        <color rgb="FF000000"/>
        <rFont val="Calibri"/>
        <family val="2"/>
        <scheme val="minor"/>
      </rPr>
      <t>Polybag 100</t>
    </r>
    <r>
      <rPr>
        <sz val="11"/>
        <color rgb="FF000000"/>
        <rFont val="Calibri"/>
        <family val="2"/>
        <scheme val="minor"/>
      </rPr>
      <t xml:space="preserve">
Liter</t>
    </r>
  </si>
  <si>
    <t>4.1.3.6.2 Penanaman 1 Buah Palem Tunggal Besar, Palem Raja (Roystonea Regia) Tinggi 3 - 3,5 meter, Polybag 100L</t>
  </si>
  <si>
    <r>
      <t xml:space="preserve">Palem raja di </t>
    </r>
    <r>
      <rPr>
        <i/>
        <sz val="11"/>
        <color rgb="FF000000"/>
        <rFont val="Calibri"/>
        <family val="2"/>
        <scheme val="minor"/>
      </rPr>
      <t>Polybag 100</t>
    </r>
    <r>
      <rPr>
        <sz val="11"/>
        <color rgb="FF000000"/>
        <rFont val="Calibri"/>
        <family val="2"/>
        <scheme val="minor"/>
      </rPr>
      <t xml:space="preserve">
Liter</t>
    </r>
  </si>
  <si>
    <t>4.1.3.6.3 Penanaman 1 Buah Palem Tunggal Besar, Palem Sadeng ( Saribus Rotundifolius) Tinggi 3 - 3,5 meter, Polybag 100L</t>
  </si>
  <si>
    <r>
      <t xml:space="preserve">Palem sadeng di </t>
    </r>
    <r>
      <rPr>
        <i/>
        <sz val="11"/>
        <color rgb="FF000000"/>
        <rFont val="Calibri"/>
        <family val="2"/>
        <scheme val="minor"/>
      </rPr>
      <t>Polybag 100</t>
    </r>
    <r>
      <rPr>
        <sz val="11"/>
        <color rgb="FF000000"/>
        <rFont val="Calibri"/>
        <family val="2"/>
        <scheme val="minor"/>
      </rPr>
      <t xml:space="preserve">
Liter</t>
    </r>
  </si>
  <si>
    <t>4.1.3.6.4 Penanaman 1 Buah Palem Tunggal Besar, Palem washingtonia (Washingtonia robusta) Tinggi 3 - 3,5 meter, Polybag 100L</t>
  </si>
  <si>
    <r>
      <t xml:space="preserve">Palem washingtonia di </t>
    </r>
    <r>
      <rPr>
        <i/>
        <sz val="11"/>
        <color rgb="FF000000"/>
        <rFont val="Calibri"/>
        <family val="2"/>
        <scheme val="minor"/>
      </rPr>
      <t xml:space="preserve">Polybag 100 </t>
    </r>
    <r>
      <rPr>
        <sz val="11"/>
        <color rgb="FF000000"/>
        <rFont val="Calibri"/>
        <family val="2"/>
        <scheme val="minor"/>
      </rPr>
      <t>Liter</t>
    </r>
  </si>
  <si>
    <t>4.1.3.6.5 Penanaman 1 Buah Palem Tunggal Besar, Palem ekor ikan tunggal/Palem seledri (Caryota no) Tinggi 3 - 3,5 meter, Polybag 100L</t>
  </si>
  <si>
    <t>4.1.3.6.6 Penanaman 1 Buah Palem Tunggal Besar, Palem Sinensis (Livistona chinensis) Tinggi 3 - 3,5 meter, Polybag 100L</t>
  </si>
  <si>
    <r>
      <t xml:space="preserve">Palem sinensis di </t>
    </r>
    <r>
      <rPr>
        <i/>
        <sz val="11"/>
        <color rgb="FF000000"/>
        <rFont val="Calibri"/>
        <family val="2"/>
        <scheme val="minor"/>
      </rPr>
      <t xml:space="preserve">Polybag 100 </t>
    </r>
    <r>
      <rPr>
        <sz val="11"/>
        <color rgb="FF000000"/>
        <rFont val="Calibri"/>
        <family val="2"/>
        <scheme val="minor"/>
      </rPr>
      <t>Liter</t>
    </r>
  </si>
  <si>
    <t>4.1.3.6.7 Penanaman 1 Buah Palem Tunggal Besar, Palem Bismakia Silver (Bismarckia nobilis Silver) Tinggi 3 - 3,5 meter, Polybag 100L</t>
  </si>
  <si>
    <r>
      <t xml:space="preserve">Palem Bismakia Silver di </t>
    </r>
    <r>
      <rPr>
        <i/>
        <sz val="11"/>
        <color rgb="FF000000"/>
        <rFont val="Calibri"/>
        <family val="2"/>
        <scheme val="minor"/>
      </rPr>
      <t xml:space="preserve">Polybag 100 </t>
    </r>
    <r>
      <rPr>
        <sz val="11"/>
        <color rgb="FF000000"/>
        <rFont val="Calibri"/>
        <family val="2"/>
        <scheme val="minor"/>
      </rPr>
      <t>Liter</t>
    </r>
  </si>
  <si>
    <t>4.1.3.6.8 Penanaman 1 Buah Palem Tunggal Besar, Pinang Jambe (Areca catechu) Tinggi 3 - 3,5 meter, Polybag 100L</t>
  </si>
  <si>
    <r>
      <t xml:space="preserve">Pinang Jambe di </t>
    </r>
    <r>
      <rPr>
        <i/>
        <sz val="11"/>
        <color rgb="FF000000"/>
        <rFont val="Calibri"/>
        <family val="2"/>
        <scheme val="minor"/>
      </rPr>
      <t xml:space="preserve">Polybag 100 </t>
    </r>
    <r>
      <rPr>
        <sz val="11"/>
        <color rgb="FF000000"/>
        <rFont val="Calibri"/>
        <family val="2"/>
        <scheme val="minor"/>
      </rPr>
      <t>Liter</t>
    </r>
  </si>
  <si>
    <t>4.1.3.7 Palem Tunggal Besar, Polybag 150L</t>
  </si>
  <si>
    <t>4.1.3.7.1 Penanaman 1 Buah Palem Tunggal Besar, Palem Ekor Tupai (Wodyetia Bifurcata), Tinggi 3 - 3,5 meter, Polybag 150L</t>
  </si>
  <si>
    <r>
      <t xml:space="preserve">Palem Ekor Tupai di </t>
    </r>
    <r>
      <rPr>
        <i/>
        <sz val="11"/>
        <color rgb="FF000000"/>
        <rFont val="Calibri"/>
        <family val="2"/>
        <scheme val="minor"/>
      </rPr>
      <t>Polybag 150</t>
    </r>
    <r>
      <rPr>
        <sz val="11"/>
        <color rgb="FF000000"/>
        <rFont val="Calibri"/>
        <family val="2"/>
        <scheme val="minor"/>
      </rPr>
      <t xml:space="preserve">
Liter</t>
    </r>
  </si>
  <si>
    <t>4.1.3.7.2 Penanaman 1 Buah Palem Tunggal Besar, Palem Raja (Roystonea Regia) Tinggi 3 - 3,5 meter, Polybag 150L</t>
  </si>
  <si>
    <r>
      <t xml:space="preserve">Palem raja di </t>
    </r>
    <r>
      <rPr>
        <i/>
        <sz val="11"/>
        <color rgb="FF000000"/>
        <rFont val="Calibri"/>
        <family val="2"/>
        <scheme val="minor"/>
      </rPr>
      <t>Polybag 150</t>
    </r>
    <r>
      <rPr>
        <sz val="11"/>
        <color rgb="FF000000"/>
        <rFont val="Calibri"/>
        <family val="2"/>
        <scheme val="minor"/>
      </rPr>
      <t xml:space="preserve">
Liter</t>
    </r>
  </si>
  <si>
    <t>4.1.3.7.3 Penanaman 1 Buah Palem Tunggal Besar, Palem Sadeng ( Saribus Rotundifolius) Tinggi 3 - 3,5 meter, Polybag 150L</t>
  </si>
  <si>
    <r>
      <t xml:space="preserve">Palem sadeng di </t>
    </r>
    <r>
      <rPr>
        <i/>
        <sz val="11"/>
        <color rgb="FF000000"/>
        <rFont val="Calibri"/>
        <family val="2"/>
        <scheme val="minor"/>
      </rPr>
      <t>Polybag 150</t>
    </r>
    <r>
      <rPr>
        <sz val="11"/>
        <color rgb="FF000000"/>
        <rFont val="Calibri"/>
        <family val="2"/>
        <scheme val="minor"/>
      </rPr>
      <t xml:space="preserve">
Liter</t>
    </r>
  </si>
  <si>
    <t>4.1.3.7.4 Penanaman 1 Buah Palem Tunggal Besar, Palem washingtonia (Washingtonia robusta) Tinggi 3 - 3,5 meter, Polybag 150L</t>
  </si>
  <si>
    <r>
      <t xml:space="preserve">Palem washingtonia di </t>
    </r>
    <r>
      <rPr>
        <i/>
        <sz val="11"/>
        <color rgb="FF000000"/>
        <rFont val="Calibri"/>
        <family val="2"/>
        <scheme val="minor"/>
      </rPr>
      <t xml:space="preserve">Polybag 150 </t>
    </r>
    <r>
      <rPr>
        <sz val="11"/>
        <color rgb="FF000000"/>
        <rFont val="Calibri"/>
        <family val="2"/>
        <scheme val="minor"/>
      </rPr>
      <t>Liter</t>
    </r>
  </si>
  <si>
    <t>4.1.3.7.5 Penanaman 1 Buah Palem Tunggal Besar, Palem ekor ikan tunggal/Palem seledri (Caryota no) Tinggi 3 - 3,5 meter, Polybag 150L</t>
  </si>
  <si>
    <t>4.1.3.7.6 Penanaman 1 Buah Palem Tunggal Besar, Palem Sinensis (Livistona chinensis) Tinggi 3 - 3,5 meter, Polybag 150L</t>
  </si>
  <si>
    <r>
      <t xml:space="preserve">Palem sinensis di </t>
    </r>
    <r>
      <rPr>
        <i/>
        <sz val="11"/>
        <color rgb="FF000000"/>
        <rFont val="Calibri"/>
        <family val="2"/>
        <scheme val="minor"/>
      </rPr>
      <t xml:space="preserve">Polybag 150 </t>
    </r>
    <r>
      <rPr>
        <sz val="11"/>
        <color rgb="FF000000"/>
        <rFont val="Calibri"/>
        <family val="2"/>
        <scheme val="minor"/>
      </rPr>
      <t>Liter</t>
    </r>
  </si>
  <si>
    <t>4.1.3.7.7 Penanaman 1 Buah Palem Tunggal Besar, Palem Bismakia Silver (Bismarckia nobilis Silver) Tinggi 3 - 3,5 meter, Polybag 150L</t>
  </si>
  <si>
    <r>
      <t xml:space="preserve">Palem Bismakia Silver di </t>
    </r>
    <r>
      <rPr>
        <i/>
        <sz val="11"/>
        <color rgb="FF000000"/>
        <rFont val="Calibri"/>
        <family val="2"/>
        <scheme val="minor"/>
      </rPr>
      <t xml:space="preserve">Polybag 150 </t>
    </r>
    <r>
      <rPr>
        <sz val="11"/>
        <color rgb="FF000000"/>
        <rFont val="Calibri"/>
        <family val="2"/>
        <scheme val="minor"/>
      </rPr>
      <t>Liter</t>
    </r>
  </si>
  <si>
    <t>4.1.3.7.8 Penanaman 1 Buah Palem Tunggal Besar, Pinang Jambe (Areca catechu) Tinggi 3 - 3,5 meter, Polybag 150L</t>
  </si>
  <si>
    <r>
      <t xml:space="preserve">Pinang Jambe di </t>
    </r>
    <r>
      <rPr>
        <i/>
        <sz val="11"/>
        <color rgb="FF000000"/>
        <rFont val="Calibri"/>
        <family val="2"/>
        <scheme val="minor"/>
      </rPr>
      <t xml:space="preserve">Polybag 150 </t>
    </r>
    <r>
      <rPr>
        <sz val="11"/>
        <color rgb="FF000000"/>
        <rFont val="Calibri"/>
        <family val="2"/>
        <scheme val="minor"/>
      </rPr>
      <t>Liter</t>
    </r>
  </si>
  <si>
    <r>
      <t>4.1.4.1.15  Penanaman 1 m2 Semak, Ruelia/Kencana ungu ( Ruellia simplex)</t>
    </r>
    <r>
      <rPr>
        <i/>
        <sz val="11"/>
        <color rgb="FF000000"/>
        <rFont val="Calibri"/>
        <family val="2"/>
        <scheme val="minor"/>
      </rPr>
      <t>, 25 Buah/m2, Polybag 5 L</t>
    </r>
  </si>
  <si>
    <r>
      <t xml:space="preserve">Semak Ruelia/Kencana Ungu di </t>
    </r>
    <r>
      <rPr>
        <i/>
        <sz val="11"/>
        <color rgb="FF000000"/>
        <rFont val="Calibri"/>
        <family val="2"/>
        <scheme val="minor"/>
      </rPr>
      <t xml:space="preserve">Polybag </t>
    </r>
    <r>
      <rPr>
        <sz val="11"/>
        <color rgb="FF000000"/>
        <rFont val="Calibri"/>
        <family val="2"/>
        <scheme val="minor"/>
      </rPr>
      <t>5 Liter</t>
    </r>
  </si>
  <si>
    <r>
      <t>4.1.4.1.16  Penanaman 1 m2 Semak, Ararea (Osmoxylon lineare)</t>
    </r>
    <r>
      <rPr>
        <i/>
        <sz val="11"/>
        <color rgb="FF000000"/>
        <rFont val="Calibri"/>
        <family val="2"/>
        <scheme val="minor"/>
      </rPr>
      <t>, 25 Buah/m2, Polybag 5 L</t>
    </r>
  </si>
  <si>
    <r>
      <t xml:space="preserve">Semak Ararea di </t>
    </r>
    <r>
      <rPr>
        <i/>
        <sz val="11"/>
        <color rgb="FF000000"/>
        <rFont val="Calibri"/>
        <family val="2"/>
        <scheme val="minor"/>
      </rPr>
      <t xml:space="preserve">Polybag </t>
    </r>
    <r>
      <rPr>
        <sz val="11"/>
        <color rgb="FF000000"/>
        <rFont val="Calibri"/>
        <family val="2"/>
        <scheme val="minor"/>
      </rPr>
      <t>5 Liter</t>
    </r>
  </si>
  <si>
    <r>
      <t>4.1.4.1.17  Penanaman 1 m2 Semak, Paku Pedang (Neprolepis biserrata)</t>
    </r>
    <r>
      <rPr>
        <i/>
        <sz val="11"/>
        <color rgb="FF000000"/>
        <rFont val="Calibri"/>
        <family val="2"/>
        <scheme val="minor"/>
      </rPr>
      <t>, 25 Buah/m2, Polybag 5 L</t>
    </r>
  </si>
  <si>
    <r>
      <t xml:space="preserve">Semak Paku Pedang di </t>
    </r>
    <r>
      <rPr>
        <i/>
        <sz val="11"/>
        <color rgb="FF000000"/>
        <rFont val="Calibri"/>
        <family val="2"/>
        <scheme val="minor"/>
      </rPr>
      <t xml:space="preserve">Polybag </t>
    </r>
    <r>
      <rPr>
        <sz val="11"/>
        <color rgb="FF000000"/>
        <rFont val="Calibri"/>
        <family val="2"/>
        <scheme val="minor"/>
      </rPr>
      <t>5 Liter</t>
    </r>
  </si>
  <si>
    <r>
      <t>4.1.4.1.18  Penanaman 1 m2 Semak, Rumput Ekor Kuda (Pennisetum alopecuroides)</t>
    </r>
    <r>
      <rPr>
        <i/>
        <sz val="11"/>
        <color rgb="FF000000"/>
        <rFont val="Calibri"/>
        <family val="2"/>
        <scheme val="minor"/>
      </rPr>
      <t xml:space="preserve"> 25 Buah/m2, Polybag 5 L</t>
    </r>
  </si>
  <si>
    <r>
      <t xml:space="preserve">Semak Rumput Ekor Kuda di </t>
    </r>
    <r>
      <rPr>
        <i/>
        <sz val="11"/>
        <color rgb="FF000000"/>
        <rFont val="Calibri"/>
        <family val="2"/>
        <scheme val="minor"/>
      </rPr>
      <t xml:space="preserve">Polybag </t>
    </r>
    <r>
      <rPr>
        <sz val="11"/>
        <color rgb="FF000000"/>
        <rFont val="Calibri"/>
        <family val="2"/>
        <scheme val="minor"/>
      </rPr>
      <t>5 Liter</t>
    </r>
  </si>
  <si>
    <r>
      <t>4.1.4.1.19  Penanaman 1 m2 Semak, Alang-alang merah (Pennisetum setaceum rubrum)</t>
    </r>
    <r>
      <rPr>
        <i/>
        <sz val="11"/>
        <color rgb="FF000000"/>
        <rFont val="Calibri"/>
        <family val="2"/>
        <scheme val="minor"/>
      </rPr>
      <t>, 25 Buah/m2, Polybag 5 L</t>
    </r>
  </si>
  <si>
    <r>
      <t xml:space="preserve">Semak Alang-alang Merah di </t>
    </r>
    <r>
      <rPr>
        <i/>
        <sz val="11"/>
        <color rgb="FF000000"/>
        <rFont val="Calibri"/>
        <family val="2"/>
        <scheme val="minor"/>
      </rPr>
      <t xml:space="preserve">Polybag </t>
    </r>
    <r>
      <rPr>
        <sz val="11"/>
        <color rgb="FF000000"/>
        <rFont val="Calibri"/>
        <family val="2"/>
        <scheme val="minor"/>
      </rPr>
      <t>5 Liter</t>
    </r>
  </si>
  <si>
    <r>
      <t>4.1.4.1.20  Penanaman 1 m2 Semak, Akar wangi ( Vetiveria zizanioides)</t>
    </r>
    <r>
      <rPr>
        <i/>
        <sz val="11"/>
        <color rgb="FF000000"/>
        <rFont val="Calibri"/>
        <family val="2"/>
        <scheme val="minor"/>
      </rPr>
      <t>, 25 Buah/m2, Polybag 5 L</t>
    </r>
  </si>
  <si>
    <r>
      <t xml:space="preserve">Semak Akar Wangi di </t>
    </r>
    <r>
      <rPr>
        <i/>
        <sz val="11"/>
        <color rgb="FF000000"/>
        <rFont val="Calibri"/>
        <family val="2"/>
        <scheme val="minor"/>
      </rPr>
      <t xml:space="preserve">Polybag </t>
    </r>
    <r>
      <rPr>
        <sz val="11"/>
        <color rgb="FF000000"/>
        <rFont val="Calibri"/>
        <family val="2"/>
        <scheme val="minor"/>
      </rPr>
      <t>5 Liter</t>
    </r>
  </si>
  <si>
    <r>
      <t>4.1.4.1.21  Penanaman 1 m2 Semak, Blanceng (Dieffenbachia seguine)</t>
    </r>
    <r>
      <rPr>
        <i/>
        <sz val="11"/>
        <color rgb="FF000000"/>
        <rFont val="Calibri"/>
        <family val="2"/>
        <scheme val="minor"/>
      </rPr>
      <t>, 25 Buah/m2, Polybag 5 L</t>
    </r>
  </si>
  <si>
    <r>
      <t xml:space="preserve">Semak Blanceng di </t>
    </r>
    <r>
      <rPr>
        <i/>
        <sz val="11"/>
        <color rgb="FF000000"/>
        <rFont val="Calibri"/>
        <family val="2"/>
        <scheme val="minor"/>
      </rPr>
      <t xml:space="preserve">Polybag </t>
    </r>
    <r>
      <rPr>
        <sz val="11"/>
        <color rgb="FF000000"/>
        <rFont val="Calibri"/>
        <family val="2"/>
        <scheme val="minor"/>
      </rPr>
      <t>5 Liter</t>
    </r>
  </si>
  <si>
    <r>
      <t>4.1.4.2.27  Penanaman 1 m2 Semak, Taiwan Beauty ( Cuphea hyssopifolia)</t>
    </r>
    <r>
      <rPr>
        <i/>
        <sz val="11"/>
        <color rgb="FF000000"/>
        <rFont val="Calibri"/>
        <family val="2"/>
        <scheme val="minor"/>
      </rPr>
      <t>, 16 Buah/m2, Polybag 11 L</t>
    </r>
  </si>
  <si>
    <r>
      <t xml:space="preserve">Semak Taiwan Beauty di </t>
    </r>
    <r>
      <rPr>
        <i/>
        <sz val="11"/>
        <color rgb="FF000000"/>
        <rFont val="Calibri"/>
        <family val="2"/>
        <scheme val="minor"/>
      </rPr>
      <t xml:space="preserve">Polybag </t>
    </r>
    <r>
      <rPr>
        <sz val="11"/>
        <color rgb="FF000000"/>
        <rFont val="Calibri"/>
        <family val="2"/>
        <scheme val="minor"/>
      </rPr>
      <t>11 Liter</t>
    </r>
  </si>
  <si>
    <r>
      <t>4.1.4.2.28  Penanaman 1 m2 Semak, Andong (Cordyline fruticosa)</t>
    </r>
    <r>
      <rPr>
        <i/>
        <sz val="11"/>
        <color rgb="FF000000"/>
        <rFont val="Calibri"/>
        <family val="2"/>
        <scheme val="minor"/>
      </rPr>
      <t>, 16 Buah/m2, Polybag 11 L</t>
    </r>
  </si>
  <si>
    <r>
      <t xml:space="preserve">Semak Andong di </t>
    </r>
    <r>
      <rPr>
        <i/>
        <sz val="11"/>
        <color rgb="FF000000"/>
        <rFont val="Calibri"/>
        <family val="2"/>
        <scheme val="minor"/>
      </rPr>
      <t xml:space="preserve">Polybag </t>
    </r>
    <r>
      <rPr>
        <sz val="11"/>
        <color rgb="FF000000"/>
        <rFont val="Calibri"/>
        <family val="2"/>
        <scheme val="minor"/>
      </rPr>
      <t>11 Liter</t>
    </r>
  </si>
  <si>
    <r>
      <t>4.1.4.2.29  Penanaman 1 m2 Semak, Peace Lily (Spathiphyllum wallisii)</t>
    </r>
    <r>
      <rPr>
        <i/>
        <sz val="11"/>
        <color rgb="FF000000"/>
        <rFont val="Calibri"/>
        <family val="2"/>
        <scheme val="minor"/>
      </rPr>
      <t>, 16 Buah/m2, Polybag 11 L</t>
    </r>
  </si>
  <si>
    <r>
      <t xml:space="preserve">Semak Peace Lily </t>
    </r>
    <r>
      <rPr>
        <i/>
        <sz val="11"/>
        <color rgb="FF000000"/>
        <rFont val="Calibri"/>
        <family val="2"/>
        <scheme val="minor"/>
      </rPr>
      <t xml:space="preserve">Polybag </t>
    </r>
    <r>
      <rPr>
        <sz val="11"/>
        <color rgb="FF000000"/>
        <rFont val="Calibri"/>
        <family val="2"/>
        <scheme val="minor"/>
      </rPr>
      <t>11 Liter</t>
    </r>
  </si>
  <si>
    <r>
      <t>4.1.4.2.30  Penanaman 1 m2 Semak,Philo Jari (Philodendron selloium)</t>
    </r>
    <r>
      <rPr>
        <i/>
        <sz val="11"/>
        <color rgb="FF000000"/>
        <rFont val="Calibri"/>
        <family val="2"/>
        <scheme val="minor"/>
      </rPr>
      <t>, 16 Buah/m2, Polybag 11 L</t>
    </r>
  </si>
  <si>
    <r>
      <t xml:space="preserve">Semak Philo Jari di </t>
    </r>
    <r>
      <rPr>
        <i/>
        <sz val="11"/>
        <color rgb="FF000000"/>
        <rFont val="Calibri"/>
        <family val="2"/>
        <scheme val="minor"/>
      </rPr>
      <t xml:space="preserve">Polybag </t>
    </r>
    <r>
      <rPr>
        <sz val="11"/>
        <color rgb="FF000000"/>
        <rFont val="Calibri"/>
        <family val="2"/>
        <scheme val="minor"/>
      </rPr>
      <t>11 Liter</t>
    </r>
  </si>
  <si>
    <r>
      <t>4.1.4.2.31  Penanaman 1 m2 Semak, Rombusa (Tabernaemontana corymbosa)</t>
    </r>
    <r>
      <rPr>
        <i/>
        <sz val="11"/>
        <color rgb="FF000000"/>
        <rFont val="Calibri"/>
        <family val="2"/>
        <scheme val="minor"/>
      </rPr>
      <t>, 16 Buah/m2, Polybag 11 L</t>
    </r>
  </si>
  <si>
    <r>
      <t xml:space="preserve">Semak Rombusa di </t>
    </r>
    <r>
      <rPr>
        <i/>
        <sz val="11"/>
        <color rgb="FF000000"/>
        <rFont val="Calibri"/>
        <family val="2"/>
        <scheme val="minor"/>
      </rPr>
      <t xml:space="preserve">Polybag </t>
    </r>
    <r>
      <rPr>
        <sz val="11"/>
        <color rgb="FF000000"/>
        <rFont val="Calibri"/>
        <family val="2"/>
        <scheme val="minor"/>
      </rPr>
      <t>11 Liter</t>
    </r>
  </si>
  <si>
    <r>
      <t>4.1.4.3.20 Penanaman 1 m2 Semak,Keladi Sente (Alocasia macrorrhiz)</t>
    </r>
    <r>
      <rPr>
        <i/>
        <sz val="11"/>
        <color rgb="FF000000"/>
        <rFont val="Calibri"/>
        <family val="2"/>
        <scheme val="minor"/>
      </rPr>
      <t>, 9 Buah/ m2, Polybag 20 L</t>
    </r>
  </si>
  <si>
    <r>
      <t>4.1.5.1  Penanaman 1 m2 Penutup Tanah, Kacang Hias (</t>
    </r>
    <r>
      <rPr>
        <i/>
        <sz val="11"/>
        <color rgb="FF000000"/>
        <rFont val="Calibri"/>
        <family val="2"/>
        <scheme val="minor"/>
      </rPr>
      <t xml:space="preserve">Arachis Pintoi </t>
    </r>
    <r>
      <rPr>
        <sz val="11"/>
        <color rgb="FF000000"/>
        <rFont val="Calibri"/>
        <family val="2"/>
        <scheme val="minor"/>
      </rPr>
      <t>),25 Buah/ m2, Polybag 0.5 L</t>
    </r>
  </si>
  <si>
    <r>
      <t>4.1.5.3  Penanaman 1 m2 Penutup Tanah, Widelia (</t>
    </r>
    <r>
      <rPr>
        <i/>
        <sz val="11"/>
        <color rgb="FF000000"/>
        <rFont val="Calibri"/>
        <family val="2"/>
        <scheme val="minor"/>
      </rPr>
      <t>Wedelia Trilobata</t>
    </r>
    <r>
      <rPr>
        <sz val="11"/>
        <color rgb="FF000000"/>
        <rFont val="Calibri"/>
        <family val="2"/>
        <scheme val="minor"/>
      </rPr>
      <t>), 36 Buah/ m2, Polybag 0.5 L</t>
    </r>
  </si>
  <si>
    <r>
      <t>4.1.5.4  Penanaman 1 m2 Penutup Tanah, Sutra Bombay (</t>
    </r>
    <r>
      <rPr>
        <i/>
        <sz val="11"/>
        <color rgb="FF000000"/>
        <rFont val="Calibri"/>
        <family val="2"/>
        <scheme val="minor"/>
      </rPr>
      <t>Portulaca Sp.</t>
    </r>
    <r>
      <rPr>
        <sz val="11"/>
        <color rgb="FF000000"/>
        <rFont val="Calibri"/>
        <family val="2"/>
        <scheme val="minor"/>
      </rPr>
      <t>), 36 Buah/ m2, Polybag 0.5 L</t>
    </r>
  </si>
  <si>
    <r>
      <t>4.1.5.5  Penanaman 1 m2 Penutup Tanah, Lantana (</t>
    </r>
    <r>
      <rPr>
        <i/>
        <sz val="11"/>
        <color rgb="FF000000"/>
        <rFont val="Calibri"/>
        <family val="2"/>
        <scheme val="minor"/>
      </rPr>
      <t>Lantana Camara</t>
    </r>
    <r>
      <rPr>
        <sz val="11"/>
        <color rgb="FF000000"/>
        <rFont val="Calibri"/>
        <family val="2"/>
        <scheme val="minor"/>
      </rPr>
      <t>), 36 Buah/ m2, Polybag 0.5 L</t>
    </r>
  </si>
  <si>
    <r>
      <t>4.1.5.6  Penanaman  1  m2   Penutup  Tanah,  Kucai  Mini  (</t>
    </r>
    <r>
      <rPr>
        <i/>
        <sz val="11"/>
        <color rgb="FF000000"/>
        <rFont val="Calibri"/>
        <family val="2"/>
        <scheme val="minor"/>
      </rPr>
      <t>Ophiopogon Japonicus), 50 Buah/ m2, Polybag 0.5 L</t>
    </r>
  </si>
  <si>
    <t>4.1.8.1   Pengolahan Tanah berPH 4.50-5.50 dan Bertekstur Pasir 60.01% - 100.00% atau Tanah Sandy per m3</t>
  </si>
  <si>
    <t>4.1.8.2 Pengolahan Tanah berPH 4.50-5.50 dan Bertekstur Liat 40.01% - 60.00% atau Tanah Sandy Loam per m3</t>
  </si>
  <si>
    <t>4.1.8.3   Pengolahan Tanah berPH 4.50-5.50 dan Bertekstur Liat 60.01% - 100.00% atau Tanah Loam To Clay Loam per m3</t>
  </si>
  <si>
    <t>4.1.8.4   Pengolahan Tanah berPH 3.50-4.49 dan Bertekstur Liat 60.01% - 100.00% atau Tanah Sandy per m3</t>
  </si>
  <si>
    <t>4.1.8.5   Pengolahan Tanah berPH 3.50-4.49 dan Bertekstur Liat 40.01% - 60.00% atau Tanah Sandy Loam per m3</t>
  </si>
  <si>
    <t>4.1.8.6   Pengolahan Tanah berPH 3.50-4.49 dan Bertekstur Liat 60.01% -100.00% atau Tanah Loam To Clay Loam per m3</t>
  </si>
  <si>
    <t>4.1.8.7   Pengolahan Tanah berPH &gt;7.5 per m3</t>
  </si>
  <si>
    <t>4.1.8.8   Pengolahan Tanah berPH &gt;7.5 dan Bertekstur Pasir 60.01% - 100.00% atau Tanah Sandy per m3</t>
  </si>
  <si>
    <t>4.1.8.9 Pengolahan  Tanah  berPH  &gt;7.5  dan  Bertekstur  Liat  40.01%  - 60.00% atau Tanah Sandy Loam per m3</t>
  </si>
  <si>
    <t>4.1.8.10 Pengolahan  Tanah  berPH  &gt;7.5  dan  Bertekstur  Liat  60.01%  - 100.00% atau Tanah Loam To Clay Loam per m3</t>
  </si>
  <si>
    <t>4.2.3.3   Pemupukan Pupuk Anorganik Padat (1 kali) untuk 1 m2 Penutup Tanah/Rumput</t>
  </si>
  <si>
    <t>4.2.3.4   Pemupukan  pupuk  anorganik  cair  (1  kali)  untuk  1  buah pohon/palem</t>
  </si>
  <si>
    <t>4.2.3.5</t>
  </si>
  <si>
    <t>4.2.4.4    Pemangkasan    1    Buah    Palem   Sedang/Besar,   Termasuk Pengangkutan Keluar Area Tanam</t>
  </si>
  <si>
    <t>4.2.4.5   Pemangkasan 1 m2 Semak dengan Gunting Pangkas</t>
  </si>
  <si>
    <t>4.2.4.6  Pemangkasan 1 m2 Penutup Tanah dengan Gunting Pangkas</t>
  </si>
  <si>
    <t>4.2.4.7   Pemangkasan 1 m2 Rumput dengan Mesin Gendong</t>
  </si>
  <si>
    <t>4.2.4.8   Pemangkasan 1 m2 Rumput dengan Mesin Dorong</t>
  </si>
  <si>
    <r>
      <t xml:space="preserve">Palem ekor ikan tunggal/Palem seledri di </t>
    </r>
    <r>
      <rPr>
        <i/>
        <sz val="11"/>
        <color rgb="FF000000"/>
        <rFont val="Calibri"/>
        <family val="2"/>
        <scheme val="minor"/>
      </rPr>
      <t xml:space="preserve">Polybag 100 </t>
    </r>
    <r>
      <rPr>
        <sz val="11"/>
        <color rgb="FF000000"/>
        <rFont val="Calibri"/>
        <family val="2"/>
        <scheme val="minor"/>
      </rPr>
      <t>Liter</t>
    </r>
  </si>
  <si>
    <r>
      <t xml:space="preserve">Palem ekor ikan tunggal/Palem seledri di </t>
    </r>
    <r>
      <rPr>
        <i/>
        <sz val="11"/>
        <color rgb="FF000000"/>
        <rFont val="Calibri"/>
        <family val="2"/>
        <scheme val="minor"/>
      </rPr>
      <t xml:space="preserve">Polybag 150 </t>
    </r>
    <r>
      <rPr>
        <sz val="11"/>
        <color rgb="FF000000"/>
        <rFont val="Calibri"/>
        <family val="2"/>
        <scheme val="minor"/>
      </rPr>
      <t>Liter</t>
    </r>
  </si>
  <si>
    <r>
      <t xml:space="preserve">Palem Kol di </t>
    </r>
    <r>
      <rPr>
        <i/>
        <sz val="11"/>
        <color rgb="FF000000"/>
        <rFont val="Calibri"/>
        <family val="2"/>
        <scheme val="minor"/>
      </rPr>
      <t>Polybag 11</t>
    </r>
    <r>
      <rPr>
        <sz val="11"/>
        <color rgb="FF000000"/>
        <rFont val="Calibri"/>
        <family val="2"/>
        <scheme val="minor"/>
      </rPr>
      <t xml:space="preserve">
Liter</t>
    </r>
  </si>
  <si>
    <r>
      <t xml:space="preserve">Palem Kol di </t>
    </r>
    <r>
      <rPr>
        <i/>
        <sz val="11"/>
        <color rgb="FF000000"/>
        <rFont val="Calibri"/>
        <family val="2"/>
        <scheme val="minor"/>
      </rPr>
      <t>Polybag 20</t>
    </r>
    <r>
      <rPr>
        <sz val="11"/>
        <color rgb="FF000000"/>
        <rFont val="Calibri"/>
        <family val="2"/>
        <scheme val="minor"/>
      </rPr>
      <t xml:space="preserve">
Liter</t>
    </r>
  </si>
  <si>
    <r>
      <t xml:space="preserve">Palem Phonix di </t>
    </r>
    <r>
      <rPr>
        <i/>
        <sz val="11"/>
        <color rgb="FF000000"/>
        <rFont val="Calibri"/>
        <family val="2"/>
        <scheme val="minor"/>
      </rPr>
      <t>Polybag 50</t>
    </r>
    <r>
      <rPr>
        <sz val="11"/>
        <color rgb="FF000000"/>
        <rFont val="Calibri"/>
        <family val="2"/>
        <scheme val="minor"/>
      </rPr>
      <t xml:space="preserve">
Liter</t>
    </r>
  </si>
  <si>
    <r>
      <t xml:space="preserve">Palem Putri di </t>
    </r>
    <r>
      <rPr>
        <i/>
        <sz val="11"/>
        <color rgb="FF000000"/>
        <rFont val="Calibri"/>
        <family val="2"/>
        <scheme val="minor"/>
      </rPr>
      <t>Polybag 50</t>
    </r>
    <r>
      <rPr>
        <sz val="11"/>
        <color rgb="FF000000"/>
        <rFont val="Calibri"/>
        <family val="2"/>
        <scheme val="minor"/>
      </rPr>
      <t xml:space="preserve">
Liter</t>
    </r>
  </si>
  <si>
    <r>
      <t xml:space="preserve">Sikas Halus/Mawar Jambe  di </t>
    </r>
    <r>
      <rPr>
        <i/>
        <sz val="11"/>
        <color rgb="FF000000"/>
        <rFont val="Calibri"/>
        <family val="2"/>
        <scheme val="minor"/>
      </rPr>
      <t xml:space="preserve">Polybag </t>
    </r>
    <r>
      <rPr>
        <sz val="11"/>
        <color rgb="FF000000"/>
        <rFont val="Calibri"/>
        <family val="2"/>
        <scheme val="minor"/>
      </rPr>
      <t>25
Liter</t>
    </r>
  </si>
  <si>
    <t xml:space="preserve"> </t>
  </si>
  <si>
    <r>
      <t>4.1.5.2  Penanaman 1 m2 Penutup Tanah, Kacang Hias (</t>
    </r>
    <r>
      <rPr>
        <i/>
        <sz val="11"/>
        <color rgb="FF000000"/>
        <rFont val="Calibri"/>
        <family val="2"/>
        <scheme val="minor"/>
      </rPr>
      <t xml:space="preserve">Arachis Pintoi </t>
    </r>
    <r>
      <rPr>
        <sz val="11"/>
        <color rgb="FF000000"/>
        <rFont val="Calibri"/>
        <family val="2"/>
        <scheme val="minor"/>
      </rPr>
      <t>),36 Buah/ m2, Polybag 0.5 L</t>
    </r>
  </si>
  <si>
    <t>0,0268</t>
  </si>
  <si>
    <t>0,196</t>
  </si>
  <si>
    <t>0,136</t>
  </si>
  <si>
    <r>
      <t xml:space="preserve">Palem Rumpun (Palem Waregu)
di </t>
    </r>
    <r>
      <rPr>
        <i/>
        <sz val="11"/>
        <color rgb="FF000000"/>
        <rFont val="Calibri"/>
        <family val="2"/>
        <scheme val="minor"/>
      </rPr>
      <t xml:space="preserve">Polybag </t>
    </r>
    <r>
      <rPr>
        <sz val="11"/>
        <color rgb="FF000000"/>
        <rFont val="Calibri"/>
        <family val="2"/>
        <scheme val="minor"/>
      </rPr>
      <t>11 Liter</t>
    </r>
  </si>
  <si>
    <r>
      <t xml:space="preserve">Palem Rumpun (Palem Kuning)
di </t>
    </r>
    <r>
      <rPr>
        <i/>
        <sz val="11"/>
        <color rgb="FF000000"/>
        <rFont val="Calibri"/>
        <family val="2"/>
        <scheme val="minor"/>
      </rPr>
      <t xml:space="preserve">Polybag </t>
    </r>
    <r>
      <rPr>
        <sz val="11"/>
        <color rgb="FF000000"/>
        <rFont val="Calibri"/>
        <family val="2"/>
        <scheme val="minor"/>
      </rPr>
      <t>20 Liter</t>
    </r>
  </si>
  <si>
    <r>
      <t xml:space="preserve">Palem Rumpun (Palem Jepang)
di </t>
    </r>
    <r>
      <rPr>
        <i/>
        <sz val="11"/>
        <color rgb="FF000000"/>
        <rFont val="Calibri"/>
        <family val="2"/>
        <scheme val="minor"/>
      </rPr>
      <t xml:space="preserve">Polybag </t>
    </r>
    <r>
      <rPr>
        <sz val="11"/>
        <color rgb="FF000000"/>
        <rFont val="Calibri"/>
        <family val="2"/>
        <scheme val="minor"/>
      </rPr>
      <t>50 Liter</t>
    </r>
  </si>
  <si>
    <r>
      <t xml:space="preserve">Palem Tunggal (Palem Kol) di
</t>
    </r>
    <r>
      <rPr>
        <i/>
        <sz val="11"/>
        <color rgb="FF000000"/>
        <rFont val="Calibri"/>
        <family val="2"/>
        <scheme val="minor"/>
      </rPr>
      <t xml:space="preserve">Polybag </t>
    </r>
    <r>
      <rPr>
        <sz val="11"/>
        <color rgb="FF000000"/>
        <rFont val="Calibri"/>
        <family val="2"/>
        <scheme val="minor"/>
      </rPr>
      <t>11 Liter</t>
    </r>
  </si>
  <si>
    <r>
      <t xml:space="preserve">Palem Tunggal (Palem Kol) di
</t>
    </r>
    <r>
      <rPr>
        <i/>
        <sz val="11"/>
        <color rgb="FF000000"/>
        <rFont val="Calibri"/>
        <family val="2"/>
        <scheme val="minor"/>
      </rPr>
      <t xml:space="preserve">Polybag </t>
    </r>
    <r>
      <rPr>
        <sz val="11"/>
        <color rgb="FF000000"/>
        <rFont val="Calibri"/>
        <family val="2"/>
        <scheme val="minor"/>
      </rPr>
      <t>20 Liter</t>
    </r>
  </si>
  <si>
    <r>
      <t xml:space="preserve">Palem Tunggal (Sikas Halus) di
</t>
    </r>
    <r>
      <rPr>
        <i/>
        <sz val="11"/>
        <color rgb="FF000000"/>
        <rFont val="Calibri"/>
        <family val="2"/>
        <scheme val="minor"/>
      </rPr>
      <t xml:space="preserve">Polybag </t>
    </r>
    <r>
      <rPr>
        <sz val="11"/>
        <color rgb="FF000000"/>
        <rFont val="Calibri"/>
        <family val="2"/>
        <scheme val="minor"/>
      </rPr>
      <t>25 Liter</t>
    </r>
  </si>
  <si>
    <r>
      <t xml:space="preserve">Palem Tunggal (Palem Phoenix)
di </t>
    </r>
    <r>
      <rPr>
        <i/>
        <sz val="11"/>
        <color rgb="FF000000"/>
        <rFont val="Calibri"/>
        <family val="2"/>
        <scheme val="minor"/>
      </rPr>
      <t xml:space="preserve">Polybag </t>
    </r>
    <r>
      <rPr>
        <sz val="11"/>
        <color rgb="FF000000"/>
        <rFont val="Calibri"/>
        <family val="2"/>
        <scheme val="minor"/>
      </rPr>
      <t>50 Liter</t>
    </r>
  </si>
  <si>
    <r>
      <t xml:space="preserve">Palem Tunggal (Palem sadeng) di
</t>
    </r>
    <r>
      <rPr>
        <i/>
        <sz val="11"/>
        <color rgb="FF000000"/>
        <rFont val="Calibri"/>
        <family val="2"/>
        <scheme val="minor"/>
      </rPr>
      <t xml:space="preserve">Polybag </t>
    </r>
    <r>
      <rPr>
        <sz val="11"/>
        <color rgb="FF000000"/>
        <rFont val="Calibri"/>
        <family val="2"/>
        <scheme val="minor"/>
      </rPr>
      <t>100 Liter</t>
    </r>
  </si>
  <si>
    <r>
      <t xml:space="preserve">Palem Tunggal (Palem sadeng) di
</t>
    </r>
    <r>
      <rPr>
        <i/>
        <sz val="11"/>
        <color rgb="FF000000"/>
        <rFont val="Calibri"/>
        <family val="2"/>
        <scheme val="minor"/>
      </rPr>
      <t xml:space="preserve">Polybag </t>
    </r>
    <r>
      <rPr>
        <sz val="11"/>
        <color rgb="FF000000"/>
        <rFont val="Calibri"/>
        <family val="2"/>
        <scheme val="minor"/>
      </rPr>
      <t>150 Liter</t>
    </r>
  </si>
  <si>
    <t>4.1.1.3 Pengadaan dan Pengangkutan Pohon Kecil di Polybag 20 Liter</t>
  </si>
  <si>
    <t>4.1.1.5 Pengadaan dan Pengangkutan Pohon Kecil di Polybag 25 Liter</t>
  </si>
  <si>
    <t>4.1.1.7 Pengadaan dan Pengangkutan Pohon Sedang di Polybag 50 Liter</t>
  </si>
  <si>
    <t>4.1.1.9 Pengadaan dan Pengangkutan Pohon Sedang di Polybag 75 Liter</t>
  </si>
  <si>
    <t>4.1.1.11 Pengadaan dan Pengangkutan Pohon Besar di Polybag 100 Liter</t>
  </si>
  <si>
    <t>4.1.1.13 Pengadaan dan Pengangkutan Pohon Besar di Polybag 150 Liter</t>
  </si>
  <si>
    <t>4.1.1.15 Pengadaan dan Pengangkutan Pohon Besar di Polybag 200 Liter</t>
  </si>
  <si>
    <t>4.1.1.17 Pengadaan dan Pengangkutan Pohon Besar di Polybag 250 Liter</t>
  </si>
  <si>
    <t>4.1.1.19 Pengadaan dan Pengangkutan Palem Rumpun Kecil di Polybag 11 L</t>
  </si>
  <si>
    <t>4.1.1.21 Pengadaan dan Pengangkutan Palem Rumpun Kecil di Polybag 20 L</t>
  </si>
  <si>
    <t>4.1.1.23 Pengadaan dan Pengangkutan Palem Rumpun Besar di Polybag 50 L</t>
  </si>
  <si>
    <t>4.1.1.25 Pengadaan dan Pengangkutan Palem Tunggal Kecil di Polybag 11 L</t>
  </si>
  <si>
    <t>4.1.1.27 Pengadaan dan Pengangkutan Palem Tunggal Kecil di Polybag 20 L</t>
  </si>
  <si>
    <t>4.1.1.29 Pengadaan dan Pengangkutan Palem Tunggal Kecil di Polybag 25 L</t>
  </si>
  <si>
    <t>4.1.1.31 Pengadaan dan Pengangkutan Palem Tunggal Kecil di Polybag 50 L</t>
  </si>
  <si>
    <t>4.1.1.33 Pengadaan dan Pengangkutan Palem Tunggal Besar di Polybag 100 L</t>
  </si>
  <si>
    <t>4.1.1.35 Pengadaan dan Pengangkutan Palem Tunggal Besar di Polybag 150 L</t>
  </si>
  <si>
    <t>4.1.1.37 Pengadaan dan Pengangkutan Semak di Polybag 5 Liter</t>
  </si>
  <si>
    <t>4.1.1.39 Pengadaan dan Pengangkutan Semak di Polybag 11 Liter</t>
  </si>
  <si>
    <t>4.1.1.41 Pengadaan dan Pengangkutan Semak di Polybag 20 Liter</t>
  </si>
  <si>
    <t>polybag</t>
  </si>
  <si>
    <t>PEKERJAAN BARU</t>
  </si>
  <si>
    <t>REVISI</t>
  </si>
  <si>
    <t>DIBUAT BERDASARKAN SURAT EDARAN BINA KONSTRUKSI NO. 182 TAHUN 2025</t>
  </si>
  <si>
    <t xml:space="preserve">ANALISA HARGA SATUAN INI </t>
  </si>
  <si>
    <t>TERDIRI DARI HSP (HARGA SATUAN PEKERJAAN), AHS (ANALISA HARGA SATUAN), HSD (HARGA SATUAN DASAR) UPAH BAHAN ALAT</t>
  </si>
  <si>
    <t>Untuk pembuatan RAB harap diperhatikan penjumlahan dalam analisa karena bisa berubah setiap program excel sehingga mengakibatkan ketidak validan perhitungan</t>
  </si>
  <si>
    <t>BACA DULU :</t>
  </si>
  <si>
    <t>1. Program ini terdiri dari HSP (Harga Satuan Pekerjaan), AHS (Analisa harga satuan), HSD (Harga Satuan Dasar) Upah dan Bahan</t>
  </si>
  <si>
    <t>2. Cukup merubah harga HSD maka AHS dan HSP akan langsung berubah menyesuaikan</t>
  </si>
  <si>
    <t>3. AHS ini dibuat berdasarkan SE Bina Konstruksi No. 182 tahun 2025, sebagai update dari SE BK No. 30 Tahun 2025</t>
  </si>
  <si>
    <t>4. Untuk membuat RAB, cukup cari pekerjaan yang sesuai di HSP, lalu dari HSP cek AHS, dari AHS kemudian rubah harga bahan di HSD, otomatis AHS dan HSP akan berubah menyesuaikan, harga pada HSP bisa digunakan untuk RAB</t>
  </si>
  <si>
    <t>5. Harga default untuk Bahan dan alat adalah Rp.10.000 yang bisa diubah sesuai harga setempat</t>
  </si>
  <si>
    <t>AHS PEKERJAAN LANSEKAP</t>
  </si>
  <si>
    <t>No. Mata Pembayaran</t>
  </si>
  <si>
    <t>Harga Satuan (Rp)</t>
  </si>
  <si>
    <t xml:space="preserve">4.1.1 </t>
  </si>
  <si>
    <t>4.1</t>
  </si>
  <si>
    <t>4.1.1.2</t>
  </si>
  <si>
    <t xml:space="preserve">4.1.1.3 </t>
  </si>
  <si>
    <t xml:space="preserve">4.1.1.5 </t>
  </si>
  <si>
    <t>4.1.1.7</t>
  </si>
  <si>
    <t xml:space="preserve">4.1.1.9 </t>
  </si>
  <si>
    <t xml:space="preserve">4.1.1.11 </t>
  </si>
  <si>
    <t>4.1.1.13</t>
  </si>
  <si>
    <t xml:space="preserve">4.1.1.15 </t>
  </si>
  <si>
    <t>4.1.1.25</t>
  </si>
  <si>
    <t xml:space="preserve">4.1.1.17 </t>
  </si>
  <si>
    <t xml:space="preserve">4.1.1.19 </t>
  </si>
  <si>
    <t xml:space="preserve">4.1.1.21 </t>
  </si>
  <si>
    <t xml:space="preserve">4.1.1.23 </t>
  </si>
  <si>
    <t xml:space="preserve">4.1.1.27 </t>
  </si>
  <si>
    <t xml:space="preserve">4.1.1.29 </t>
  </si>
  <si>
    <t xml:space="preserve">4.1.1.31 </t>
  </si>
  <si>
    <t xml:space="preserve">4.1.1.33 </t>
  </si>
  <si>
    <t xml:space="preserve">4.1.1.35 </t>
  </si>
  <si>
    <t xml:space="preserve">4.1.1.37 </t>
  </si>
  <si>
    <t xml:space="preserve">4.1.1.39 </t>
  </si>
  <si>
    <t xml:space="preserve">4.1.1.41 </t>
  </si>
  <si>
    <t>PEKERJAAN LANSEKAP</t>
  </si>
  <si>
    <t>PEKERJAAN PENANAMAN TANAMAN</t>
  </si>
  <si>
    <t>HSD Pengadaan dan Pengangkutan Tanaman</t>
  </si>
  <si>
    <t>Analisis Produktivitas Truck Angkutan Pohon kecil di Polybag 20 L</t>
  </si>
  <si>
    <t>Pengadaan dan Pengangkutan Pohon Kecil di Polybag 20 Liter</t>
  </si>
  <si>
    <t>Pengadaan dan Pengangkutan Pohon Kecil di Polybag 25 Liter</t>
  </si>
  <si>
    <t>Pengadaan dan Pengangkutan Pohon Sedang di Polybag 50 Liter</t>
  </si>
  <si>
    <t>Pengadaan dan Pengangkutan Pohon Sedang di Polybag 75 Liter</t>
  </si>
  <si>
    <t>Pengadaan dan Pengangkutan Pohon Besar di Polybag 100 Liter</t>
  </si>
  <si>
    <t>Pengadaan dan Pengangkutan Pohon Besar di Polybag 150 Liter</t>
  </si>
  <si>
    <t>Pengadaan dan Pengangkutan Pohon Besar di Polybag 200 Liter</t>
  </si>
  <si>
    <t>Pengadaan dan Pengangkutan Pohon Besar di Polybag 250 Liter</t>
  </si>
  <si>
    <t>Pengadaan dan Pengangkutan Palem Rumpun Kecil di Polybag 11 L</t>
  </si>
  <si>
    <t>Pengadaan dan Pengangkutan Palem Rumpun Kecil di Polybag 20 L</t>
  </si>
  <si>
    <t>Pengadaan dan Pengangkutan Palem Rumpun Besar di Polybag 50 L</t>
  </si>
  <si>
    <t>Pengadaan dan Pengangkutan Palem Tunggal Kecil di Polybag 11 L</t>
  </si>
  <si>
    <t>Pengadaan dan Pengangkutan Palem Tunggal Kecil di Polybag 20 L</t>
  </si>
  <si>
    <t>Pengadaan dan Pengangkutan Palem Tunggal Kecil di Polybag 25 L</t>
  </si>
  <si>
    <t>Pengadaan dan Pengangkutan Palem Tunggal Kecil di Polybag 50 L</t>
  </si>
  <si>
    <t>Pengadaan dan Pengangkutan Palem Tunggal Besar di Polybag 100 L</t>
  </si>
  <si>
    <t>Pengadaan dan Pengangkutan Palem Tunggal Besar di Polybag 150 L</t>
  </si>
  <si>
    <t>Pengadaan dan Pengangkutan Semak di Polybag 5 Liter</t>
  </si>
  <si>
    <t>Pengadaan dan Pengangkutan Semak di Polybag 11 Liter</t>
  </si>
  <si>
    <t>Pengadaan dan Pengangkutan Semak di Polybag 20 Liter</t>
  </si>
  <si>
    <t>Pengadaan dan Pengangkutan Penutup Tanah</t>
  </si>
  <si>
    <t>Pengadaan dan Pengangkutan Rumput</t>
  </si>
  <si>
    <t>4.1.2</t>
  </si>
  <si>
    <t>4.1.2.1</t>
  </si>
  <si>
    <t xml:space="preserve">4.1.2.1.1 </t>
  </si>
  <si>
    <t>4.1.2.1.2</t>
  </si>
  <si>
    <t>4.1.2.1.3</t>
  </si>
  <si>
    <t>4.1.2.1.4</t>
  </si>
  <si>
    <t>4.1.2.1.5</t>
  </si>
  <si>
    <t>4.1.2.1.6</t>
  </si>
  <si>
    <t>4.1.2.1.7</t>
  </si>
  <si>
    <t>4.1.2.1.8</t>
  </si>
  <si>
    <t>4.1.2.1.9</t>
  </si>
  <si>
    <t>4.1.2.1.10</t>
  </si>
  <si>
    <t>4.1.2.1.11</t>
  </si>
  <si>
    <t>4.1.2.1.12</t>
  </si>
  <si>
    <t>4.1.2.1.13</t>
  </si>
  <si>
    <t>4.1.2.1.14</t>
  </si>
  <si>
    <t>4.1.2.1.15</t>
  </si>
  <si>
    <t>4.1.2.1.16</t>
  </si>
  <si>
    <t>4.1.2.1.17</t>
  </si>
  <si>
    <t>4.1.2.2</t>
  </si>
  <si>
    <t>4.1.2.2.1</t>
  </si>
  <si>
    <t>4.1.2.2.2</t>
  </si>
  <si>
    <t>4.1.2.2.3</t>
  </si>
  <si>
    <t>4.1.2.2.4</t>
  </si>
  <si>
    <t>4.1.2.2.5</t>
  </si>
  <si>
    <t>4.1.2.2.6</t>
  </si>
  <si>
    <t>4.1.2.2.7</t>
  </si>
  <si>
    <t>4.1.2.2.8</t>
  </si>
  <si>
    <t>4.1.2.2.9</t>
  </si>
  <si>
    <t>4.1.2.2.10</t>
  </si>
  <si>
    <t>4.1.2.2.11</t>
  </si>
  <si>
    <t>4.1.2.2.12</t>
  </si>
  <si>
    <t xml:space="preserve">4.1.2.3  </t>
  </si>
  <si>
    <t xml:space="preserve">4.1.2.3.1 </t>
  </si>
  <si>
    <t>4.1.2.3.2</t>
  </si>
  <si>
    <t>4.1.2.3.3</t>
  </si>
  <si>
    <t>4.1.2.3.4</t>
  </si>
  <si>
    <t>4.1.2.3.5</t>
  </si>
  <si>
    <t>4.1.2.3.6</t>
  </si>
  <si>
    <t>4.1.2.3.7</t>
  </si>
  <si>
    <t>4.1.2.3.8</t>
  </si>
  <si>
    <t>4.1.2.3.9</t>
  </si>
  <si>
    <t>4.1.2.3.10</t>
  </si>
  <si>
    <t>4.1.2.3.11</t>
  </si>
  <si>
    <t>4.1.2.3.12</t>
  </si>
  <si>
    <t>4.1.2.3.13</t>
  </si>
  <si>
    <t>4.1.2.3.14</t>
  </si>
  <si>
    <t xml:space="preserve">4.1.2.4 </t>
  </si>
  <si>
    <t xml:space="preserve">4.1.2.4.1 </t>
  </si>
  <si>
    <t>4.1.2.4.2</t>
  </si>
  <si>
    <t>4.1.2.4.3</t>
  </si>
  <si>
    <t>4.1.2.4.4</t>
  </si>
  <si>
    <t>4.1.2.4.5</t>
  </si>
  <si>
    <t>4.1.2.4.6</t>
  </si>
  <si>
    <t>4.1.2.4.7</t>
  </si>
  <si>
    <t>4.1.2.4.8</t>
  </si>
  <si>
    <t>4.1.2.4.9</t>
  </si>
  <si>
    <t>4.1.2.4.10</t>
  </si>
  <si>
    <t>4.1.2.4.11</t>
  </si>
  <si>
    <t>4.1.2.4.12</t>
  </si>
  <si>
    <t>4.1.2.4.13</t>
  </si>
  <si>
    <t>4.1.2.4.14</t>
  </si>
  <si>
    <t>4.1.2.4.15</t>
  </si>
  <si>
    <t>4.1.2.4.16</t>
  </si>
  <si>
    <t>4.1.2.4.17</t>
  </si>
  <si>
    <t>4.1.2.4.18</t>
  </si>
  <si>
    <t>4.1.2.4.19</t>
  </si>
  <si>
    <t>4.1.2.4.20</t>
  </si>
  <si>
    <t>4.1.2.4.21</t>
  </si>
  <si>
    <t>4.1.2.4.22</t>
  </si>
  <si>
    <t xml:space="preserve">4.1.2.5 </t>
  </si>
  <si>
    <t>4.1.2.5.1</t>
  </si>
  <si>
    <t>4.1.2.5.2</t>
  </si>
  <si>
    <t>4.1.2.5.3</t>
  </si>
  <si>
    <t>4.1.2.5.4</t>
  </si>
  <si>
    <t>4.1.2.5.5</t>
  </si>
  <si>
    <t>4.1.2.5.6</t>
  </si>
  <si>
    <t>4.1.2.5.7</t>
  </si>
  <si>
    <t>4.1.2.5.8</t>
  </si>
  <si>
    <t>4.1.2.5.9</t>
  </si>
  <si>
    <t>4.1.2.5.10</t>
  </si>
  <si>
    <t>4.1.2.5.11</t>
  </si>
  <si>
    <t>4.1.2.5.12</t>
  </si>
  <si>
    <t>4.1.2.5.13</t>
  </si>
  <si>
    <t>4.1.2.5.14</t>
  </si>
  <si>
    <t xml:space="preserve">4.1.2.6 </t>
  </si>
  <si>
    <t xml:space="preserve">4.1.2.6.1 </t>
  </si>
  <si>
    <t>4.1.2.6.2</t>
  </si>
  <si>
    <t>4.1.2.6.3</t>
  </si>
  <si>
    <t>4.1.2.6.4</t>
  </si>
  <si>
    <t>4.1.2.6.5</t>
  </si>
  <si>
    <t>4.1.2.6.6</t>
  </si>
  <si>
    <t>4.1.2.6.7</t>
  </si>
  <si>
    <t>4.1.2.6.8</t>
  </si>
  <si>
    <t>4.1.2.7</t>
  </si>
  <si>
    <t>4.1.2.7.1</t>
  </si>
  <si>
    <t>4.1.2.7.2</t>
  </si>
  <si>
    <t>4.1.2.7.3</t>
  </si>
  <si>
    <t>4.1.2.7.4</t>
  </si>
  <si>
    <t>4.1.2.7.5</t>
  </si>
  <si>
    <t>4.1.2.7.6</t>
  </si>
  <si>
    <t>4.1.2.7.7</t>
  </si>
  <si>
    <t xml:space="preserve">4.1.2.8 </t>
  </si>
  <si>
    <t xml:space="preserve">4.1.2.8.1 </t>
  </si>
  <si>
    <t>4.1.2.8.2</t>
  </si>
  <si>
    <t>4.1.2.8.3</t>
  </si>
  <si>
    <t>4.1.2.8.4</t>
  </si>
  <si>
    <t>4.1.2.8.5</t>
  </si>
  <si>
    <t>4.1.2.8.6</t>
  </si>
  <si>
    <t>4.1.2.8.7</t>
  </si>
  <si>
    <t xml:space="preserve">4.1.3 </t>
  </si>
  <si>
    <t xml:space="preserve">4.1.3.1 </t>
  </si>
  <si>
    <t>4.1.3.1.1</t>
  </si>
  <si>
    <t>4.1.3.1.2</t>
  </si>
  <si>
    <t>4.1.3.1.3</t>
  </si>
  <si>
    <t xml:space="preserve">4.1.3.2  </t>
  </si>
  <si>
    <t xml:space="preserve">4.1.3.2.1 </t>
  </si>
  <si>
    <t>4.1.3.2.2</t>
  </si>
  <si>
    <t>4.1.3.2.3</t>
  </si>
  <si>
    <t>4.1.3.3</t>
  </si>
  <si>
    <t xml:space="preserve">4.1.3.3.1 </t>
  </si>
  <si>
    <t>4.1.3.3.2</t>
  </si>
  <si>
    <t>4.1.3.3.3</t>
  </si>
  <si>
    <t xml:space="preserve">4.1.3.4 </t>
  </si>
  <si>
    <t>4.1.3.4.1</t>
  </si>
  <si>
    <t>4.1.3.4.2</t>
  </si>
  <si>
    <t>4.1.3.4.3</t>
  </si>
  <si>
    <t xml:space="preserve">4.1.3.5 </t>
  </si>
  <si>
    <t xml:space="preserve">4.1.3.5.1 </t>
  </si>
  <si>
    <t>4.1.3.5.2</t>
  </si>
  <si>
    <t>4.1.3.5.3</t>
  </si>
  <si>
    <t>4.1.3.6</t>
  </si>
  <si>
    <t>4.1.3.6.1</t>
  </si>
  <si>
    <t>4.1.3.6.2</t>
  </si>
  <si>
    <t>4.1.3.6.3</t>
  </si>
  <si>
    <t>4.1.3.6.4</t>
  </si>
  <si>
    <t>4.1.3.6.5</t>
  </si>
  <si>
    <t>4.1.3.6.6</t>
  </si>
  <si>
    <t>4.1.3.6.7</t>
  </si>
  <si>
    <t>4.1.3.6.8</t>
  </si>
  <si>
    <t xml:space="preserve">4.1.3.7  </t>
  </si>
  <si>
    <t>4.1.3.7.1</t>
  </si>
  <si>
    <t>4.1.3.7.2</t>
  </si>
  <si>
    <t>4.1.3.7.3</t>
  </si>
  <si>
    <t>4.1.3.7.4</t>
  </si>
  <si>
    <t>4.1.3.7.5</t>
  </si>
  <si>
    <t>4.1.3.7.6</t>
  </si>
  <si>
    <t>4.1.3.7.7</t>
  </si>
  <si>
    <t>4.1.3.7.8</t>
  </si>
  <si>
    <t xml:space="preserve">4.1.4 </t>
  </si>
  <si>
    <t>4.1.4.1</t>
  </si>
  <si>
    <t xml:space="preserve">4.1.4.1.1 </t>
  </si>
  <si>
    <t>4.1.4.1.2</t>
  </si>
  <si>
    <t>4.1.4.1.3</t>
  </si>
  <si>
    <t>4.1.4.1.4</t>
  </si>
  <si>
    <t>4.1.4.1.5</t>
  </si>
  <si>
    <t>4.1.4.1.6</t>
  </si>
  <si>
    <t>4.1.4.1.7</t>
  </si>
  <si>
    <t>4.1.4.1.8</t>
  </si>
  <si>
    <t>4.1.4.1.9</t>
  </si>
  <si>
    <t>4.1.4.1.10</t>
  </si>
  <si>
    <t>4.1.4.1.11</t>
  </si>
  <si>
    <t>4.1.4.1.12</t>
  </si>
  <si>
    <t>4.1.4.1.13</t>
  </si>
  <si>
    <t>4.1.4.1.14</t>
  </si>
  <si>
    <t>4.1.4.1.15</t>
  </si>
  <si>
    <t>4.1.4.1.16</t>
  </si>
  <si>
    <t>4.1.4.1.17</t>
  </si>
  <si>
    <t>4.1.4.1.18</t>
  </si>
  <si>
    <t>4.1.4.1.19</t>
  </si>
  <si>
    <t>4.1.4.1.20</t>
  </si>
  <si>
    <t>4.1.4.1.21</t>
  </si>
  <si>
    <t xml:space="preserve">4.1.4.2 </t>
  </si>
  <si>
    <t>4.1.4.2.1</t>
  </si>
  <si>
    <t>4.1.4.2.2</t>
  </si>
  <si>
    <t>4.1.4.2.3</t>
  </si>
  <si>
    <t>4.1.4.2.4</t>
  </si>
  <si>
    <t>4.1.4.2.5</t>
  </si>
  <si>
    <t>4.1.4.2.6</t>
  </si>
  <si>
    <t>4.1.4.2.7</t>
  </si>
  <si>
    <t>4.1.4.2.8</t>
  </si>
  <si>
    <t>4.1.4.2.9</t>
  </si>
  <si>
    <t>4.1.4.2.10</t>
  </si>
  <si>
    <t>4.1.4.2.11</t>
  </si>
  <si>
    <t>4.1.4.2.12</t>
  </si>
  <si>
    <t>4.1.4.2.13</t>
  </si>
  <si>
    <t>4.1.4.2.14</t>
  </si>
  <si>
    <t>4.1.4.2.15</t>
  </si>
  <si>
    <t>4.1.4.2.16</t>
  </si>
  <si>
    <t>4.1.4.2.17</t>
  </si>
  <si>
    <t>4.1.4.2.18</t>
  </si>
  <si>
    <t>4.1.4.2.19</t>
  </si>
  <si>
    <t>4.1.4.2.20</t>
  </si>
  <si>
    <t>4.1.4.2.21</t>
  </si>
  <si>
    <t>4.1.4.2.22</t>
  </si>
  <si>
    <t>4.1.4.2.23</t>
  </si>
  <si>
    <t>4.1.4.2.24</t>
  </si>
  <si>
    <t>4.1.4.2.25</t>
  </si>
  <si>
    <t>4.1.4.2.26</t>
  </si>
  <si>
    <t>4.1.4.2.27</t>
  </si>
  <si>
    <t>4.1.4.2.28</t>
  </si>
  <si>
    <t>4.1.4.2.29</t>
  </si>
  <si>
    <t>4.1.4.2.30</t>
  </si>
  <si>
    <t>4.1.4.2.31</t>
  </si>
  <si>
    <t xml:space="preserve">4.1.4.3 </t>
  </si>
  <si>
    <t xml:space="preserve">4.1.4.3.1 </t>
  </si>
  <si>
    <t>4.1.4.3.2</t>
  </si>
  <si>
    <t>4.1.4.3.3</t>
  </si>
  <si>
    <t>4.1.4.3.4</t>
  </si>
  <si>
    <t>4.1.4.3.5</t>
  </si>
  <si>
    <t>4.1.4.3.6</t>
  </si>
  <si>
    <t>4.1.4.3.7</t>
  </si>
  <si>
    <t>4.1.4.3.8</t>
  </si>
  <si>
    <t>4.1.4.3.9</t>
  </si>
  <si>
    <t>4.1.4.3.10</t>
  </si>
  <si>
    <t>4.1.4.3.11</t>
  </si>
  <si>
    <t>4.1.4.3.12</t>
  </si>
  <si>
    <t>4.1.4.3.13</t>
  </si>
  <si>
    <t>4.1.4.3.14</t>
  </si>
  <si>
    <t>4.1.4.3.15</t>
  </si>
  <si>
    <t>4.1.4.3.16</t>
  </si>
  <si>
    <t>4.1.4.3.17</t>
  </si>
  <si>
    <t>4.1.4.3.18</t>
  </si>
  <si>
    <t>4.1.4.3.19</t>
  </si>
  <si>
    <t>4.1.4.3.20</t>
  </si>
  <si>
    <t xml:space="preserve">4.1.5    </t>
  </si>
  <si>
    <t xml:space="preserve">4.1.5.1 </t>
  </si>
  <si>
    <t>4.1.5.2</t>
  </si>
  <si>
    <t>4.1.5.3</t>
  </si>
  <si>
    <t>4.1.5.4</t>
  </si>
  <si>
    <t>4.1.5.5</t>
  </si>
  <si>
    <t>4.1.5.6</t>
  </si>
  <si>
    <t>4.1.6</t>
  </si>
  <si>
    <t xml:space="preserve">4.1.6.1  </t>
  </si>
  <si>
    <t>4.1.6.2</t>
  </si>
  <si>
    <t>4.1.6.3</t>
  </si>
  <si>
    <t>4.1.6.4</t>
  </si>
  <si>
    <t>4.1.7.10</t>
  </si>
  <si>
    <t>4.1.7.11</t>
  </si>
  <si>
    <t>4.1.7.12</t>
  </si>
  <si>
    <t>4.1.8</t>
  </si>
  <si>
    <t>4.1.8.2</t>
  </si>
  <si>
    <t>4.1.8.3</t>
  </si>
  <si>
    <t>4.1.8.4</t>
  </si>
  <si>
    <t>4.1.8.5</t>
  </si>
  <si>
    <t>4.1.8.6</t>
  </si>
  <si>
    <t>4.1.8.7</t>
  </si>
  <si>
    <t>4.1.8.8</t>
  </si>
  <si>
    <t>4.1.8.9</t>
  </si>
  <si>
    <t>4.1.8.10</t>
  </si>
  <si>
    <t xml:space="preserve">4.1.9     </t>
  </si>
  <si>
    <t xml:space="preserve">4.1.9.1   </t>
  </si>
  <si>
    <t>4.1.9.2</t>
  </si>
  <si>
    <t>4.1.9.3</t>
  </si>
  <si>
    <t xml:space="preserve">4.1.10   </t>
  </si>
  <si>
    <t>4.1.10.1</t>
  </si>
  <si>
    <t>4.1.10.2</t>
  </si>
  <si>
    <t>4.1.10.3</t>
  </si>
  <si>
    <t>4.1.10.4</t>
  </si>
  <si>
    <t>4.1.10.5</t>
  </si>
  <si>
    <t xml:space="preserve">4.1.11    </t>
  </si>
  <si>
    <t xml:space="preserve">4.1.11.1 </t>
  </si>
  <si>
    <t>4.1.11.2</t>
  </si>
  <si>
    <t>4.1.11.3</t>
  </si>
  <si>
    <t>4.1.11.4</t>
  </si>
  <si>
    <t>4.1.11.5</t>
  </si>
  <si>
    <t>4.1.11.6</t>
  </si>
  <si>
    <t>4.1.11.7</t>
  </si>
  <si>
    <t>4.1.11.8</t>
  </si>
  <si>
    <t>4.1.11.9</t>
  </si>
  <si>
    <t>4.1.11.10</t>
  </si>
  <si>
    <t xml:space="preserve">4.1.12   </t>
  </si>
  <si>
    <t xml:space="preserve">4.1.12.1 </t>
  </si>
  <si>
    <t>4.1.12.2</t>
  </si>
  <si>
    <t>4.1.12.3</t>
  </si>
  <si>
    <t xml:space="preserve">4.1.13    </t>
  </si>
  <si>
    <t>4.1.13.1</t>
  </si>
  <si>
    <t>4.1.13.2</t>
  </si>
  <si>
    <t>4.1.13.3</t>
  </si>
  <si>
    <t>4.1.13.4</t>
  </si>
  <si>
    <t>4.1.13.5</t>
  </si>
  <si>
    <t>4.1.13.6</t>
  </si>
  <si>
    <t xml:space="preserve">4.2. </t>
  </si>
  <si>
    <t xml:space="preserve">4.2.1.   </t>
  </si>
  <si>
    <t xml:space="preserve">4.2.1.1   </t>
  </si>
  <si>
    <t>4.2.1.2</t>
  </si>
  <si>
    <t xml:space="preserve">4.2.2.   </t>
  </si>
  <si>
    <t xml:space="preserve">4.2.2.1   </t>
  </si>
  <si>
    <t xml:space="preserve">4.2.2.2   </t>
  </si>
  <si>
    <t>4.2.3.1</t>
  </si>
  <si>
    <t xml:space="preserve">4.2.4.1  </t>
  </si>
  <si>
    <t>4.2.4.2</t>
  </si>
  <si>
    <t>4.2.4.3</t>
  </si>
  <si>
    <t>4.2.4.4</t>
  </si>
  <si>
    <t>4.2.4.5</t>
  </si>
  <si>
    <t>4.2.4.6</t>
  </si>
  <si>
    <t>4.2.4.7</t>
  </si>
  <si>
    <t>4.2.4.8</t>
  </si>
  <si>
    <t xml:space="preserve">4.2.4     </t>
  </si>
  <si>
    <t>4.2.3.2</t>
  </si>
  <si>
    <t>4.2.3.3</t>
  </si>
  <si>
    <t>4.2.3.4</t>
  </si>
  <si>
    <t xml:space="preserve">4.2.5    </t>
  </si>
  <si>
    <t xml:space="preserve">4.2.5.1 </t>
  </si>
  <si>
    <t>4.2.5.2</t>
  </si>
  <si>
    <t>4.2.5.3</t>
  </si>
  <si>
    <t xml:space="preserve">4.2.6.1  </t>
  </si>
  <si>
    <t xml:space="preserve">4.2.6      </t>
  </si>
  <si>
    <t xml:space="preserve">4.2.7     </t>
  </si>
  <si>
    <t xml:space="preserve">4.2.7.1  </t>
  </si>
  <si>
    <t xml:space="preserve">4.2.7.2   </t>
  </si>
  <si>
    <t xml:space="preserve">4.3.  </t>
  </si>
  <si>
    <t xml:space="preserve">4.3.1 </t>
  </si>
  <si>
    <t>PEKERJAAN HARDSCAPE DAN STREET FURNITURE</t>
  </si>
  <si>
    <t>Pembuatan dan Pemasangan 1 Buah Tong Sampah Kaleng 2 Tabung</t>
  </si>
  <si>
    <t>Pencabutan Gulma</t>
  </si>
  <si>
    <t>Pencabutan Gulma (Intensitas Gulma di Atas 50%) 1 m2 Rumput</t>
  </si>
  <si>
    <t>Pencabutan Gulma (Intensitas Gulma di Atas 20%) 1 m2 Rumput</t>
  </si>
  <si>
    <t>Pembersihan Lahan (Menyapu)</t>
  </si>
  <si>
    <t>Pembersihan (Penyapuan) 1 m2 Area Tanam</t>
  </si>
  <si>
    <t>Penanaman Pohon</t>
  </si>
  <si>
    <t>Pohon Kecil, Polybag 20 L</t>
  </si>
  <si>
    <t xml:space="preserve">Penanaman 1 Buah Pohon Kecil Bunga Mentega (Nerium Oleander) Diameter 1-2 cm, Tinggi 2-2,5 Meter, Polybag 20 L </t>
  </si>
  <si>
    <t>Penanaman  1  Buah  Pohon  Kecil  Bunga  Terompet  Kuning (Tecoma Stans) Diameter 1-2 cm, Tinggi 2-2,5 meter, Polybag 20L</t>
  </si>
  <si>
    <t>Penanaman 1 Buah Pohon Kecil Bungur Sakura/Bungur Jepang (Lagerstroemia Indica) Diameter 1-2 cm, Tinggi 2-2,5 meter, Polybag 20 L</t>
  </si>
  <si>
    <r>
      <t xml:space="preserve">Penanaman 1 Buah Pohon Kecil </t>
    </r>
    <r>
      <rPr>
        <i/>
        <sz val="11"/>
        <color rgb="FF000000"/>
        <rFont val="Calibri"/>
        <family val="2"/>
        <scheme val="minor"/>
      </rPr>
      <t>Cassia Glauca</t>
    </r>
    <r>
      <rPr>
        <sz val="11"/>
        <color rgb="FF000000"/>
        <rFont val="Calibri"/>
        <family val="2"/>
        <scheme val="minor"/>
      </rPr>
      <t>/Hujan Emas (Senna Surattensis) Diameter 1-2 cm, Tinggi 2-2,5 meter, Polybag 20 L</t>
    </r>
  </si>
  <si>
    <r>
      <t xml:space="preserve">Penanaman  1  Buah  Pohon  Kecil  </t>
    </r>
    <r>
      <rPr>
        <b/>
        <i/>
        <sz val="11"/>
        <color rgb="FF000000"/>
        <rFont val="Calibri"/>
        <family val="2"/>
        <scheme val="minor"/>
      </rPr>
      <t>Dracaena  ‘Song  of  India’ (Dracaena Reflexa "Song of India") Diameter 1-2 cm, Tinggi 2-2,5 meter, Polybag 20 L</t>
    </r>
  </si>
  <si>
    <r>
      <t xml:space="preserve">Penanaman 1 Buah Pohon Kecil </t>
    </r>
    <r>
      <rPr>
        <i/>
        <sz val="11"/>
        <color rgb="FF000000"/>
        <rFont val="Calibri"/>
        <family val="2"/>
        <scheme val="minor"/>
      </rPr>
      <t xml:space="preserve">Dracaena 'Song of Jamaica' (Dracaena Reflexa "Song of Jamaica") </t>
    </r>
    <r>
      <rPr>
        <sz val="11"/>
        <color rgb="FF000000"/>
        <rFont val="Calibri"/>
        <family val="2"/>
        <scheme val="minor"/>
      </rPr>
      <t>Diameter 1-2 cm, Tinggi 2-2,5 meter, Polybag 20 L</t>
    </r>
  </si>
  <si>
    <r>
      <t xml:space="preserve">Penanaman  1  Buah  Pohon  Kecil  Jarak  Batavia  </t>
    </r>
    <r>
      <rPr>
        <i/>
        <sz val="11"/>
        <color rgb="FF000000"/>
        <rFont val="Calibri"/>
        <family val="2"/>
        <scheme val="minor"/>
      </rPr>
      <t>(Jatropha Integerrima) Diameter 1-2 cm, Tinggi 2-2,5 meter, Polybag 20 L</t>
    </r>
  </si>
  <si>
    <r>
      <t xml:space="preserve">Penanaman 1 Buah Pohon Kecil Kayu Putih Kuning </t>
    </r>
    <r>
      <rPr>
        <i/>
        <sz val="11"/>
        <color rgb="FF000000"/>
        <rFont val="Calibri"/>
        <family val="2"/>
        <scheme val="minor"/>
      </rPr>
      <t>(Melaleuca Revolution Gold) Diameter 1-2 cm, Tinggi 2-2,5 meter, Polybag 20L</t>
    </r>
  </si>
  <si>
    <t>Penanaman   1   Buah   Pohon   Kecil   Bugenvil/Bunga   Kertas (Bougainvillea sp.) Diameter 1-2 cm, Tinggi 2-2,5 meter, Polybag 20L</t>
  </si>
  <si>
    <r>
      <t xml:space="preserve">Penanaman 1 Buah Pohon Kecil Penda Merah </t>
    </r>
    <r>
      <rPr>
        <i/>
        <sz val="11"/>
        <color rgb="FF000000"/>
        <rFont val="Calibri"/>
        <family val="2"/>
        <scheme val="minor"/>
      </rPr>
      <t>(Xanthostemon Youngii) Diameter 1-2 cm, Tinggi 2-2,5 meter, Polybag 20 L</t>
    </r>
  </si>
  <si>
    <r>
      <t xml:space="preserve">Penanaman  1  Buah  Pohon  Kecil  Pucuk  Merah  </t>
    </r>
    <r>
      <rPr>
        <i/>
        <sz val="11"/>
        <color rgb="FF000000"/>
        <rFont val="Calibri"/>
        <family val="2"/>
        <scheme val="minor"/>
      </rPr>
      <t>(Syzygium Myrtifolium) Diameter 1-2 cm, Tinggi 2-2,5 meter, Polybag 20 L</t>
    </r>
  </si>
  <si>
    <r>
      <t xml:space="preserve">Penanaman  1  Buah  Pohon  Kecil  Sikat  Botol  </t>
    </r>
    <r>
      <rPr>
        <i/>
        <sz val="11"/>
        <color rgb="FF000000"/>
        <rFont val="Calibri"/>
        <family val="2"/>
        <scheme val="minor"/>
      </rPr>
      <t>(Callistemon Viminalis) Diameter 1-2 cm, Tinggi 2-2,5 meter, Polybag 20 L</t>
    </r>
  </si>
  <si>
    <r>
      <t xml:space="preserve">Penanaman 1 Buah Pohon Kecil </t>
    </r>
    <r>
      <rPr>
        <i/>
        <sz val="11"/>
        <color rgb="FF000000"/>
        <rFont val="Calibri"/>
        <family val="2"/>
        <scheme val="minor"/>
      </rPr>
      <t>Thevetia (Thevetia Peruviana) Diameter 1-2 cm, Tinggi 2-2,5 meter, Polybag 20 L</t>
    </r>
  </si>
  <si>
    <r>
      <t xml:space="preserve">Penanaman 1 Buah Pohon Kecil Turi </t>
    </r>
    <r>
      <rPr>
        <i/>
        <sz val="11"/>
        <color rgb="FF000000"/>
        <rFont val="Calibri"/>
        <family val="2"/>
        <scheme val="minor"/>
      </rPr>
      <t>(Sesbania Grandiflora) Diameter 1-2 cm, Tinggi 2-2,5 meter, Polybag 20 L</t>
    </r>
  </si>
  <si>
    <r>
      <t xml:space="preserve">Penanaman 1 Buah Pohon Kecil Kembang Merak </t>
    </r>
    <r>
      <rPr>
        <i/>
        <sz val="11"/>
        <color rgb="FF000000"/>
        <rFont val="Calibri"/>
        <family val="2"/>
        <scheme val="minor"/>
      </rPr>
      <t>(Caesalpinia Pulcherrima) Diameter 1-2 cm, Tinggi 2-2,5 meter, Polybag 20L</t>
    </r>
  </si>
  <si>
    <r>
      <t xml:space="preserve">Penanaman  1  Buah  Pohon  Kecil  Pandan  Bali  </t>
    </r>
    <r>
      <rPr>
        <i/>
        <sz val="11"/>
        <color rgb="FF000000"/>
        <rFont val="Calibri"/>
        <family val="2"/>
        <scheme val="minor"/>
      </rPr>
      <t>(Cordyline Australis) Diameter 1-2 cm, Tinggi 2-2,5 meter, Polybag 20 L</t>
    </r>
  </si>
  <si>
    <r>
      <t xml:space="preserve">Penanaman 1 Buah Pohon Kecil </t>
    </r>
    <r>
      <rPr>
        <i/>
        <sz val="11"/>
        <color rgb="FF000000"/>
        <rFont val="Calibri"/>
        <family val="2"/>
        <scheme val="minor"/>
      </rPr>
      <t xml:space="preserve">Yucca (Yucca sp.) </t>
    </r>
    <r>
      <rPr>
        <sz val="11"/>
        <color rgb="FF000000"/>
        <rFont val="Calibri"/>
        <family val="2"/>
        <scheme val="minor"/>
      </rPr>
      <t>Diameter 1-2 cm, Tinggi 2-2,5 meter, Polybag 20 L</t>
    </r>
  </si>
  <si>
    <r>
      <t xml:space="preserve">Pohon Kecil, </t>
    </r>
    <r>
      <rPr>
        <i/>
        <sz val="11"/>
        <color rgb="FF000000"/>
        <rFont val="Calibri"/>
        <family val="2"/>
        <scheme val="minor"/>
      </rPr>
      <t xml:space="preserve">Polybag </t>
    </r>
    <r>
      <rPr>
        <sz val="11"/>
        <color rgb="FF000000"/>
        <rFont val="Calibri"/>
        <family val="2"/>
        <scheme val="minor"/>
      </rPr>
      <t>25 L</t>
    </r>
  </si>
  <si>
    <r>
      <t xml:space="preserve">Penanaman  1  Buah  Pohon  Kecil  Bunga  Mentega  </t>
    </r>
    <r>
      <rPr>
        <i/>
        <sz val="11"/>
        <color rgb="FF000000"/>
        <rFont val="Calibri"/>
        <family val="2"/>
        <scheme val="minor"/>
      </rPr>
      <t>(Nerium Oleander), Diameter 2-3 cm, Tinggi 2-2,5 meter, Polybag 25 L</t>
    </r>
  </si>
  <si>
    <t>Penanaman  1  Buah  Pohon  Kecil  Bunga  Terompet  Kuning (Tecoma stans), Diameter 2-3 cm, Tinggi 2-2,5 meter, Polybag 25L</t>
  </si>
  <si>
    <t>Penanaman 1 Buah Pohon Kecil Bungur Sakura/Bungur Jepang (Lagerstroemia indica), Diameter 2-3 cm, Tinggi 2-2,5 meter, Polybag 25 L</t>
  </si>
  <si>
    <r>
      <t xml:space="preserve">Penanaman   1   Buah   Pohon   Kecil   </t>
    </r>
    <r>
      <rPr>
        <i/>
        <sz val="11"/>
        <color rgb="FF000000"/>
        <rFont val="Calibri"/>
        <family val="2"/>
        <scheme val="minor"/>
      </rPr>
      <t>Cassia   Glauca   (Senna Surattensis), Diameter 2-3 cm, Tinggi 2-2,5 meter, Polybag 25 L</t>
    </r>
  </si>
  <si>
    <r>
      <t xml:space="preserve">Penanaman  1  Buah  Pohon  Kecil  </t>
    </r>
    <r>
      <rPr>
        <b/>
        <i/>
        <sz val="11"/>
        <color rgb="FF000000"/>
        <rFont val="Calibri"/>
        <family val="2"/>
        <scheme val="minor"/>
      </rPr>
      <t>Dracaena  ‘Song  of  India’ (Dracaena reflexa "song of india"), Diameter 2-3 cm, Tinggi 2-2,5 meter, Polybag 25 L</t>
    </r>
  </si>
  <si>
    <r>
      <t xml:space="preserve">Penanaman 1 Buah Pohon Kecil </t>
    </r>
    <r>
      <rPr>
        <i/>
        <sz val="11"/>
        <color rgb="FF000000"/>
        <rFont val="Calibri"/>
        <family val="2"/>
        <scheme val="minor"/>
      </rPr>
      <t xml:space="preserve">Dracaena 'Song of Jamaica' (Dracaena reflexa "song of jamaica"), </t>
    </r>
    <r>
      <rPr>
        <sz val="11"/>
        <color rgb="FF000000"/>
        <rFont val="Calibri"/>
        <family val="2"/>
        <scheme val="minor"/>
      </rPr>
      <t>Diameter 2-3 cm, Tinggi 2-2,5 meter, Polybag 25 L</t>
    </r>
  </si>
  <si>
    <r>
      <t xml:space="preserve">Penanaman  1  Buah  Pohon  Kecil  Jarak  Batavia  </t>
    </r>
    <r>
      <rPr>
        <i/>
        <sz val="11"/>
        <color rgb="FF000000"/>
        <rFont val="Calibri"/>
        <family val="2"/>
        <scheme val="minor"/>
      </rPr>
      <t>(Jatropha Integerrima), Diameter 2-3 cm, Tinggi 2-2,5 meter, Polybag 25L</t>
    </r>
  </si>
  <si>
    <r>
      <t xml:space="preserve">Penanaman 1 Buah Pohon Kecil Kayu Putih Kuning </t>
    </r>
    <r>
      <rPr>
        <i/>
        <sz val="11"/>
        <color rgb="FF000000"/>
        <rFont val="Calibri"/>
        <family val="2"/>
        <scheme val="minor"/>
      </rPr>
      <t>(Melaleuca Revolution Gold), Diameter 2-3 cm, Tinggi 2-2,5 meter, Polybag 25L</t>
    </r>
  </si>
  <si>
    <r>
      <t xml:space="preserve">Penanaman  1  Buah  Pohon  Kecil  Pucuk  Merah  </t>
    </r>
    <r>
      <rPr>
        <i/>
        <sz val="11"/>
        <color rgb="FF000000"/>
        <rFont val="Calibri"/>
        <family val="2"/>
        <scheme val="minor"/>
      </rPr>
      <t>(Syzygium Myrtifolium), Diameter 2-3 cm, Tinggi 2-2,5 meter, Polybag 25L</t>
    </r>
  </si>
  <si>
    <r>
      <t xml:space="preserve">Penanaman  1  Buah  Pohon  Kecil  Sikat  Botol  </t>
    </r>
    <r>
      <rPr>
        <i/>
        <sz val="11"/>
        <color rgb="FF000000"/>
        <rFont val="Calibri"/>
        <family val="2"/>
        <scheme val="minor"/>
      </rPr>
      <t>(Callistemon Viminalis), Diameter 2-3 cm, Tinggi 2-2,5 meter, Polybag 25 L</t>
    </r>
  </si>
  <si>
    <r>
      <t xml:space="preserve">Penanaman 1 Buah Pohon Kecil </t>
    </r>
    <r>
      <rPr>
        <i/>
        <sz val="11"/>
        <color rgb="FF000000"/>
        <rFont val="Calibri"/>
        <family val="2"/>
        <scheme val="minor"/>
      </rPr>
      <t>Thevetia (Thevetia peruviana), Diameter 2-3 cm, Tinggi 2-2,5 meter, Polybag 25 L</t>
    </r>
  </si>
  <si>
    <r>
      <t xml:space="preserve">Penanaman 1 Buah Pohon Kecil Turi </t>
    </r>
    <r>
      <rPr>
        <i/>
        <sz val="11"/>
        <color rgb="FF000000"/>
        <rFont val="Calibri"/>
        <family val="2"/>
        <scheme val="minor"/>
      </rPr>
      <t>(Sesbania Grandiflora), Diameter 2-3 cm, Tinggi 2-2,5 meter, Polybag 25 L</t>
    </r>
  </si>
  <si>
    <r>
      <t xml:space="preserve">Pohon Sedang, </t>
    </r>
    <r>
      <rPr>
        <i/>
        <sz val="11"/>
        <color rgb="FF000000"/>
        <rFont val="Calibri"/>
        <family val="2"/>
        <scheme val="minor"/>
      </rPr>
      <t xml:space="preserve">Polybag </t>
    </r>
    <r>
      <rPr>
        <sz val="11"/>
        <color rgb="FF000000"/>
        <rFont val="Calibri"/>
        <family val="2"/>
        <scheme val="minor"/>
      </rPr>
      <t>50 L</t>
    </r>
  </si>
  <si>
    <r>
      <t xml:space="preserve">Penanaman 1 Buah Pohon Sedang Bintaro </t>
    </r>
    <r>
      <rPr>
        <i/>
        <sz val="11"/>
        <color rgb="FF000000"/>
        <rFont val="Calibri"/>
        <family val="2"/>
        <scheme val="minor"/>
      </rPr>
      <t>(Cerbera Manghas), Diameter 3-5 cm, Tinggi 3-4 meter, Polybag 50 L</t>
    </r>
  </si>
  <si>
    <r>
      <t>Penanaman 1 Buah Pohon Sedang Bunga Kupu-Kupu (</t>
    </r>
    <r>
      <rPr>
        <i/>
        <sz val="11"/>
        <color rgb="FF000000"/>
        <rFont val="Calibri"/>
        <family val="2"/>
        <scheme val="minor"/>
      </rPr>
      <t>Bauhinia Blakeana/Purpurea), Diameter 3-5 cm, Tinggi 3-4 meter, Polybag 50L</t>
    </r>
  </si>
  <si>
    <t>Penanaman  1  Buah  Pohon  Sedang  Bunga  Terompet  Kuning (Tecoma stans), Diameter 3-5 cm, Tinggi 3-4 meter, Polybag 50 L</t>
  </si>
  <si>
    <r>
      <t>Penanaman 1 Buah Pohon Sedang Flamboyan (</t>
    </r>
    <r>
      <rPr>
        <i/>
        <sz val="11"/>
        <color rgb="FF000000"/>
        <rFont val="Calibri"/>
        <family val="2"/>
        <scheme val="minor"/>
      </rPr>
      <t>Delonix Regia</t>
    </r>
    <r>
      <rPr>
        <sz val="11"/>
        <color rgb="FF000000"/>
        <rFont val="Calibri"/>
        <family val="2"/>
        <scheme val="minor"/>
      </rPr>
      <t>), Diameter 3-5 cm, Tinggi 3-4 meter, Polybag 50 L</t>
    </r>
  </si>
  <si>
    <t>Penanaman   1   Buah   Pohon   Sedang   Flamboyan   Kuning (Peltophorum Pterocarpum), Diameter 3-5 cm, Tinggi 3-4 meter, Polybag 50 L</t>
  </si>
  <si>
    <r>
      <t>Penanaman   1   Buah   Pohon   Sedang   Janda   Merana   (</t>
    </r>
    <r>
      <rPr>
        <i/>
        <sz val="11"/>
        <color rgb="FF000000"/>
        <rFont val="Calibri"/>
        <family val="2"/>
        <scheme val="minor"/>
      </rPr>
      <t>Salix Babilonica), Diameter 3-5 cm, Tinggi 3-4 meter, Polybag 50 L</t>
    </r>
  </si>
  <si>
    <t>Penanaman   1   Buah   Pohon   Sedang   Ketapang   kencana (Terminalia  mantaly),  Diameter  3-5  cm,  Tinggi  3-4  meter, Polybag 50 L</t>
  </si>
  <si>
    <r>
      <t>Penanaman  1  Buah  Pohon  Sedang  Sosis  (</t>
    </r>
    <r>
      <rPr>
        <i/>
        <sz val="11"/>
        <color rgb="FF000000"/>
        <rFont val="Calibri"/>
        <family val="2"/>
        <scheme val="minor"/>
      </rPr>
      <t>Kigelia  Africana</t>
    </r>
    <r>
      <rPr>
        <sz val="11"/>
        <color rgb="FF000000"/>
        <rFont val="Calibri"/>
        <family val="2"/>
        <scheme val="minor"/>
      </rPr>
      <t>), Diameter 3-5 cm, Tinggi 3-4 meter, Polybag 50 L</t>
    </r>
  </si>
  <si>
    <r>
      <t>Penanaman  1  Buah  Pohon  Sedang  Tabebuya  (</t>
    </r>
    <r>
      <rPr>
        <i/>
        <sz val="11"/>
        <color rgb="FF000000"/>
        <rFont val="Calibri"/>
        <family val="2"/>
        <scheme val="minor"/>
      </rPr>
      <t>Tabebuia  sp.</t>
    </r>
    <r>
      <rPr>
        <sz val="11"/>
        <color rgb="FF000000"/>
        <rFont val="Calibri"/>
        <family val="2"/>
        <scheme val="minor"/>
      </rPr>
      <t>), Diameter 3-5 cm, Tinggi 3-4 meter, Polybag 50 L</t>
    </r>
  </si>
  <si>
    <r>
      <t>Penanaman 1 Buah Pohon Sedang Waru (</t>
    </r>
    <r>
      <rPr>
        <i/>
        <sz val="11"/>
        <color rgb="FF000000"/>
        <rFont val="Calibri"/>
        <family val="2"/>
        <scheme val="minor"/>
      </rPr>
      <t>Hibiscus Tiliaceus</t>
    </r>
    <r>
      <rPr>
        <sz val="11"/>
        <color rgb="FF000000"/>
        <rFont val="Calibri"/>
        <family val="2"/>
        <scheme val="minor"/>
      </rPr>
      <t>), Diameter 3-5 cm, Tinggi 3-4 meter, Polybag 50 L</t>
    </r>
  </si>
  <si>
    <t xml:space="preserve">Penanaman 1 Buah Pohon Sedang Pakis Brazil (Schizolobium Parahyba), Diameter 3-5 cm, Tinggi 3-4 meter, Polybag 50 L </t>
  </si>
  <si>
    <r>
      <t xml:space="preserve">Penanaman 1 Buah Pohon Sedang Leda (Eucalyptus Deglupta), Diameter 3-5 cm, Tinggi 3-4 meter, Polybag 50 L </t>
    </r>
    <r>
      <rPr>
        <b/>
        <i/>
        <sz val="11"/>
        <color rgb="FF000000"/>
        <rFont val="Calibri"/>
        <family val="2"/>
        <scheme val="minor"/>
      </rPr>
      <t/>
    </r>
  </si>
  <si>
    <r>
      <t xml:space="preserve">Penanaman 1 Buah Pohon Sedang Saga (Adenanthera Pavonina), Diameter 3-5 cm, Tinggi 3-4 meter, Polybag 50 L </t>
    </r>
    <r>
      <rPr>
        <b/>
        <i/>
        <sz val="11"/>
        <color rgb="FF000000"/>
        <rFont val="Calibri"/>
        <family val="2"/>
        <scheme val="minor"/>
      </rPr>
      <t/>
    </r>
  </si>
  <si>
    <t xml:space="preserve">Penanaman 1 Buah Pohon Sedang Kiara Payung (Filicium Decipiens), Diameter 3-5 cm, Tinggi 3-4 meter, Polybag 50 L.......................................................... </t>
  </si>
  <si>
    <r>
      <t xml:space="preserve">Pohon Sedang, </t>
    </r>
    <r>
      <rPr>
        <i/>
        <sz val="11"/>
        <color rgb="FF000000"/>
        <rFont val="Calibri"/>
        <family val="2"/>
        <scheme val="minor"/>
      </rPr>
      <t xml:space="preserve">Polybag </t>
    </r>
    <r>
      <rPr>
        <sz val="11"/>
        <color rgb="FF000000"/>
        <rFont val="Calibri"/>
        <family val="2"/>
        <scheme val="minor"/>
      </rPr>
      <t>75 L</t>
    </r>
  </si>
  <si>
    <r>
      <t>Penanaman 1 Buah Pohon Sedang Bintaro (</t>
    </r>
    <r>
      <rPr>
        <i/>
        <sz val="11"/>
        <color rgb="FF000000"/>
        <rFont val="Calibri"/>
        <family val="2"/>
        <scheme val="minor"/>
      </rPr>
      <t>Cerbera Manghas)</t>
    </r>
    <r>
      <rPr>
        <sz val="11"/>
        <color rgb="FF000000"/>
        <rFont val="Calibri"/>
        <family val="2"/>
        <scheme val="minor"/>
      </rPr>
      <t xml:space="preserve">, Diameter 5-7 cm, Tinggi 3-4 meter, </t>
    </r>
    <r>
      <rPr>
        <i/>
        <sz val="11"/>
        <color rgb="FF000000"/>
        <rFont val="Calibri"/>
        <family val="2"/>
        <scheme val="minor"/>
      </rPr>
      <t xml:space="preserve">Polybag </t>
    </r>
    <r>
      <rPr>
        <sz val="11"/>
        <color rgb="FF000000"/>
        <rFont val="Calibri"/>
        <family val="2"/>
        <scheme val="minor"/>
      </rPr>
      <t>75 L</t>
    </r>
  </si>
  <si>
    <r>
      <t>Penanaman 1 Buah Pohon Sedang Biola Cantik (</t>
    </r>
    <r>
      <rPr>
        <i/>
        <sz val="11"/>
        <color rgb="FF000000"/>
        <rFont val="Calibri"/>
        <family val="2"/>
        <scheme val="minor"/>
      </rPr>
      <t>Ficus Lyrata)</t>
    </r>
    <r>
      <rPr>
        <sz val="11"/>
        <color rgb="FF000000"/>
        <rFont val="Calibri"/>
        <family val="2"/>
        <scheme val="minor"/>
      </rPr>
      <t>, Diameter 5-7 cm, Tinggi 3-4 meter, Polybag 75 L</t>
    </r>
  </si>
  <si>
    <r>
      <t>Penanaman 1 Buah Pohon Sedang Bunga Kupu-Kupu (</t>
    </r>
    <r>
      <rPr>
        <i/>
        <sz val="11"/>
        <color rgb="FF000000"/>
        <rFont val="Calibri"/>
        <family val="2"/>
        <scheme val="minor"/>
      </rPr>
      <t>Bauhinia Blakeana/Purpurea), Diameter 5-7 cm, Tinggi 3-4 meter, Polybag 75 L</t>
    </r>
  </si>
  <si>
    <r>
      <t>Penanaman  1  Buah  Pohon  Sedang  Bungur    (</t>
    </r>
    <r>
      <rPr>
        <i/>
        <sz val="11"/>
        <color rgb="FF000000"/>
        <rFont val="Calibri"/>
        <family val="2"/>
        <scheme val="minor"/>
      </rPr>
      <t>Lagerstroemia Speciosa), Diameter 5-7 cm, Tinggi 3-4 meter, Polybag 75 L</t>
    </r>
  </si>
  <si>
    <r>
      <t>Penanaman 1 Buah Pohon Sedang Flamboyan (</t>
    </r>
    <r>
      <rPr>
        <i/>
        <sz val="11"/>
        <color rgb="FF000000"/>
        <rFont val="Calibri"/>
        <family val="2"/>
        <scheme val="minor"/>
      </rPr>
      <t>Delonix Regia)</t>
    </r>
    <r>
      <rPr>
        <sz val="11"/>
        <color rgb="FF000000"/>
        <rFont val="Calibri"/>
        <family val="2"/>
        <scheme val="minor"/>
      </rPr>
      <t>, Diameter 5-7 cm, Tinggi 3-4 meter, Polybag 75 L</t>
    </r>
  </si>
  <si>
    <t>Penanaman   1   Buah   Pohon   Sedang   Flamboyan   Kuning (Peltophorum Pterocarpum), Diameter 5-7 cm, Tinggi 3-4 meter, Polybag 75 L</t>
  </si>
  <si>
    <r>
      <t>Penanaman   1   Buah   Pohon   Sedang   Janda   Merana   (</t>
    </r>
    <r>
      <rPr>
        <i/>
        <sz val="11"/>
        <color rgb="FF000000"/>
        <rFont val="Calibri"/>
        <family val="2"/>
        <scheme val="minor"/>
      </rPr>
      <t>Salix  Babilonica), Diameter 5-7 cm, Tinggi 3-4 meter, Polybag 75 L</t>
    </r>
  </si>
  <si>
    <r>
      <t>Penanaman 1 Buah Pohon Sedang Kamboja   (</t>
    </r>
    <r>
      <rPr>
        <i/>
        <sz val="11"/>
        <color rgb="FF000000"/>
        <rFont val="Calibri"/>
        <family val="2"/>
        <scheme val="minor"/>
      </rPr>
      <t>Plumeria Sp.)</t>
    </r>
    <r>
      <rPr>
        <sz val="11"/>
        <color rgb="FF000000"/>
        <rFont val="Calibri"/>
        <family val="2"/>
        <scheme val="minor"/>
      </rPr>
      <t>, Diameter 5-7 cm, Tinggi 3-4 meter, Polybag 75 L</t>
    </r>
  </si>
  <si>
    <r>
      <t>Penanaman 1 Buah Pohon Sedang Keben (</t>
    </r>
    <r>
      <rPr>
        <i/>
        <sz val="11"/>
        <color rgb="FF000000"/>
        <rFont val="Calibri"/>
        <family val="2"/>
        <scheme val="minor"/>
      </rPr>
      <t>Barringtonia Asiatica)</t>
    </r>
    <r>
      <rPr>
        <sz val="11"/>
        <color rgb="FF000000"/>
        <rFont val="Calibri"/>
        <family val="2"/>
        <scheme val="minor"/>
      </rPr>
      <t>, Diameter 5-7 cm, Tinggi 3-4 meter, Polybag 75 L</t>
    </r>
  </si>
  <si>
    <r>
      <t>Penanaman  1  Buah  Pohon  Sedang  Kecrutan  (</t>
    </r>
    <r>
      <rPr>
        <i/>
        <sz val="11"/>
        <color rgb="FF000000"/>
        <rFont val="Calibri"/>
        <family val="2"/>
        <scheme val="minor"/>
      </rPr>
      <t>Spathodea Campanulata), Diameter 5-7 cm, Tinggi 3-4 meter, Polybag 75 L</t>
    </r>
  </si>
  <si>
    <t>Penanaman   1   Buah   Pohon   Sedang   Ketapang   Kencana (Terminalia  Mantaly),  Diameter  5-7  cm,  Tinggi  3-4  meter, Polybag 75 L</t>
  </si>
  <si>
    <r>
      <t>Penanaman   1   Buah   Pohon   Sedang   Mahoni   (</t>
    </r>
    <r>
      <rPr>
        <i/>
        <sz val="11"/>
        <color rgb="FF000000"/>
        <rFont val="Calibri"/>
        <family val="2"/>
        <scheme val="minor"/>
      </rPr>
      <t>Swietenia Mahagoni), Diameter 5-7 cm, Tinggi 3-4 meter, Polybag 75 L</t>
    </r>
  </si>
  <si>
    <r>
      <t>Penanaman 1 Buah Pohon Sedang Pulai  (</t>
    </r>
    <r>
      <rPr>
        <i/>
        <sz val="11"/>
        <color rgb="FF000000"/>
        <rFont val="Calibri"/>
        <family val="2"/>
        <scheme val="minor"/>
      </rPr>
      <t>Alstonia Scholaris)</t>
    </r>
    <r>
      <rPr>
        <sz val="11"/>
        <color rgb="FF000000"/>
        <rFont val="Calibri"/>
        <family val="2"/>
        <scheme val="minor"/>
      </rPr>
      <t>, Diameter 5-7 cm, Tinggi 3-4 meter, Polybag 75 L</t>
    </r>
  </si>
  <si>
    <r>
      <t>Penanaman 1 Buah Pohon Sedang Putat (</t>
    </r>
    <r>
      <rPr>
        <i/>
        <sz val="11"/>
        <color rgb="FF000000"/>
        <rFont val="Calibri"/>
        <family val="2"/>
        <scheme val="minor"/>
      </rPr>
      <t>Planchonia Valida)</t>
    </r>
    <r>
      <rPr>
        <sz val="11"/>
        <color rgb="FF000000"/>
        <rFont val="Calibri"/>
        <family val="2"/>
        <scheme val="minor"/>
      </rPr>
      <t>, Diameter 5-7 cm, Tinggi 3-4 meter, Polybag 75 L</t>
    </r>
  </si>
  <si>
    <r>
      <t>Penanaman 1 Buah Pohon Sedang Sosis (</t>
    </r>
    <r>
      <rPr>
        <i/>
        <sz val="11"/>
        <color rgb="FF000000"/>
        <rFont val="Calibri"/>
        <family val="2"/>
        <scheme val="minor"/>
      </rPr>
      <t>Kigelia Africana)</t>
    </r>
    <r>
      <rPr>
        <sz val="11"/>
        <color rgb="FF000000"/>
        <rFont val="Calibri"/>
        <family val="2"/>
        <scheme val="minor"/>
      </rPr>
      <t>, Diameter 5-7 cm, Tinggi 3-4 meter, Polybag 75 L</t>
    </r>
  </si>
  <si>
    <r>
      <t>Penanaman 1 Buah Pohon Sedang Tabebuya  (</t>
    </r>
    <r>
      <rPr>
        <i/>
        <sz val="11"/>
        <color rgb="FF000000"/>
        <rFont val="Calibri"/>
        <family val="2"/>
        <scheme val="minor"/>
      </rPr>
      <t>Tabebuia Sp.)</t>
    </r>
    <r>
      <rPr>
        <sz val="11"/>
        <color rgb="FF000000"/>
        <rFont val="Calibri"/>
        <family val="2"/>
        <scheme val="minor"/>
      </rPr>
      <t>, Diameter 5-7 cm, Tinggi 3-4 meter, Polybag 75 L</t>
    </r>
  </si>
  <si>
    <r>
      <t>Penanaman 1 Buah Pohon Sedang Trembesi (</t>
    </r>
    <r>
      <rPr>
        <i/>
        <sz val="11"/>
        <color rgb="FF000000"/>
        <rFont val="Calibri"/>
        <family val="2"/>
        <scheme val="minor"/>
      </rPr>
      <t>Samanea Saman)</t>
    </r>
    <r>
      <rPr>
        <sz val="11"/>
        <color rgb="FF000000"/>
        <rFont val="Calibri"/>
        <family val="2"/>
        <scheme val="minor"/>
      </rPr>
      <t>, Diameter 5-7 cm, Tinggi 3-4 meter, Polybag 75 L</t>
    </r>
  </si>
  <si>
    <r>
      <t>Penanaman 1 Buah Pohon Sedang Waru (</t>
    </r>
    <r>
      <rPr>
        <i/>
        <sz val="11"/>
        <color rgb="FF000000"/>
        <rFont val="Calibri"/>
        <family val="2"/>
        <scheme val="minor"/>
      </rPr>
      <t>Hibiscus Tiliaceus)</t>
    </r>
    <r>
      <rPr>
        <sz val="11"/>
        <color rgb="FF000000"/>
        <rFont val="Calibri"/>
        <family val="2"/>
        <scheme val="minor"/>
      </rPr>
      <t>, Diameter 5-7 cm, Tinggi 3-4 meter, Polybag 75 L</t>
    </r>
  </si>
  <si>
    <t>Penanaman 1 Buah Pohon Sedang Pakis Brazil (Schizolobium Parahyba), Diameter 5-7 cm, Tinggi 3-4 meter, Polybag 75 L</t>
  </si>
  <si>
    <r>
      <t xml:space="preserve">Penanaman 1 Buah Pohon Sedang Leda (Eucalyptus Deglupta), Diameter 5-7 cm, Tinggi 3-4 meter, Polybag 75 L </t>
    </r>
    <r>
      <rPr>
        <b/>
        <i/>
        <sz val="10"/>
        <color rgb="FF000000"/>
        <rFont val="Bookman Old Style"/>
        <family val="1"/>
      </rPr>
      <t/>
    </r>
  </si>
  <si>
    <r>
      <t xml:space="preserve">Penanaman 1 Buah Pohon Sedang Saga (Adenanthera Pavonina), Diameter 5-7 cm, Tinggi 3-4 meter, Polybag 75 L </t>
    </r>
    <r>
      <rPr>
        <b/>
        <i/>
        <sz val="10"/>
        <color rgb="FF000000"/>
        <rFont val="Bookman Old Style"/>
        <family val="1"/>
      </rPr>
      <t/>
    </r>
  </si>
  <si>
    <t>Penanaman 1 Buah Pohon Sedang Kiara Payung (Filicium Decipiens), Diameter 5-7 cm, Tinggi 3-4 meter, Polybag 75 L</t>
  </si>
  <si>
    <r>
      <t xml:space="preserve">Pohon Besar, </t>
    </r>
    <r>
      <rPr>
        <i/>
        <sz val="11"/>
        <color rgb="FF000000"/>
        <rFont val="Calibri"/>
        <family val="2"/>
        <scheme val="minor"/>
      </rPr>
      <t xml:space="preserve">Polybag </t>
    </r>
    <r>
      <rPr>
        <sz val="11"/>
        <color rgb="FF000000"/>
        <rFont val="Calibri"/>
        <family val="2"/>
        <scheme val="minor"/>
      </rPr>
      <t>100 L</t>
    </r>
  </si>
  <si>
    <r>
      <t>Penanaman   1   Buah   Pohon   Besar   Pohon   Beringin   (</t>
    </r>
    <r>
      <rPr>
        <i/>
        <sz val="11"/>
        <color rgb="FF000000"/>
        <rFont val="Calibri"/>
        <family val="2"/>
        <scheme val="minor"/>
      </rPr>
      <t>Ficus Benjamina), Diameter 7-15 cm, Tinggi diatas 5 meter, Polybag 100L</t>
    </r>
  </si>
  <si>
    <r>
      <t>Penanaman 1 Buah Pohon Besar Biola Cantik (</t>
    </r>
    <r>
      <rPr>
        <i/>
        <sz val="11"/>
        <color rgb="FF000000"/>
        <rFont val="Calibri"/>
        <family val="2"/>
        <scheme val="minor"/>
      </rPr>
      <t>Ficus Lyrata</t>
    </r>
    <r>
      <rPr>
        <sz val="11"/>
        <color rgb="FF000000"/>
        <rFont val="Calibri"/>
        <family val="2"/>
        <scheme val="minor"/>
      </rPr>
      <t>), Diameter 7-15 cm, Tinggi Diatas 5 meter, Polybag 100 L</t>
    </r>
  </si>
  <si>
    <r>
      <t>Penanaman  1  Buah  Pohon  Besar  Bodhi  (</t>
    </r>
    <r>
      <rPr>
        <i/>
        <sz val="11"/>
        <color rgb="FF000000"/>
        <rFont val="Calibri"/>
        <family val="2"/>
        <scheme val="minor"/>
      </rPr>
      <t>Ficus  Religiosa</t>
    </r>
    <r>
      <rPr>
        <sz val="11"/>
        <color rgb="FF000000"/>
        <rFont val="Calibri"/>
        <family val="2"/>
        <scheme val="minor"/>
      </rPr>
      <t>), Diameter 7-15 cm, Tinggi Diatas 5 meter, Polybag 100 L</t>
    </r>
  </si>
  <si>
    <r>
      <t>Penanaman   1   Buah   Pohon   Besar   Bungur   (</t>
    </r>
    <r>
      <rPr>
        <i/>
        <sz val="11"/>
        <color rgb="FF000000"/>
        <rFont val="Calibri"/>
        <family val="2"/>
        <scheme val="minor"/>
      </rPr>
      <t>Lagerstroemis Speciosa), Diameter 7-15 cm, Tinggi Diatas 5 meter, Polybag 100L</t>
    </r>
  </si>
  <si>
    <r>
      <t>Penanaman 1 Buah Pohon Besar Flamboyan (</t>
    </r>
    <r>
      <rPr>
        <i/>
        <sz val="11"/>
        <color rgb="FF000000"/>
        <rFont val="Calibri"/>
        <family val="2"/>
        <scheme val="minor"/>
      </rPr>
      <t>Delonix Regia</t>
    </r>
    <r>
      <rPr>
        <sz val="11"/>
        <color rgb="FF000000"/>
        <rFont val="Calibri"/>
        <family val="2"/>
        <scheme val="minor"/>
      </rPr>
      <t>), Diameter 7-15 cm, Tinggi Diatas 5 meter, Polybag 100 L</t>
    </r>
  </si>
  <si>
    <r>
      <t>Penanaman  1  Buah  Pohon  Besar  Kamboja  (</t>
    </r>
    <r>
      <rPr>
        <i/>
        <sz val="11"/>
        <color rgb="FF000000"/>
        <rFont val="Calibri"/>
        <family val="2"/>
        <scheme val="minor"/>
      </rPr>
      <t>Plumeria  Sp.</t>
    </r>
    <r>
      <rPr>
        <sz val="11"/>
        <color rgb="FF000000"/>
        <rFont val="Calibri"/>
        <family val="2"/>
        <scheme val="minor"/>
      </rPr>
      <t>), Diameter 7-15 cm, Tinggi Diatas 5 meter, Polybag 100 L</t>
    </r>
  </si>
  <si>
    <r>
      <t>Penanaman 1 Buah Pohon Besar Keben (</t>
    </r>
    <r>
      <rPr>
        <i/>
        <sz val="11"/>
        <color rgb="FF000000"/>
        <rFont val="Calibri"/>
        <family val="2"/>
        <scheme val="minor"/>
      </rPr>
      <t>Barringtonia Asiatica</t>
    </r>
    <r>
      <rPr>
        <sz val="11"/>
        <color rgb="FF000000"/>
        <rFont val="Calibri"/>
        <family val="2"/>
        <scheme val="minor"/>
      </rPr>
      <t>), Diameter 7-15 cm, Tinggi Diatas 5 meter, Polybag 100 L</t>
    </r>
  </si>
  <si>
    <r>
      <t>Penanaman   1   Buah   Pohon   Besar   Kecrutan   (</t>
    </r>
    <r>
      <rPr>
        <i/>
        <sz val="11"/>
        <color rgb="FF000000"/>
        <rFont val="Calibri"/>
        <family val="2"/>
        <scheme val="minor"/>
      </rPr>
      <t>Spathodea Campanulata), Diameter 7-15 cm, Tinggi Diatas 5 meter, Polybag 100 L</t>
    </r>
  </si>
  <si>
    <r>
      <t>Penanaman 1 Buah Pohon Besar Ketapang Kencana (</t>
    </r>
    <r>
      <rPr>
        <i/>
        <sz val="11"/>
        <color rgb="FF000000"/>
        <rFont val="Calibri"/>
        <family val="2"/>
        <scheme val="minor"/>
      </rPr>
      <t>Terminalia Mantaly), Diameter 7-15 cm, Tinggi Diatas 5 meter, Polybag 100L</t>
    </r>
  </si>
  <si>
    <r>
      <t>Penanaman 1 Buah Pohon Besar Mahoni (</t>
    </r>
    <r>
      <rPr>
        <i/>
        <sz val="11"/>
        <color rgb="FF000000"/>
        <rFont val="Calibri"/>
        <family val="2"/>
        <scheme val="minor"/>
      </rPr>
      <t>Swietenia Mahagoni</t>
    </r>
    <r>
      <rPr>
        <sz val="11"/>
        <color rgb="FF000000"/>
        <rFont val="Calibri"/>
        <family val="2"/>
        <scheme val="minor"/>
      </rPr>
      <t>), Diameter 7-15 cm, Tinggi Diatas 5 meter, Polybag 100 L</t>
    </r>
  </si>
  <si>
    <r>
      <t>Penanaman 1 Buah Pohon Besar Pulai   (</t>
    </r>
    <r>
      <rPr>
        <i/>
        <sz val="11"/>
        <color rgb="FF000000"/>
        <rFont val="Calibri"/>
        <family val="2"/>
        <scheme val="minor"/>
      </rPr>
      <t>Alstonia Scholaris</t>
    </r>
    <r>
      <rPr>
        <sz val="11"/>
        <color rgb="FF000000"/>
        <rFont val="Calibri"/>
        <family val="2"/>
        <scheme val="minor"/>
      </rPr>
      <t>), Diameter 7-15 cm, Tinggi Diatas 5 meter, Polybag 100 L</t>
    </r>
  </si>
  <si>
    <r>
      <t>Penanaman 1 Buah Pohon Besar Putat (</t>
    </r>
    <r>
      <rPr>
        <i/>
        <sz val="11"/>
        <color rgb="FF000000"/>
        <rFont val="Calibri"/>
        <family val="2"/>
        <scheme val="minor"/>
      </rPr>
      <t>Planchonia Valida</t>
    </r>
    <r>
      <rPr>
        <sz val="11"/>
        <color rgb="FF000000"/>
        <rFont val="Calibri"/>
        <family val="2"/>
        <scheme val="minor"/>
      </rPr>
      <t>), Diameter 7-15 cm, Tinggi Diatas 5 meter, Polybag 100 L</t>
    </r>
  </si>
  <si>
    <r>
      <t>Penanaman  1  Buah  Pohon  Besar  Sosis  (</t>
    </r>
    <r>
      <rPr>
        <i/>
        <sz val="11"/>
        <color rgb="FF000000"/>
        <rFont val="Calibri"/>
        <family val="2"/>
        <scheme val="minor"/>
      </rPr>
      <t>Kigelia  Africana</t>
    </r>
    <r>
      <rPr>
        <sz val="11"/>
        <color rgb="FF000000"/>
        <rFont val="Calibri"/>
        <family val="2"/>
        <scheme val="minor"/>
      </rPr>
      <t>), Diameter 7-15 cm, Tinggi Diatas 5 meter, Polybag 100 L</t>
    </r>
  </si>
  <si>
    <r>
      <t>Penanaman 1 Buah Pohon Besar Trembesi (</t>
    </r>
    <r>
      <rPr>
        <i/>
        <sz val="11"/>
        <color rgb="FF000000"/>
        <rFont val="Calibri"/>
        <family val="2"/>
        <scheme val="minor"/>
      </rPr>
      <t>Samanea Saman</t>
    </r>
    <r>
      <rPr>
        <sz val="11"/>
        <color rgb="FF000000"/>
        <rFont val="Calibri"/>
        <family val="2"/>
        <scheme val="minor"/>
      </rPr>
      <t>), Diameter 7-15 cm, Tinggi Diatas 5 meter, Polybag 100 L</t>
    </r>
  </si>
  <si>
    <r>
      <t xml:space="preserve">Pohon Besar, </t>
    </r>
    <r>
      <rPr>
        <i/>
        <sz val="11"/>
        <color rgb="FF000000"/>
        <rFont val="Calibri"/>
        <family val="2"/>
        <scheme val="minor"/>
      </rPr>
      <t xml:space="preserve">Polybag </t>
    </r>
    <r>
      <rPr>
        <sz val="11"/>
        <color rgb="FF000000"/>
        <rFont val="Calibri"/>
        <family val="2"/>
        <scheme val="minor"/>
      </rPr>
      <t>150 L</t>
    </r>
  </si>
  <si>
    <r>
      <t>Penanaman  1  Buah  Pohon  Besar  Bodhi  (</t>
    </r>
    <r>
      <rPr>
        <i/>
        <sz val="11"/>
        <color rgb="FF000000"/>
        <rFont val="Calibri"/>
        <family val="2"/>
        <scheme val="minor"/>
      </rPr>
      <t>Ficus  Religiosa</t>
    </r>
    <r>
      <rPr>
        <sz val="11"/>
        <color rgb="FF000000"/>
        <rFont val="Calibri"/>
        <family val="2"/>
        <scheme val="minor"/>
      </rPr>
      <t xml:space="preserve">), Diameter 15-20 cm, Tinggi Diatas 5 meter, </t>
    </r>
    <r>
      <rPr>
        <i/>
        <sz val="11"/>
        <color rgb="FF000000"/>
        <rFont val="Calibri"/>
        <family val="2"/>
        <scheme val="minor"/>
      </rPr>
      <t xml:space="preserve">Polybag </t>
    </r>
    <r>
      <rPr>
        <sz val="11"/>
        <color rgb="FF000000"/>
        <rFont val="Calibri"/>
        <family val="2"/>
        <scheme val="minor"/>
      </rPr>
      <t>150 L</t>
    </r>
  </si>
  <si>
    <r>
      <t>Penanaman 1 Buah Pohon Besar Beringin (</t>
    </r>
    <r>
      <rPr>
        <i/>
        <sz val="11"/>
        <color rgb="FF000000"/>
        <rFont val="Calibri"/>
        <family val="2"/>
        <scheme val="minor"/>
      </rPr>
      <t>Ficus Benjamina</t>
    </r>
    <r>
      <rPr>
        <sz val="11"/>
        <color rgb="FF000000"/>
        <rFont val="Calibri"/>
        <family val="2"/>
        <scheme val="minor"/>
      </rPr>
      <t>), Diameter 15-20 cm, Tinggi Diatas 5 meter, Polybag 150 L</t>
    </r>
  </si>
  <si>
    <r>
      <t>Penanaman  1  Buah  Pohon  Besar  Bodhi  (</t>
    </r>
    <r>
      <rPr>
        <i/>
        <sz val="11"/>
        <color rgb="FF000000"/>
        <rFont val="Calibri"/>
        <family val="2"/>
        <scheme val="minor"/>
      </rPr>
      <t>Ficus  Religiosa</t>
    </r>
    <r>
      <rPr>
        <sz val="11"/>
        <color rgb="FF000000"/>
        <rFont val="Calibri"/>
        <family val="2"/>
        <scheme val="minor"/>
      </rPr>
      <t>), Diameter 15-20 cm, Tinggi Diatas 5 meter, Polybag 150 L</t>
    </r>
  </si>
  <si>
    <r>
      <t>Penanaman 1 Buah Pohon Besar Flamboyan (</t>
    </r>
    <r>
      <rPr>
        <i/>
        <sz val="11"/>
        <color rgb="FF000000"/>
        <rFont val="Calibri"/>
        <family val="2"/>
        <scheme val="minor"/>
      </rPr>
      <t>Delonix Regia</t>
    </r>
    <r>
      <rPr>
        <sz val="11"/>
        <color rgb="FF000000"/>
        <rFont val="Calibri"/>
        <family val="2"/>
        <scheme val="minor"/>
      </rPr>
      <t>), Diameter 15-20 cm, Tinggi Diatas 5 meter, Polybag 150 L</t>
    </r>
  </si>
  <si>
    <r>
      <t>Penanaman  1  Buah  Pohon  Besar  Kamboja  (</t>
    </r>
    <r>
      <rPr>
        <i/>
        <sz val="11"/>
        <color rgb="FF000000"/>
        <rFont val="Calibri"/>
        <family val="2"/>
        <scheme val="minor"/>
      </rPr>
      <t>Plumeria  Sp.</t>
    </r>
    <r>
      <rPr>
        <sz val="11"/>
        <color rgb="FF000000"/>
        <rFont val="Calibri"/>
        <family val="2"/>
        <scheme val="minor"/>
      </rPr>
      <t>), Diameter 15-20 cm, Tinggi Diatas 5 meter, Polybag 150 L</t>
    </r>
  </si>
  <si>
    <r>
      <t>Penanaman 1 Buah Pohon Besar Pulai   (</t>
    </r>
    <r>
      <rPr>
        <i/>
        <sz val="11"/>
        <color rgb="FF000000"/>
        <rFont val="Calibri"/>
        <family val="2"/>
        <scheme val="minor"/>
      </rPr>
      <t>Alstonia Scholaris</t>
    </r>
    <r>
      <rPr>
        <sz val="11"/>
        <color rgb="FF000000"/>
        <rFont val="Calibri"/>
        <family val="2"/>
        <scheme val="minor"/>
      </rPr>
      <t>), Diameter 15-20 cm, Tinggi Diatas 5 meter, Polybag 150 L</t>
    </r>
  </si>
  <si>
    <r>
      <t>Penanaman  1  Buah  Pohon  Besar  Sosis  (</t>
    </r>
    <r>
      <rPr>
        <i/>
        <sz val="11"/>
        <color rgb="FF000000"/>
        <rFont val="Calibri"/>
        <family val="2"/>
        <scheme val="minor"/>
      </rPr>
      <t>Kigelia  Africana</t>
    </r>
    <r>
      <rPr>
        <sz val="11"/>
        <color rgb="FF000000"/>
        <rFont val="Calibri"/>
        <family val="2"/>
        <scheme val="minor"/>
      </rPr>
      <t>), Diameter 15-20 cm, Tinggi Diatas 5 meter, Polybag 150 L</t>
    </r>
  </si>
  <si>
    <r>
      <t>Penanaman 1 Buah Pohon Besar Trembesi (</t>
    </r>
    <r>
      <rPr>
        <i/>
        <sz val="11"/>
        <color rgb="FF000000"/>
        <rFont val="Calibri"/>
        <family val="2"/>
        <scheme val="minor"/>
      </rPr>
      <t>Samanea Saman</t>
    </r>
    <r>
      <rPr>
        <sz val="11"/>
        <color rgb="FF000000"/>
        <rFont val="Calibri"/>
        <family val="2"/>
        <scheme val="minor"/>
      </rPr>
      <t>), Diameter 15-20 cm, Tinggi Diatas 5 meter, Polybag 150 L</t>
    </r>
  </si>
  <si>
    <r>
      <t xml:space="preserve">Pohon Besar, </t>
    </r>
    <r>
      <rPr>
        <i/>
        <sz val="11"/>
        <color rgb="FF000000"/>
        <rFont val="Calibri"/>
        <family val="2"/>
        <scheme val="minor"/>
      </rPr>
      <t xml:space="preserve">Polybag </t>
    </r>
    <r>
      <rPr>
        <sz val="11"/>
        <color rgb="FF000000"/>
        <rFont val="Calibri"/>
        <family val="2"/>
        <scheme val="minor"/>
      </rPr>
      <t>200 L</t>
    </r>
  </si>
  <si>
    <r>
      <t>Penanaman  1 Buah Pohon Besar Beringin (</t>
    </r>
    <r>
      <rPr>
        <i/>
        <sz val="11"/>
        <color rgb="FF000000"/>
        <rFont val="Calibri"/>
        <family val="2"/>
        <scheme val="minor"/>
      </rPr>
      <t>Ficus Benjamina</t>
    </r>
    <r>
      <rPr>
        <sz val="11"/>
        <color rgb="FF000000"/>
        <rFont val="Calibri"/>
        <family val="2"/>
        <scheme val="minor"/>
      </rPr>
      <t xml:space="preserve">), Diameter 20-25 cm, Tinggi Diatas 5 meter, </t>
    </r>
    <r>
      <rPr>
        <i/>
        <sz val="11"/>
        <color rgb="FF000000"/>
        <rFont val="Calibri"/>
        <family val="2"/>
        <scheme val="minor"/>
      </rPr>
      <t xml:space="preserve">Polybag </t>
    </r>
    <r>
      <rPr>
        <sz val="11"/>
        <color rgb="FF000000"/>
        <rFont val="Calibri"/>
        <family val="2"/>
        <scheme val="minor"/>
      </rPr>
      <t>200 L</t>
    </r>
  </si>
  <si>
    <r>
      <t>Penanaman  1  Buah  Pohon  Besar  Bodhi  (</t>
    </r>
    <r>
      <rPr>
        <i/>
        <sz val="11"/>
        <color rgb="FF000000"/>
        <rFont val="Calibri"/>
        <family val="2"/>
        <scheme val="minor"/>
      </rPr>
      <t>Ficus  Religiosa</t>
    </r>
    <r>
      <rPr>
        <sz val="11"/>
        <color rgb="FF000000"/>
        <rFont val="Calibri"/>
        <family val="2"/>
        <scheme val="minor"/>
      </rPr>
      <t>), Diameter 20-25 cm, Tinggi Diatas 5 meter, Polybag 200L</t>
    </r>
  </si>
  <si>
    <r>
      <t>Penanaman  1 Buah Pohon Besar Flamboyan (</t>
    </r>
    <r>
      <rPr>
        <i/>
        <sz val="11"/>
        <color rgb="FF000000"/>
        <rFont val="Calibri"/>
        <family val="2"/>
        <scheme val="minor"/>
      </rPr>
      <t>Delonix Regia</t>
    </r>
    <r>
      <rPr>
        <sz val="11"/>
        <color rgb="FF000000"/>
        <rFont val="Calibri"/>
        <family val="2"/>
        <scheme val="minor"/>
      </rPr>
      <t>), Diameter 20-25 cm, Tinggi Diatas 5 meter, Polybag 200 L</t>
    </r>
  </si>
  <si>
    <r>
      <t>Penanaman 1 Buah Pohon Besar Kamboja Fosil (</t>
    </r>
    <r>
      <rPr>
        <i/>
        <sz val="11"/>
        <color rgb="FF000000"/>
        <rFont val="Calibri"/>
        <family val="2"/>
        <scheme val="minor"/>
      </rPr>
      <t>Plumeria Sp.</t>
    </r>
    <r>
      <rPr>
        <sz val="11"/>
        <color rgb="FF000000"/>
        <rFont val="Calibri"/>
        <family val="2"/>
        <scheme val="minor"/>
      </rPr>
      <t>), Diameter 20-25 cm, Tinggi Diatas 5 meter, Polybag 200 L</t>
    </r>
  </si>
  <si>
    <r>
      <t>Penanaman  1  Buah  Pohon  Besar  Pulai  (</t>
    </r>
    <r>
      <rPr>
        <i/>
        <sz val="11"/>
        <color rgb="FF000000"/>
        <rFont val="Calibri"/>
        <family val="2"/>
        <scheme val="minor"/>
      </rPr>
      <t>Alstonia  Scholaris</t>
    </r>
    <r>
      <rPr>
        <sz val="11"/>
        <color rgb="FF000000"/>
        <rFont val="Calibri"/>
        <family val="2"/>
        <scheme val="minor"/>
      </rPr>
      <t>), Diameter 20-25 cm, Tinggi Diatas 5 meter, Polybag 200L</t>
    </r>
  </si>
  <si>
    <r>
      <t>Penanaman  1  Buah  Pohon  Besar  Sosis  (</t>
    </r>
    <r>
      <rPr>
        <i/>
        <sz val="11"/>
        <color rgb="FF000000"/>
        <rFont val="Calibri"/>
        <family val="2"/>
        <scheme val="minor"/>
      </rPr>
      <t>Kigelia  Africana</t>
    </r>
    <r>
      <rPr>
        <sz val="11"/>
        <color rgb="FF000000"/>
        <rFont val="Calibri"/>
        <family val="2"/>
        <scheme val="minor"/>
      </rPr>
      <t>), Diameter 20-25 cm, Tinggi Diatas 5 meter, Polybag 200L</t>
    </r>
  </si>
  <si>
    <r>
      <t>Penanaman 1 Buah Pohon Besar Trembesi (</t>
    </r>
    <r>
      <rPr>
        <i/>
        <sz val="11"/>
        <color rgb="FF000000"/>
        <rFont val="Calibri"/>
        <family val="2"/>
        <scheme val="minor"/>
      </rPr>
      <t>Samanea Saman</t>
    </r>
    <r>
      <rPr>
        <sz val="11"/>
        <color rgb="FF000000"/>
        <rFont val="Calibri"/>
        <family val="2"/>
        <scheme val="minor"/>
      </rPr>
      <t>), Diameter 20-25 cm, Tinggi Diatas 5 meter, Polybag 200L</t>
    </r>
  </si>
  <si>
    <r>
      <t xml:space="preserve">Pohon Besar, </t>
    </r>
    <r>
      <rPr>
        <i/>
        <sz val="11"/>
        <color rgb="FF000000"/>
        <rFont val="Calibri"/>
        <family val="2"/>
        <scheme val="minor"/>
      </rPr>
      <t xml:space="preserve">Polybag </t>
    </r>
    <r>
      <rPr>
        <sz val="11"/>
        <color rgb="FF000000"/>
        <rFont val="Calibri"/>
        <family val="2"/>
        <scheme val="minor"/>
      </rPr>
      <t>250 L</t>
    </r>
  </si>
  <si>
    <r>
      <t>Penanaman 1 Buah Pohon Besar Baobab (</t>
    </r>
    <r>
      <rPr>
        <i/>
        <sz val="11"/>
        <color rgb="FF000000"/>
        <rFont val="Calibri"/>
        <family val="2"/>
        <scheme val="minor"/>
      </rPr>
      <t>Adansonia Digitata</t>
    </r>
    <r>
      <rPr>
        <sz val="11"/>
        <color rgb="FF000000"/>
        <rFont val="Calibri"/>
        <family val="2"/>
        <scheme val="minor"/>
      </rPr>
      <t xml:space="preserve">) Diameter 25-30 cm, Tinggi Diatas 6 meter, </t>
    </r>
    <r>
      <rPr>
        <i/>
        <sz val="11"/>
        <color rgb="FF000000"/>
        <rFont val="Calibri"/>
        <family val="2"/>
        <scheme val="minor"/>
      </rPr>
      <t xml:space="preserve">Polybag </t>
    </r>
    <r>
      <rPr>
        <sz val="11"/>
        <color rgb="FF000000"/>
        <rFont val="Calibri"/>
        <family val="2"/>
        <scheme val="minor"/>
      </rPr>
      <t>250 L</t>
    </r>
  </si>
  <si>
    <r>
      <t>Penanaman 1 Buah Pohon Besar Beringin (</t>
    </r>
    <r>
      <rPr>
        <i/>
        <sz val="11"/>
        <color rgb="FF000000"/>
        <rFont val="Calibri"/>
        <family val="2"/>
        <scheme val="minor"/>
      </rPr>
      <t>Ficus Benjamina</t>
    </r>
    <r>
      <rPr>
        <sz val="11"/>
        <color rgb="FF000000"/>
        <rFont val="Calibri"/>
        <family val="2"/>
        <scheme val="minor"/>
      </rPr>
      <t>) Diameter 25-30 cm, Tinggi Diatas 6 meter, Polybag 250 L</t>
    </r>
  </si>
  <si>
    <r>
      <t>Penanaman 1 Buah Pohon Besar Bodhi (</t>
    </r>
    <r>
      <rPr>
        <i/>
        <sz val="11"/>
        <color rgb="FF000000"/>
        <rFont val="Calibri"/>
        <family val="2"/>
        <scheme val="minor"/>
      </rPr>
      <t>Ficus Religiosa</t>
    </r>
    <r>
      <rPr>
        <sz val="11"/>
        <color rgb="FF000000"/>
        <rFont val="Calibri"/>
        <family val="2"/>
        <scheme val="minor"/>
      </rPr>
      <t>) Diameter 25-30 cm, Tinggi Diatas 6 meter, Polybag 250 L</t>
    </r>
  </si>
  <si>
    <r>
      <t>Penanaman 1 Buah Pohon Besar Kamboja Fosil (</t>
    </r>
    <r>
      <rPr>
        <i/>
        <sz val="11"/>
        <color rgb="FF000000"/>
        <rFont val="Calibri"/>
        <family val="2"/>
        <scheme val="minor"/>
      </rPr>
      <t>Plumeria Sp.</t>
    </r>
    <r>
      <rPr>
        <sz val="11"/>
        <color rgb="FF000000"/>
        <rFont val="Calibri"/>
        <family val="2"/>
        <scheme val="minor"/>
      </rPr>
      <t>) Diameter 25-30 cm, Tinggi Diatas 6 meter, Polybag 250 L</t>
    </r>
  </si>
  <si>
    <r>
      <t>Penanaman  1  Buah  Pohon  Besar  Pulai   (</t>
    </r>
    <r>
      <rPr>
        <i/>
        <sz val="11"/>
        <color rgb="FF000000"/>
        <rFont val="Calibri"/>
        <family val="2"/>
        <scheme val="minor"/>
      </rPr>
      <t>Alstonia  Scholaris</t>
    </r>
    <r>
      <rPr>
        <sz val="11"/>
        <color rgb="FF000000"/>
        <rFont val="Calibri"/>
        <family val="2"/>
        <scheme val="minor"/>
      </rPr>
      <t>) Diameter 25-30 cm, Tinggi Diatas 6 meter, Polybag 250 L</t>
    </r>
  </si>
  <si>
    <r>
      <t>Penanaman  1  Buah  Pohon  Besar  Sosis  (</t>
    </r>
    <r>
      <rPr>
        <i/>
        <sz val="11"/>
        <color rgb="FF000000"/>
        <rFont val="Calibri"/>
        <family val="2"/>
        <scheme val="minor"/>
      </rPr>
      <t>Kigelia  Africana</t>
    </r>
    <r>
      <rPr>
        <sz val="11"/>
        <color rgb="FF000000"/>
        <rFont val="Calibri"/>
        <family val="2"/>
        <scheme val="minor"/>
      </rPr>
      <t>) Diameter 25-30 cm, Tinggi Diatas 6 meter, Polybag 250 L</t>
    </r>
  </si>
  <si>
    <r>
      <t>Penanaman 1 Buah Pohon Besar Trembesi (</t>
    </r>
    <r>
      <rPr>
        <i/>
        <sz val="11"/>
        <color rgb="FF000000"/>
        <rFont val="Calibri"/>
        <family val="2"/>
        <scheme val="minor"/>
      </rPr>
      <t>Samanea Saman</t>
    </r>
    <r>
      <rPr>
        <sz val="11"/>
        <color rgb="FF000000"/>
        <rFont val="Calibri"/>
        <family val="2"/>
        <scheme val="minor"/>
      </rPr>
      <t>) Diameter 25-30 cm, Tinggi Diatas 6 meter, Polybag 250 L</t>
    </r>
  </si>
  <si>
    <t>Penanaman Palem</t>
  </si>
  <si>
    <r>
      <t xml:space="preserve">Palem Rumpun Kecil, </t>
    </r>
    <r>
      <rPr>
        <i/>
        <sz val="11"/>
        <color rgb="FF000000"/>
        <rFont val="Calibri"/>
        <family val="2"/>
        <scheme val="minor"/>
      </rPr>
      <t xml:space="preserve">Polybag </t>
    </r>
    <r>
      <rPr>
        <sz val="11"/>
        <color rgb="FF000000"/>
        <rFont val="Calibri"/>
        <family val="2"/>
        <scheme val="minor"/>
      </rPr>
      <t>11 L</t>
    </r>
  </si>
  <si>
    <t>Penanaman 1 Buah Palem Kecil, Palem Rumpun kecil, Palem Waregu (Rhapis Excelsa), Tinggi mak 1 m, Polybag 11L</t>
  </si>
  <si>
    <t>Penanaman 1 Buah Palem Kecil, Palem Rumpun kecil, Palem Kuning (Dypsis Lutescens), Tinggi mak 1 m, Polybag 11L</t>
  </si>
  <si>
    <t>Penanaman 1 Buah Palem Kecil, Palem Rumpun kecil, Palem Komodoria Komodor/Chamadorea (Chamaedorea seifrizii), Tinggi mak 1 m, Polybag 11L</t>
  </si>
  <si>
    <t>Penanaman 1 Buah Palem Kecil, Palem Rumpun kecil, Palem Waregu (Rhapis Excelsa), Tinggi 1,2-1,5 m, Polybag 20L</t>
  </si>
  <si>
    <t>Penanaman 1 Buah Palem Kecil, Palem Rumpun kecil, Palem Kuning (Dypsis Lutescens), Tinggi  1,2-1,5 m, Polybag 20L</t>
  </si>
  <si>
    <t>Penanaman 1 Buah Palem Kecil, Palem Rumpun kecil, Palem Komodoria Komodor/Chamadorea (Chamaedorea seifrizii), Tinggi  1,2-1,5 m, Polybag 20L</t>
  </si>
  <si>
    <r>
      <t>Penanaman 1 Buah Palem Rumpun Besar, Palem Jepang (</t>
    </r>
    <r>
      <rPr>
        <i/>
        <sz val="11"/>
        <color rgb="FF000000"/>
        <rFont val="Calibri"/>
        <family val="2"/>
        <scheme val="minor"/>
      </rPr>
      <t>Ptychosperma Macarthurii),  Tinggi 2,5-3 meter, Polybag 50 L</t>
    </r>
  </si>
  <si>
    <r>
      <t>Penanaman 1 Buah Palem Rumpun Besar, Palem merah/Pinang Merah (Cyrtostachys Renda)</t>
    </r>
    <r>
      <rPr>
        <i/>
        <sz val="11"/>
        <color rgb="FF000000"/>
        <rFont val="Calibri"/>
        <family val="2"/>
        <scheme val="minor"/>
      </rPr>
      <t>,  Tinggi 2,5-3 meter, Polybag 50 L</t>
    </r>
  </si>
  <si>
    <r>
      <t>Penanaman 1 Buah Palem Rumpun Besar, Palem ekor ikan rumpun (Caryota mitis)</t>
    </r>
    <r>
      <rPr>
        <i/>
        <sz val="11"/>
        <color rgb="FF000000"/>
        <rFont val="Calibri"/>
        <family val="2"/>
        <scheme val="minor"/>
      </rPr>
      <t>,  Tinggi 2,5-3 meter, Polybag 50 L</t>
    </r>
  </si>
  <si>
    <t>Palem Tunggal Kecil,Polybag 11 - 25 L</t>
  </si>
  <si>
    <r>
      <t>Penanaman 1 Buah Palem Tunggal Kecil, Palem Kol (Licuala grandis), Tinggi 0,5-0,6 meter</t>
    </r>
    <r>
      <rPr>
        <i/>
        <sz val="11"/>
        <color rgb="FF000000"/>
        <rFont val="Calibri"/>
        <family val="2"/>
        <scheme val="minor"/>
      </rPr>
      <t>, Polybag 11 L</t>
    </r>
  </si>
  <si>
    <r>
      <t>Penanaman 1 Buah Palem Tunggal Kecil, Palem Kol (Licuala grandis), Tinggi 0,6-0,8 meter</t>
    </r>
    <r>
      <rPr>
        <i/>
        <sz val="11"/>
        <color rgb="FF000000"/>
        <rFont val="Calibri"/>
        <family val="2"/>
        <scheme val="minor"/>
      </rPr>
      <t>, Polybag 20 L</t>
    </r>
  </si>
  <si>
    <t>Penanaman 1 Buah Palem Tunggal Kecil, Sikas Halus/Mawar Jambe (Cycas Revoluta), Tinggi 0,5 - 0,6 meter, Polybag 25 L</t>
  </si>
  <si>
    <t>Palem Tunggal Kecil,Polybag 50 L</t>
  </si>
  <si>
    <t>Penanaman 1 Buah Palem Tunggal Kecil, Palem Phonix (Phonix Roebelenii) Tinggi 1,2-1,5 meter, Polybag 50 L</t>
  </si>
  <si>
    <t>Penanaman 1 Buah Palem Tunggal Kecil, Palem Putri (Veichia Merillii) Tinggi 2-2,5 meter, Polybag 50 L</t>
  </si>
  <si>
    <t>Penanaman 1 Buah Palem Tunggal Kecil, Sikas Halus/Mawar Jambe (Cycas Revoluta), Tinggi 0,8-1 meter, Polybag 50 L</t>
  </si>
  <si>
    <t>Palem Tunggal Besar, Polybag 100L</t>
  </si>
  <si>
    <t>Penanaman 1 Buah Palem Tunggal Besar, Palem Ekor Tupai (Wodyetia Bifurcata), Tinggi 3 - 3,5 meter, Polybag 100L</t>
  </si>
  <si>
    <t>Penanaman 1 Buah Palem Tunggal Besar, Palem Raja (Roystonea Regia) Tinggi 3 - 3,5 meter, Polybag 100L</t>
  </si>
  <si>
    <t>Penanaman 1 Buah Palem Tunggal Besar, Palem Sadeng ( Saribus Rotundifolius) Tinggi 3 - 3,5 meter, Polybag 100L</t>
  </si>
  <si>
    <t>Penanaman 1 Buah Palem Tunggal Besar, Palem washingtonia (Washingtonia robusta) Tinggi 3 - 3,5 meter, Polybag 100L</t>
  </si>
  <si>
    <t>Penanaman 1 Buah Palem Tunggal Besar, Palem ekor ikan tunggal/Palem seledri (Caryota no) Tinggi 3 - 3,5 meter, Polybag 100L</t>
  </si>
  <si>
    <t>Penanaman 1 Buah Palem Tunggal Besar, Palem Sinensis (Livistona chinensis) Tinggi 3 - 3,5 meter, Polybag 100L</t>
  </si>
  <si>
    <t>Penanaman 1 Buah Palem Tunggal Besar, Palem Bismakia Silver (Bismarckia nobilis Silver) Tinggi 3 - 3,5 meter, Polybag 100L</t>
  </si>
  <si>
    <t>Penanaman 1 Buah Palem Tunggal Besar, Pinang Jambe (Areca catechu) Tinggi 3 - 3,5 meter, Polybag 100L</t>
  </si>
  <si>
    <t>Palem Tunggal Besar, Polybag 150 L</t>
  </si>
  <si>
    <r>
      <t xml:space="preserve">Palem Rumpun Besar, </t>
    </r>
    <r>
      <rPr>
        <b/>
        <i/>
        <sz val="11"/>
        <color rgb="FF000000"/>
        <rFont val="Calibri"/>
        <family val="2"/>
        <scheme val="minor"/>
      </rPr>
      <t xml:space="preserve">Polybag </t>
    </r>
    <r>
      <rPr>
        <b/>
        <sz val="11"/>
        <color rgb="FF000000"/>
        <rFont val="Calibri"/>
        <family val="2"/>
        <scheme val="minor"/>
      </rPr>
      <t>50 L</t>
    </r>
  </si>
  <si>
    <r>
      <t xml:space="preserve">Palem Rumpun Kecil, </t>
    </r>
    <r>
      <rPr>
        <b/>
        <i/>
        <sz val="11"/>
        <color rgb="FF000000"/>
        <rFont val="Calibri"/>
        <family val="2"/>
        <scheme val="minor"/>
      </rPr>
      <t xml:space="preserve">Polybag </t>
    </r>
    <r>
      <rPr>
        <b/>
        <sz val="11"/>
        <color rgb="FF000000"/>
        <rFont val="Calibri"/>
        <family val="2"/>
        <scheme val="minor"/>
      </rPr>
      <t>20 L</t>
    </r>
  </si>
  <si>
    <t>Penanaman 1 Buah Palem Tunggal Besar, Palem Ekor Tupai (Wodyetia Bifurcata), Tinggi 4 – 5 meter, Polybag 150L</t>
  </si>
  <si>
    <t>Penanaman 1 Buah Palem Tunggal Besar, Palem Raja (Roystonea Regia), Tinggi 4 – 5 meter, Polybag 150 L</t>
  </si>
  <si>
    <t>Penanaman 1 Buah Palem Tunggal Besar, Palem Sadeng   (Saribus Rotundifolius), Tinggi 4 – 5 meter, Polybag 150 L</t>
  </si>
  <si>
    <r>
      <t xml:space="preserve">Penanaman  1  Buah  Palem  Tunggal  Besar,  Palem  washingtonia  (Washingtonia robusta), Tinggi 4 – 5 meter, Polybag 150 L </t>
    </r>
    <r>
      <rPr>
        <b/>
        <i/>
        <sz val="11"/>
        <color rgb="FF000000"/>
        <rFont val="Calibri"/>
        <family val="2"/>
        <scheme val="minor"/>
      </rPr>
      <t>(Baru)</t>
    </r>
  </si>
  <si>
    <t>Penanaman 1 Buah Palem Tunggal Besar, Palem ekor ikan tunggal/ Palem seledri (Caryota no), Tinggi 4 – 5 meter, Polybag 150 L (Baru)</t>
  </si>
  <si>
    <t>Penanaman 1 Buah Palem Tunggal Besar, Palem Sinensis (Livistona chinensis), Tinggi 4 – 5 meter, Polybag 150 L (Baru)</t>
  </si>
  <si>
    <t>Penanaman 1 Buah Palem Tunggal Besar, Palem Bismarkia Silver (Bismarckia nobilis 'Silver'), Tinggi 1,2 – 2 meter, Polybag 150 L (Baru)</t>
  </si>
  <si>
    <r>
      <t xml:space="preserve">Penanaman 1 Buah Palem Tunggal Besar, Pinang jambe (Areca catechu), Tinggi 4 – 5 meter, Polybag 150L </t>
    </r>
    <r>
      <rPr>
        <b/>
        <i/>
        <sz val="11"/>
        <color rgb="FF000000"/>
        <rFont val="Calibri"/>
        <family val="2"/>
        <scheme val="minor"/>
      </rPr>
      <t>(Baru</t>
    </r>
  </si>
  <si>
    <t>Penanaman Semak</t>
  </si>
  <si>
    <r>
      <t xml:space="preserve">Semak, </t>
    </r>
    <r>
      <rPr>
        <i/>
        <sz val="11"/>
        <color rgb="FF000000"/>
        <rFont val="Calibri"/>
        <family val="2"/>
        <scheme val="minor"/>
      </rPr>
      <t xml:space="preserve">Polybag </t>
    </r>
    <r>
      <rPr>
        <sz val="11"/>
        <color rgb="FF000000"/>
        <rFont val="Calibri"/>
        <family val="2"/>
        <scheme val="minor"/>
      </rPr>
      <t>5 L</t>
    </r>
  </si>
  <si>
    <t>Penanaman  1  m2   Semak,  Alamanda/Bunga  Terompet  Emas (Allamanda Cathartica), 25 Buah/m2, Polybag 5 L</t>
  </si>
  <si>
    <r>
      <t>Penanaman 1 m2 Semak, Bakung Lele (</t>
    </r>
    <r>
      <rPr>
        <i/>
        <sz val="11"/>
        <rFont val="Calibri"/>
        <family val="2"/>
        <scheme val="minor"/>
      </rPr>
      <t>Hymenocalis Speciosa</t>
    </r>
    <r>
      <rPr>
        <sz val="11"/>
        <rFont val="Calibri"/>
        <family val="2"/>
        <scheme val="minor"/>
      </rPr>
      <t>), 36 Buah/m2, Polybag  5 L</t>
    </r>
  </si>
  <si>
    <r>
      <t>Penanaman 1 m2 Semak, Bunga Iris (</t>
    </r>
    <r>
      <rPr>
        <i/>
        <sz val="11"/>
        <rFont val="Calibri"/>
        <family val="2"/>
        <scheme val="minor"/>
      </rPr>
      <t>Neomarica Longifolia</t>
    </r>
    <r>
      <rPr>
        <sz val="11"/>
        <rFont val="Calibri"/>
        <family val="2"/>
        <scheme val="minor"/>
      </rPr>
      <t>), 36 Buah/m2, Polybag 5 L</t>
    </r>
  </si>
  <si>
    <r>
      <t>Penanaman 1 m2 Semak, Calathea (</t>
    </r>
    <r>
      <rPr>
        <i/>
        <sz val="11"/>
        <rFont val="Calibri"/>
        <family val="2"/>
        <scheme val="minor"/>
      </rPr>
      <t>Calathea Sp.</t>
    </r>
    <r>
      <rPr>
        <sz val="11"/>
        <rFont val="Calibri"/>
        <family val="2"/>
        <scheme val="minor"/>
      </rPr>
      <t>), 16 Buah/m2, Polybag 5 L</t>
    </r>
  </si>
  <si>
    <t>Penyemprotan Pestisida (Insektisida/Fungisida)</t>
  </si>
  <si>
    <r>
      <t xml:space="preserve">Penyemprotan Pestisida (Insektisida/Fungisida) dengan </t>
    </r>
    <r>
      <rPr>
        <i/>
        <sz val="11"/>
        <color rgb="FF000000"/>
        <rFont val="Calibri"/>
        <family val="2"/>
        <scheme val="minor"/>
      </rPr>
      <t>Sprayer Gendong 1 Kali untuk 1 Buah Pohon/Palem</t>
    </r>
  </si>
  <si>
    <r>
      <t xml:space="preserve">Penyemprotan Pestisida (Fungisida /Insektisida) dengan </t>
    </r>
    <r>
      <rPr>
        <i/>
        <sz val="11"/>
        <color rgb="FF000000"/>
        <rFont val="Calibri"/>
        <family val="2"/>
        <scheme val="minor"/>
      </rPr>
      <t>Sprayer Gendong 1 Kali untuk 1 m2 Semak</t>
    </r>
  </si>
  <si>
    <r>
      <t xml:space="preserve">Penyemprotan Pestisida (Fungisida /Insektisida) dengan </t>
    </r>
    <r>
      <rPr>
        <i/>
        <sz val="11"/>
        <color rgb="FF000000"/>
        <rFont val="Calibri"/>
        <family val="2"/>
        <scheme val="minor"/>
      </rPr>
      <t>Sprayer Gendong 1 Kali untuk 1 m2 Penutup Tanah/Rumput</t>
    </r>
  </si>
  <si>
    <t>Pemangkasan 1 m2 Rumput dengan Mesin Dorong</t>
  </si>
  <si>
    <t>Pemangkasan 1 m2 Rumput dengan Mesin Gendong</t>
  </si>
  <si>
    <t>Pemangkasan 1 m2 Penutup Tanah dengan Gunting Pangkas</t>
  </si>
  <si>
    <t>Pemangkasan 1 m2 Semak dengan Gunting Pangkas</t>
  </si>
  <si>
    <t>Pemangkasan    1    Buah    Palem   Sedang/Besar,   Termasuk Pengangkutan Keluar Area Tanam</t>
  </si>
  <si>
    <t>Pemangkasan 1 Buah Pohon Besar (Dia. Tajuk &gt; 10 m) Termasuk Pengangkutan Keluar Area Tanam</t>
  </si>
  <si>
    <t>Pemangkasan 1 Buah Pohon Sedang (Dia. Tajuk 5-10 m) Termasuk Pengangkutan Keluar Area Tanam</t>
  </si>
  <si>
    <t>Pemangkasan 1 Buah Pohon Kecil (Dia. Tajuk &lt; 5 m, Tinggi 3-6m) Termasuk Pengangkutan Keluar Area Tanam</t>
  </si>
  <si>
    <t>Pemangkasan</t>
  </si>
  <si>
    <t>Pemupukan Pupuk Anorganik Padat (1 kali) untuk 1 m2 Semak</t>
  </si>
  <si>
    <t>Pemupukan Pupuk Anorganik Padat (1 kali) untuk 1 m2 Penutup Tanah/Rumput</t>
  </si>
  <si>
    <t>Pemupukan  pupuk  anorganik  cair  (1  kali)  untuk  1  buah pohon/palem</t>
  </si>
  <si>
    <t>Pemupukan Organik</t>
  </si>
  <si>
    <t>Pemupukan Pupuk Organik (1 kali) untuk 1 Buah Pohon/Palem</t>
  </si>
  <si>
    <t>Pemupukan Pupuk Organik (1 kali) untuk 1 m2 Semak/Penutup Tanah/Rumput</t>
  </si>
  <si>
    <t>PEKERJAAN PEMELIHARAAN TANAMAN</t>
  </si>
  <si>
    <t>Penyiraman pada Masa Pemeliharaan</t>
  </si>
  <si>
    <t>Penyiraman 1m2 Area Tanam untuk 1 hari (dengan Selang Plastik 3/4 inch)</t>
  </si>
  <si>
    <r>
      <t xml:space="preserve">Penyiraman 1 m2 Area Tanam untuk 1 hari (dengan </t>
    </r>
    <r>
      <rPr>
        <i/>
        <sz val="11"/>
        <color rgb="FF000000"/>
        <rFont val="Calibri"/>
        <family val="2"/>
        <scheme val="minor"/>
      </rPr>
      <t>Sprinkler</t>
    </r>
    <r>
      <rPr>
        <sz val="11"/>
        <color rgb="FF000000"/>
        <rFont val="Calibri"/>
        <family val="2"/>
        <scheme val="minor"/>
      </rPr>
      <t>)</t>
    </r>
  </si>
  <si>
    <t>Penyiraman pada Tanah Tidak Subur di Lahan Miring/Kelerengan</t>
  </si>
  <si>
    <t>Penyiraman untuk 1 Hari di Tanah Tidak Subur di Kelerengan Tanah 1:2 (13° - 26.5°) per m2 untuk Sumber Air Dari Luar Lokasi Pekerjaan</t>
  </si>
  <si>
    <t>Penyiraman untuk 1 Hari di Tanah Tidak Subur di Kelerengan Tanah 1:1 (26.5° - 45°) per m2 untuk Sumber Air Dari Luar Lokasi Pekerjaan</t>
  </si>
  <si>
    <t>Penyiraman untuk 1 Hari di Tanah Tidak Subur di Kelerengan Tanah 1:0.5 (45° - 63°) per m2 untuk Sumber Air Dari Luar Lokasi Pekerjaan</t>
  </si>
  <si>
    <t>Penyiraman untuk 1 Hari di Tanah Tidak Subur di Kelerengan Tanah 1:2 (13° - 26.5°) per m2 untuk Sumber Air Tersedia Lokasi Pekerjaan</t>
  </si>
  <si>
    <t>Penyiraman untuk 1 Hari di Tanah Tidak Subur di Kelerengan Tanah 1:1 (26.5° - 45°) per m2 untuk Sumber Air Tersedia Lokasi Pekerjaan</t>
  </si>
  <si>
    <t>Penyiraman untuk 1 Hari di Tanah Tidak Subur di Kelerengan Tanah 1:0.5 (45° - 63°) per m2 untuk Sumber Air Tersedia Lokasi Pekerjaan</t>
  </si>
  <si>
    <t>Cara Perhitungan AHSP Pengolahan Tanah Tidak Subur</t>
  </si>
  <si>
    <t>Pengolahan Tanah berPH 4.50-5.50 dan Bertekstur Pasir 60.01% - 100.00% atau Tanah Sandy per m3</t>
  </si>
  <si>
    <t>Pengolahan Tanah berPH 4.50-5.50 dan Bertekstur Liat 40.01% - 60.00% atau Tanah Sandy Loam per m3</t>
  </si>
  <si>
    <t>Pengolahan Tanah berPH 4.50-5.50 dan Bertekstur Liat 60.01% - 100.00% atau Tanah Loam To Clay Loam per m3</t>
  </si>
  <si>
    <t>Pengolahan Tanah berPH 3.50-4.49 dan Bertekstur Liat 60.01% - 100.00% atau Tanah Sandy per m3</t>
  </si>
  <si>
    <t>Pengolahan Tanah berPH 3.50-4.49 dan Bertekstur Liat 40.01% - 60.00% atau Tanah Sandy Loam per m3</t>
  </si>
  <si>
    <t>Pengolahan Tanah berPH 3.50-4.49 dan Bertekstur Liat 60.01% -100.00% atau Tanah Loam To Clay Loam per m3</t>
  </si>
  <si>
    <t>Pengolahan Tanah berPH &gt;7.5 per m3</t>
  </si>
  <si>
    <t>Pengolahan Tanah berPH &gt;7.5 dan Bertekstur Pasir 60.01% - 100.00% atau Tanah Sandy per m3</t>
  </si>
  <si>
    <t>Pengolahan  Tanah  berPH  &gt;7.5  dan  Bertekstur  Liat  40.01%  - 60.00% atau Tanah Sandy Loam per m3</t>
  </si>
  <si>
    <t>Pengolahan  Tanah  berPH  &gt;7.5  dan  Bertekstur  Liat  60.01%  - 100.00% atau Tanah Loam To Clay Loam per m3</t>
  </si>
  <si>
    <t>Pengolahan Tanah Bertekstur Tidak Subur</t>
  </si>
  <si>
    <t>Pengolahan Tanah Bertekstur Liat 40.01%-60.00% atau Tanah Sandy per m3</t>
  </si>
  <si>
    <t>Pengolahan Tanah Bertekstur Liat 60.01%-100.00% atau Tanah Sandy Loam per m3</t>
  </si>
  <si>
    <t>Pengolahan Tanah Bertekstur Pasir 60.01%-100.00% atau Tanah Loam to Clay Loam per m3</t>
  </si>
  <si>
    <t>Penyiraman pada Tanah Datar (Lahan Subur)</t>
  </si>
  <si>
    <t>Penyiraman untuk 1 Hari (dengan Selang Plastik 3/4 inch) untuk 1 Buah Pohon/Palem</t>
  </si>
  <si>
    <t>Penyiraman 1 m2 Semak/Penutup Tanah untuk 1 Hari (dengan Selang Plastik 3/4 inch)</t>
  </si>
  <si>
    <t>Penyiraman 1 m2 Rumput untuk 1 Hari (dengan Selang Plastik 3/4 inch)</t>
  </si>
  <si>
    <t xml:space="preserve">Penyiraman 1 m2  Semak/Penutup Tanah untuk 1 Hari (dengan Sprinkler) </t>
  </si>
  <si>
    <r>
      <t xml:space="preserve">Penyiraman  1  m2   Rumput  untuk  1  Hari  (dengan  </t>
    </r>
    <r>
      <rPr>
        <i/>
        <sz val="11"/>
        <color rgb="FF000000"/>
        <rFont val="Calibri"/>
        <family val="2"/>
        <scheme val="minor"/>
      </rPr>
      <t>Sprinkler</t>
    </r>
    <r>
      <rPr>
        <sz val="11"/>
        <color rgb="FF000000"/>
        <rFont val="Calibri"/>
        <family val="2"/>
        <scheme val="minor"/>
      </rPr>
      <t>*)</t>
    </r>
  </si>
  <si>
    <t>Penyiraman pada Tanah Tidak Subur di Lahan Datar</t>
  </si>
  <si>
    <t>Penyiraman untuk 1 Hari (dengan Selang Plastik 3/4 inch) untuk 1 Buah Pohon/Palem di Tanah Tidak Subur di Lahan Datar dan Tidak Memiliki Jaringan Air Yang Baik</t>
  </si>
  <si>
    <t>Penyiraman untuk 1 Hari (dengan Selang Plastik 3/4 inch) untuk 1 m2 Semak/Penutup Tanah di Tanah Tidak Subur di Lahan Datar dan Tidak Memiliki Jaringan Air Yang Baik</t>
  </si>
  <si>
    <t>Penyiraman untuk 1 Hari (dengan Selang Plastik 3/4 inch) untuk 1 m2  Rumput di Tanah Tidak Subur di Lahan Datar dan Tidak Memiliki Jaringan Air Yang Baik</t>
  </si>
  <si>
    <r>
      <t xml:space="preserve">Penyiraman  untuk  1  Hari  (dengan  </t>
    </r>
    <r>
      <rPr>
        <i/>
        <sz val="11"/>
        <color rgb="FF000000"/>
        <rFont val="Calibri"/>
        <family val="2"/>
        <scheme val="minor"/>
      </rPr>
      <t>Sprinkler</t>
    </r>
    <r>
      <rPr>
        <sz val="11"/>
        <color rgb="FF000000"/>
        <rFont val="Calibri"/>
        <family val="2"/>
        <scheme val="minor"/>
      </rPr>
      <t>*)  untuk  1  m2 Semak/Penutup Tanah di Tanah Tidak Subur di Lahan Datar dan Tidak Memiliki Jaringan Air Yang Baik</t>
    </r>
  </si>
  <si>
    <r>
      <t xml:space="preserve">Penyiraman untuk 1 Hari (dengan </t>
    </r>
    <r>
      <rPr>
        <i/>
        <sz val="11"/>
        <color rgb="FF000000"/>
        <rFont val="Calibri"/>
        <family val="2"/>
        <scheme val="minor"/>
      </rPr>
      <t>Sprinkler</t>
    </r>
    <r>
      <rPr>
        <sz val="11"/>
        <color rgb="FF000000"/>
        <rFont val="Calibri"/>
        <family val="2"/>
        <scheme val="minor"/>
      </rPr>
      <t>*) untuk 1 m2 Rumput di Tanah Tidak Subur di Lahan Datar dan Tidak Memiliki Jaringan Air Yang Baik</t>
    </r>
  </si>
  <si>
    <t>Penyiraman untuk 1 Hari (dengan Selang Plastik 3/4 inch) untuk 1 Buah Pohon/Palem di Tanah Tidak Subur di Lahan Datar dan Memiliki Jaringan Air Yang Baik</t>
  </si>
  <si>
    <t>Penyiraman untuk 1 Hari (dengan Selang Plastik 3/4 inch) untuk 1 m2 Semak/Penutup Tanah di Tanah Tidak Subur di Lahan Datar dan Memiliki Jaringan Air Yang Baik</t>
  </si>
  <si>
    <t>Penyiraman untuk 1 Hari (dengan Selang Plastik 3/4 inch) untuk 1 m2 Rumput di Tanah Tidak Subur di Lahan Datar dan Memiliki Jaringan Air Yang Baik</t>
  </si>
  <si>
    <r>
      <t xml:space="preserve">Penyiraman  untuk  1  Hari  (dengan  </t>
    </r>
    <r>
      <rPr>
        <i/>
        <sz val="11"/>
        <color rgb="FF000000"/>
        <rFont val="Calibri"/>
        <family val="2"/>
        <scheme val="minor"/>
      </rPr>
      <t>Sprinkler</t>
    </r>
    <r>
      <rPr>
        <sz val="11"/>
        <color rgb="FF000000"/>
        <rFont val="Calibri"/>
        <family val="2"/>
        <scheme val="minor"/>
      </rPr>
      <t>*)  untuk  1  m2 Semak/Penutup Tanah di Tanah Tidak Subur di Lahan Datar dan Memiliki Jaringan Air Yang Baik</t>
    </r>
  </si>
  <si>
    <r>
      <t xml:space="preserve">Penyiraman untuk 1 Hari (dengan </t>
    </r>
    <r>
      <rPr>
        <i/>
        <sz val="11"/>
        <color rgb="FF000000"/>
        <rFont val="Calibri"/>
        <family val="2"/>
        <scheme val="minor"/>
      </rPr>
      <t>Sprinkler</t>
    </r>
    <r>
      <rPr>
        <sz val="11"/>
        <color rgb="FF000000"/>
        <rFont val="Calibri"/>
        <family val="2"/>
        <scheme val="minor"/>
      </rPr>
      <t>*) untuk 1 m2 Rumput di Tanah Tidak Subur di Lahan Datar dan  Memiliki Jaringan Air Yang Baik</t>
    </r>
  </si>
  <si>
    <t>Penyiraman pada Tanah Subur di Lahan Miring/Kelerengan</t>
  </si>
  <si>
    <t>Penyiraman untuk 1 Hari di Tanah Subur di Kelerengan Tanah 1:2 (13° - 26.5°) per m2</t>
  </si>
  <si>
    <t>Penyiraman untuk 1 Hari di Tanah Subur di Kelerengan Tanah 1:2 (26.5°- 45°) per m2</t>
  </si>
  <si>
    <t>Penyiraman untuk 1 Hari di Tanah Subur di Kelerengan Tanah 1:0.5 (45° - 63°) per m2</t>
  </si>
  <si>
    <t>Pengolahan Tanah berPH Tidak Subur</t>
  </si>
  <si>
    <t>4.1.8.1</t>
  </si>
  <si>
    <r>
      <t>Penanaman  1  m2  Semak,  Bunga  Terompet  Kuning  (</t>
    </r>
    <r>
      <rPr>
        <i/>
        <sz val="11"/>
        <color rgb="FF000000"/>
        <rFont val="Calibri"/>
        <family val="2"/>
        <scheme val="minor"/>
      </rPr>
      <t>Tecoma Stans), 12 Buah/ m2, Polybag 20 L</t>
    </r>
  </si>
  <si>
    <r>
      <t>Penanaman 1 m2 Semak, Canna (</t>
    </r>
    <r>
      <rPr>
        <i/>
        <sz val="11"/>
        <color rgb="FF000000"/>
        <rFont val="Calibri"/>
        <family val="2"/>
        <scheme val="minor"/>
      </rPr>
      <t>Canna Indica</t>
    </r>
    <r>
      <rPr>
        <sz val="11"/>
        <color rgb="FF000000"/>
        <rFont val="Calibri"/>
        <family val="2"/>
        <scheme val="minor"/>
      </rPr>
      <t>), 12 Buah/ m2, Polybag 20 L</t>
    </r>
  </si>
  <si>
    <r>
      <t xml:space="preserve">Penanaman 1 m2 Semak, Dracaena </t>
    </r>
    <r>
      <rPr>
        <b/>
        <sz val="11"/>
        <color rgb="FF000000"/>
        <rFont val="Calibri"/>
        <family val="2"/>
        <scheme val="minor"/>
      </rPr>
      <t>‘</t>
    </r>
    <r>
      <rPr>
        <sz val="11"/>
        <color rgb="FF000000"/>
        <rFont val="Calibri"/>
        <family val="2"/>
        <scheme val="minor"/>
      </rPr>
      <t xml:space="preserve">Song Of </t>
    </r>
    <r>
      <rPr>
        <b/>
        <sz val="11"/>
        <color rgb="FF000000"/>
        <rFont val="Calibri"/>
        <family val="2"/>
        <scheme val="minor"/>
      </rPr>
      <t xml:space="preserve">India’ </t>
    </r>
    <r>
      <rPr>
        <sz val="11"/>
        <color rgb="FF000000"/>
        <rFont val="Calibri"/>
        <family val="2"/>
        <scheme val="minor"/>
      </rPr>
      <t>(</t>
    </r>
    <r>
      <rPr>
        <i/>
        <sz val="11"/>
        <color rgb="FF000000"/>
        <rFont val="Calibri"/>
        <family val="2"/>
        <scheme val="minor"/>
      </rPr>
      <t>Dracaena Reflexa "Song Of India"), 12 Buah/ m2, Polybag 20 L</t>
    </r>
  </si>
  <si>
    <r>
      <t>Penanaman 1 m2 Semak, Dracaena 'Song Of Jamaica' (</t>
    </r>
    <r>
      <rPr>
        <i/>
        <sz val="11"/>
        <color rgb="FF000000"/>
        <rFont val="Calibri"/>
        <family val="2"/>
        <scheme val="minor"/>
      </rPr>
      <t>Dracaena Reflexa "Song Of Jamaica"), 12 Buah/ m2, Polybag 20 L</t>
    </r>
  </si>
  <si>
    <r>
      <t>Penanaman 1 m2 Semak, Helliconia  (</t>
    </r>
    <r>
      <rPr>
        <i/>
        <sz val="11"/>
        <color rgb="FF000000"/>
        <rFont val="Calibri"/>
        <family val="2"/>
        <scheme val="minor"/>
      </rPr>
      <t>Heliconia Psittacorum</t>
    </r>
    <r>
      <rPr>
        <sz val="11"/>
        <color rgb="FF000000"/>
        <rFont val="Calibri"/>
        <family val="2"/>
        <scheme val="minor"/>
      </rPr>
      <t>), 12 Buah/ m2, Polybag 20 L</t>
    </r>
  </si>
  <si>
    <r>
      <t>Penanaman   1   m2    Semak,   Honje/Kecombrang   (</t>
    </r>
    <r>
      <rPr>
        <i/>
        <sz val="11"/>
        <color rgb="FF000000"/>
        <rFont val="Calibri"/>
        <family val="2"/>
        <scheme val="minor"/>
      </rPr>
      <t>Etlingera Elatior), 12 Buah/ m2, Polybag 20 L</t>
    </r>
  </si>
  <si>
    <r>
      <t>Penanaman 1 m2 Semak, Hujan Mas (</t>
    </r>
    <r>
      <rPr>
        <i/>
        <sz val="11"/>
        <color rgb="FF000000"/>
        <rFont val="Calibri"/>
        <family val="2"/>
        <scheme val="minor"/>
      </rPr>
      <t>Galphimia Glauca</t>
    </r>
    <r>
      <rPr>
        <sz val="11"/>
        <color rgb="FF000000"/>
        <rFont val="Calibri"/>
        <family val="2"/>
        <scheme val="minor"/>
      </rPr>
      <t>), 12 Buah/ m2, Polybag 20 L</t>
    </r>
  </si>
  <si>
    <r>
      <t>Penanaman 1 m2 Semak, Kacapiring Wangi/Gardenia (</t>
    </r>
    <r>
      <rPr>
        <i/>
        <sz val="11"/>
        <color rgb="FF000000"/>
        <rFont val="Calibri"/>
        <family val="2"/>
        <scheme val="minor"/>
      </rPr>
      <t>Gardenia Jasminoides), 12 Buah/ m2, Polybag 20 L</t>
    </r>
  </si>
  <si>
    <r>
      <t>Penanaman  1  m2  Semak,  Kembang  Sepatu  (</t>
    </r>
    <r>
      <rPr>
        <i/>
        <sz val="11"/>
        <color rgb="FF000000"/>
        <rFont val="Calibri"/>
        <family val="2"/>
        <scheme val="minor"/>
      </rPr>
      <t>Hibiscus  Rosa- Sinensis</t>
    </r>
    <r>
      <rPr>
        <sz val="11"/>
        <color rgb="FF000000"/>
        <rFont val="Calibri"/>
        <family val="2"/>
        <scheme val="minor"/>
      </rPr>
      <t xml:space="preserve">), 12 Buah/ m2, </t>
    </r>
    <r>
      <rPr>
        <i/>
        <sz val="11"/>
        <color rgb="FF000000"/>
        <rFont val="Calibri"/>
        <family val="2"/>
        <scheme val="minor"/>
      </rPr>
      <t xml:space="preserve">Polybag </t>
    </r>
    <r>
      <rPr>
        <sz val="11"/>
        <color rgb="FF000000"/>
        <rFont val="Calibri"/>
        <family val="2"/>
        <scheme val="minor"/>
      </rPr>
      <t>20 L</t>
    </r>
  </si>
  <si>
    <r>
      <t>Penanaman 1 m2  Semak, Oleander/Bunga Mentega (</t>
    </r>
    <r>
      <rPr>
        <i/>
        <sz val="11"/>
        <color rgb="FF000000"/>
        <rFont val="Calibri"/>
        <family val="2"/>
        <scheme val="minor"/>
      </rPr>
      <t>Nerium Oleander), 12 Buah/ m2, Polybag 20 L</t>
    </r>
  </si>
  <si>
    <r>
      <t>Penanaman   1   m2    Semak,   Penda   Emas   (</t>
    </r>
    <r>
      <rPr>
        <i/>
        <sz val="11"/>
        <color rgb="FF000000"/>
        <rFont val="Calibri"/>
        <family val="2"/>
        <scheme val="minor"/>
      </rPr>
      <t>Xanthostemon Chrysanthus), 12 Buah/ m2, Polybag 20 L</t>
    </r>
  </si>
  <si>
    <r>
      <t>Penanaman 1 m2 Semak, Puring (</t>
    </r>
    <r>
      <rPr>
        <i/>
        <sz val="11"/>
        <color rgb="FF000000"/>
        <rFont val="Calibri"/>
        <family val="2"/>
        <scheme val="minor"/>
      </rPr>
      <t>Codiaeum Variegatum</t>
    </r>
    <r>
      <rPr>
        <sz val="11"/>
        <color rgb="FF000000"/>
        <rFont val="Calibri"/>
        <family val="2"/>
        <scheme val="minor"/>
      </rPr>
      <t>), 12 Buah/ m2, Polybag 20 L</t>
    </r>
  </si>
  <si>
    <r>
      <t>Penanaman 1 m2 Semak, Tabernac (</t>
    </r>
    <r>
      <rPr>
        <i/>
        <sz val="11"/>
        <color rgb="FF000000"/>
        <rFont val="Calibri"/>
        <family val="2"/>
        <scheme val="minor"/>
      </rPr>
      <t xml:space="preserve">Tabernaemontana Sp. </t>
    </r>
    <r>
      <rPr>
        <sz val="11"/>
        <color rgb="FF000000"/>
        <rFont val="Calibri"/>
        <family val="2"/>
        <scheme val="minor"/>
      </rPr>
      <t>), 12 Buah/ m2, Polybag 20 L</t>
    </r>
  </si>
  <si>
    <r>
      <t>Penanaman 1 m2 Semak, Walisongo/Umbrella Tree (</t>
    </r>
    <r>
      <rPr>
        <i/>
        <sz val="11"/>
        <color rgb="FF000000"/>
        <rFont val="Calibri"/>
        <family val="2"/>
        <scheme val="minor"/>
      </rPr>
      <t>Schefflera Arboricola), 12 Buah/ m2, Polybag 20 L</t>
    </r>
  </si>
  <si>
    <t>Penanaman 1 m2 Semak, Keladi Sente (Alocasia macrorrhiz), 9 Buah/ m2, Polybag 20  L (Baru)</t>
  </si>
  <si>
    <r>
      <t xml:space="preserve">Penanaman Penutup Tanah </t>
    </r>
    <r>
      <rPr>
        <b/>
        <i/>
        <sz val="11"/>
        <color rgb="FF000000"/>
        <rFont val="Calibri"/>
        <family val="2"/>
        <scheme val="minor"/>
      </rPr>
      <t>(Ground Cover)</t>
    </r>
  </si>
  <si>
    <r>
      <t>Penanaman 1 m2 Penutup Tanah, Kacang Hias (</t>
    </r>
    <r>
      <rPr>
        <i/>
        <sz val="11"/>
        <rFont val="Calibri"/>
        <family val="2"/>
        <scheme val="minor"/>
      </rPr>
      <t xml:space="preserve">Arachis Pintoi </t>
    </r>
    <r>
      <rPr>
        <sz val="11"/>
        <rFont val="Calibri"/>
        <family val="2"/>
        <scheme val="minor"/>
      </rPr>
      <t>),50 Buah/ m2, Polybag 0.5 L</t>
    </r>
  </si>
  <si>
    <r>
      <t>Penanaman 1 m2 Penutup Tanah, Widelia (</t>
    </r>
    <r>
      <rPr>
        <i/>
        <sz val="11"/>
        <rFont val="Calibri"/>
        <family val="2"/>
        <scheme val="minor"/>
      </rPr>
      <t>Wedelia Trilobata</t>
    </r>
    <r>
      <rPr>
        <sz val="11"/>
        <rFont val="Calibri"/>
        <family val="2"/>
        <scheme val="minor"/>
      </rPr>
      <t>), 50 Buah/ m2, Polybag 0.5 L</t>
    </r>
  </si>
  <si>
    <r>
      <t>Penanaman 1 m2 Penutup Tanah, Sutra Bombay (</t>
    </r>
    <r>
      <rPr>
        <i/>
        <sz val="11"/>
        <rFont val="Calibri"/>
        <family val="2"/>
        <scheme val="minor"/>
      </rPr>
      <t>Portulaca Sp.</t>
    </r>
    <r>
      <rPr>
        <sz val="11"/>
        <rFont val="Calibri"/>
        <family val="2"/>
        <scheme val="minor"/>
      </rPr>
      <t>), 50 Buah/ m2, Polybag 0.5 L</t>
    </r>
  </si>
  <si>
    <r>
      <t>Penanaman 1 m2 Penutup Tanah, Lantana (</t>
    </r>
    <r>
      <rPr>
        <i/>
        <sz val="11"/>
        <rFont val="Calibri"/>
        <family val="2"/>
        <scheme val="minor"/>
      </rPr>
      <t>Lantana Camara</t>
    </r>
    <r>
      <rPr>
        <sz val="11"/>
        <rFont val="Calibri"/>
        <family val="2"/>
        <scheme val="minor"/>
      </rPr>
      <t>), 50 Buah/ m2, Polybag 0.5 L</t>
    </r>
  </si>
  <si>
    <r>
      <t>Penanaman  1  m2   Penutup  Tanah,  Kucai  Mini  (</t>
    </r>
    <r>
      <rPr>
        <i/>
        <sz val="11"/>
        <rFont val="Calibri"/>
        <family val="2"/>
        <scheme val="minor"/>
      </rPr>
      <t>Ophiopogon Japonicus), 50 Buah/ m2, Polybag 0.5 L</t>
    </r>
  </si>
  <si>
    <r>
      <t xml:space="preserve">Penanaman 1 m2 Penutup Tanah, Kucai Mini (Ophiopogon Japonicus), 50 Buah/ m2, Polybag 0.5 L </t>
    </r>
    <r>
      <rPr>
        <b/>
        <i/>
        <sz val="11"/>
        <color rgb="FF000000"/>
        <rFont val="Calibri"/>
        <family val="2"/>
        <scheme val="minor"/>
      </rPr>
      <t xml:space="preserve">(Baru) </t>
    </r>
  </si>
  <si>
    <t>Penanaman Rumput</t>
  </si>
  <si>
    <r>
      <t>Penanaman   1   m2     Rumput,   Rumput   Gajah   (</t>
    </r>
    <r>
      <rPr>
        <i/>
        <sz val="11"/>
        <color rgb="FF000000"/>
        <rFont val="Calibri"/>
        <family val="2"/>
        <scheme val="minor"/>
      </rPr>
      <t>Pennisetum Purpureum)</t>
    </r>
  </si>
  <si>
    <r>
      <t>Penanaman  1  m2   Rumput,  Rumput  Gajah  Mini  (</t>
    </r>
    <r>
      <rPr>
        <i/>
        <sz val="11"/>
        <color rgb="FF000000"/>
        <rFont val="Calibri"/>
        <family val="2"/>
        <scheme val="minor"/>
      </rPr>
      <t>Axonopus Compressus)</t>
    </r>
  </si>
  <si>
    <r>
      <t>Penanaman 1 m2 Rumput, Rumput Peking (</t>
    </r>
    <r>
      <rPr>
        <i/>
        <sz val="11"/>
        <color rgb="FF000000"/>
        <rFont val="Calibri"/>
        <family val="2"/>
        <scheme val="minor"/>
      </rPr>
      <t>Agrostis Stolonifera</t>
    </r>
    <r>
      <rPr>
        <sz val="11"/>
        <color rgb="FF000000"/>
        <rFont val="Calibri"/>
        <family val="2"/>
        <scheme val="minor"/>
      </rPr>
      <t>)</t>
    </r>
  </si>
  <si>
    <r>
      <t>Penanaman 1 m2 Rumput, Rumput Embun (</t>
    </r>
    <r>
      <rPr>
        <i/>
        <sz val="11"/>
        <color rgb="FF000000"/>
        <rFont val="Calibri"/>
        <family val="2"/>
        <scheme val="minor"/>
      </rPr>
      <t>Bothriochloa Pertusa</t>
    </r>
    <r>
      <rPr>
        <sz val="11"/>
        <color rgb="FF000000"/>
        <rFont val="Calibri"/>
        <family val="2"/>
        <scheme val="minor"/>
      </rPr>
      <t>)</t>
    </r>
  </si>
  <si>
    <r>
      <t xml:space="preserve">Penanaman pada Lereng Tanah dan/atau Kombinasi Tanah dan Batuan 1:0.5 (45°-63°), Metode Taplok per m2 Permukaan Lereng (Menggunakan Jenis Biji </t>
    </r>
    <r>
      <rPr>
        <i/>
        <sz val="11"/>
        <color rgb="FF000000"/>
        <rFont val="Calibri"/>
        <family val="2"/>
        <scheme val="minor"/>
      </rPr>
      <t>Legume Crop Cover</t>
    </r>
    <r>
      <rPr>
        <sz val="11"/>
        <color rgb="FF000000"/>
        <rFont val="Calibri"/>
        <family val="2"/>
        <scheme val="minor"/>
      </rPr>
      <t>/LCC)</t>
    </r>
  </si>
  <si>
    <r>
      <t xml:space="preserve">Penanaman Pada Lereng Tanah 1:1 (26.5°-45°), Metode Taplok per m2  Permukaan Lereng (Menggunakan Jenis Biji </t>
    </r>
    <r>
      <rPr>
        <i/>
        <sz val="11"/>
        <color rgb="FF000000"/>
        <rFont val="Calibri"/>
        <family val="2"/>
        <scheme val="minor"/>
      </rPr>
      <t>Legume Crop Cover</t>
    </r>
    <r>
      <rPr>
        <sz val="11"/>
        <color rgb="FF000000"/>
        <rFont val="Calibri"/>
        <family val="2"/>
        <scheme val="minor"/>
      </rPr>
      <t>/LCC)</t>
    </r>
  </si>
  <si>
    <r>
      <t xml:space="preserve">Penanaman pada Lereng Tanah dan/atau Kombinasi Tanah dan Batuan 1:0.5 (45°-63°), Metode </t>
    </r>
    <r>
      <rPr>
        <i/>
        <sz val="11"/>
        <color rgb="FF000000"/>
        <rFont val="Calibri"/>
        <family val="2"/>
        <scheme val="minor"/>
      </rPr>
      <t xml:space="preserve">Hydroseeding </t>
    </r>
    <r>
      <rPr>
        <sz val="11"/>
        <color rgb="FF000000"/>
        <rFont val="Calibri"/>
        <family val="2"/>
        <scheme val="minor"/>
      </rPr>
      <t xml:space="preserve">per m2 Permukaan Lereng (Menggunakan Jenis Biji </t>
    </r>
    <r>
      <rPr>
        <i/>
        <sz val="11"/>
        <color rgb="FF000000"/>
        <rFont val="Calibri"/>
        <family val="2"/>
        <scheme val="minor"/>
      </rPr>
      <t>Legume Crop Cover</t>
    </r>
    <r>
      <rPr>
        <sz val="11"/>
        <color rgb="FF000000"/>
        <rFont val="Calibri"/>
        <family val="2"/>
        <scheme val="minor"/>
      </rPr>
      <t>/LCC)</t>
    </r>
  </si>
  <si>
    <r>
      <t xml:space="preserve">Semak, </t>
    </r>
    <r>
      <rPr>
        <i/>
        <sz val="11"/>
        <color rgb="FF000000"/>
        <rFont val="Calibri"/>
        <family val="2"/>
        <scheme val="minor"/>
      </rPr>
      <t xml:space="preserve">Polybag </t>
    </r>
    <r>
      <rPr>
        <sz val="11"/>
        <color rgb="FF000000"/>
        <rFont val="Calibri"/>
        <family val="2"/>
        <scheme val="minor"/>
      </rPr>
      <t>11 L</t>
    </r>
  </si>
  <si>
    <r>
      <t>Penanaman 1 m2 Semak, Agave/Lidah Naga (</t>
    </r>
    <r>
      <rPr>
        <i/>
        <sz val="11"/>
        <color rgb="FF000000"/>
        <rFont val="Calibri"/>
        <family val="2"/>
        <scheme val="minor"/>
      </rPr>
      <t>Agave Americana</t>
    </r>
    <r>
      <rPr>
        <sz val="11"/>
        <color rgb="FF000000"/>
        <rFont val="Calibri"/>
        <family val="2"/>
        <scheme val="minor"/>
      </rPr>
      <t>), 5 Buah/m2, Polybag 11 L</t>
    </r>
  </si>
  <si>
    <t>Penanaman  1  m2   Semak,  Alamanda/Bunga  Terompet  Emas (Allamanda Cathartica), 9 Buah/m2, Polybag 11 L</t>
  </si>
  <si>
    <r>
      <t>Penanaman 1 m2 Semak, Bakung Jawa (</t>
    </r>
    <r>
      <rPr>
        <i/>
        <sz val="11"/>
        <color rgb="FF000000"/>
        <rFont val="Calibri"/>
        <family val="2"/>
        <scheme val="minor"/>
      </rPr>
      <t>Crinum Asiaticum</t>
    </r>
    <r>
      <rPr>
        <sz val="11"/>
        <color rgb="FF000000"/>
        <rFont val="Calibri"/>
        <family val="2"/>
        <scheme val="minor"/>
      </rPr>
      <t>), 16 Buah/m2, Polybag 11 L</t>
    </r>
  </si>
  <si>
    <r>
      <t>Penanaman 1 m2 Semak, Bakung Lele (</t>
    </r>
    <r>
      <rPr>
        <i/>
        <sz val="11"/>
        <color rgb="FF000000"/>
        <rFont val="Calibri"/>
        <family val="2"/>
        <scheme val="minor"/>
      </rPr>
      <t>Hymenocalis Speciosa</t>
    </r>
    <r>
      <rPr>
        <sz val="11"/>
        <color rgb="FF000000"/>
        <rFont val="Calibri"/>
        <family val="2"/>
        <scheme val="minor"/>
      </rPr>
      <t>), 16 Buah/m2, Polybag 11 L</t>
    </r>
  </si>
  <si>
    <r>
      <t>Penanaman 1 m2 Semak, Bromelia (</t>
    </r>
    <r>
      <rPr>
        <i/>
        <sz val="11"/>
        <color rgb="FF000000"/>
        <rFont val="Calibri"/>
        <family val="2"/>
        <scheme val="minor"/>
      </rPr>
      <t>Bromelia Sp.</t>
    </r>
    <r>
      <rPr>
        <sz val="11"/>
        <color rgb="FF000000"/>
        <rFont val="Calibri"/>
        <family val="2"/>
        <scheme val="minor"/>
      </rPr>
      <t>), 5 Buah/m2, Polybag 11 L</t>
    </r>
  </si>
  <si>
    <r>
      <t>Penanaman  1  m2   Semak,  Bunga  Terompet  Kuning  (</t>
    </r>
    <r>
      <rPr>
        <i/>
        <sz val="11"/>
        <color rgb="FF000000"/>
        <rFont val="Calibri"/>
        <family val="2"/>
        <scheme val="minor"/>
      </rPr>
      <t>Tecoma Stans), 9 Buah/m2, Polybag 11 L</t>
    </r>
  </si>
  <si>
    <r>
      <t>Penanaman  1  m2   Semak,  Costus    (</t>
    </r>
    <r>
      <rPr>
        <i/>
        <sz val="11"/>
        <color rgb="FF000000"/>
        <rFont val="Calibri"/>
        <family val="2"/>
        <scheme val="minor"/>
      </rPr>
      <t>Costus  Woodsonii</t>
    </r>
    <r>
      <rPr>
        <sz val="11"/>
        <color rgb="FF000000"/>
        <rFont val="Calibri"/>
        <family val="2"/>
        <scheme val="minor"/>
      </rPr>
      <t>),  16 Buah/m2, Polybag 11 L</t>
    </r>
  </si>
  <si>
    <r>
      <t xml:space="preserve">Penanaman 1 m2  Semak, Dracaena </t>
    </r>
    <r>
      <rPr>
        <b/>
        <sz val="11"/>
        <color rgb="FF000000"/>
        <rFont val="Calibri"/>
        <family val="2"/>
        <scheme val="minor"/>
      </rPr>
      <t>‘</t>
    </r>
    <r>
      <rPr>
        <sz val="11"/>
        <color rgb="FF000000"/>
        <rFont val="Calibri"/>
        <family val="2"/>
        <scheme val="minor"/>
      </rPr>
      <t xml:space="preserve">Song Of </t>
    </r>
    <r>
      <rPr>
        <b/>
        <sz val="11"/>
        <color rgb="FF000000"/>
        <rFont val="Calibri"/>
        <family val="2"/>
        <scheme val="minor"/>
      </rPr>
      <t xml:space="preserve">India’ </t>
    </r>
    <r>
      <rPr>
        <sz val="11"/>
        <color rgb="FF000000"/>
        <rFont val="Calibri"/>
        <family val="2"/>
        <scheme val="minor"/>
      </rPr>
      <t>(</t>
    </r>
    <r>
      <rPr>
        <i/>
        <sz val="11"/>
        <color rgb="FF000000"/>
        <rFont val="Calibri"/>
        <family val="2"/>
        <scheme val="minor"/>
      </rPr>
      <t>Dracaena Reflexa "Song Of India"), 9 Buah/m2, Polybag 11 L</t>
    </r>
  </si>
  <si>
    <r>
      <t>Penanaman 1 m2 Semak, Dracaena 'Song Of Jamaica' (</t>
    </r>
    <r>
      <rPr>
        <i/>
        <sz val="11"/>
        <color rgb="FF000000"/>
        <rFont val="Calibri"/>
        <family val="2"/>
        <scheme val="minor"/>
      </rPr>
      <t>Dracaena Reflexa "Song Of Jamaica"), 9 Buah/m2, Polybag 11 L</t>
    </r>
  </si>
  <si>
    <r>
      <t>Penanaman 1 m2 Semak, Helliconia  (</t>
    </r>
    <r>
      <rPr>
        <i/>
        <sz val="11"/>
        <color rgb="FF000000"/>
        <rFont val="Calibri"/>
        <family val="2"/>
        <scheme val="minor"/>
      </rPr>
      <t>Heliconia Psittacorum</t>
    </r>
    <r>
      <rPr>
        <sz val="11"/>
        <color rgb="FF000000"/>
        <rFont val="Calibri"/>
        <family val="2"/>
        <scheme val="minor"/>
      </rPr>
      <t>), 16 Buah/m2, Polybag 11 L</t>
    </r>
  </si>
  <si>
    <r>
      <t>Penanaman   1   m2    Semak,   Honje/Kecombrang   (</t>
    </r>
    <r>
      <rPr>
        <i/>
        <sz val="11"/>
        <color rgb="FF000000"/>
        <rFont val="Calibri"/>
        <family val="2"/>
        <scheme val="minor"/>
      </rPr>
      <t>Etlingera Elatior), 16 Buah/m2, Polybag 11 L</t>
    </r>
  </si>
  <si>
    <r>
      <t>Penanaman 1 m2  Semak, Hujan Mas (</t>
    </r>
    <r>
      <rPr>
        <i/>
        <sz val="11"/>
        <color rgb="FF000000"/>
        <rFont val="Calibri"/>
        <family val="2"/>
        <scheme val="minor"/>
      </rPr>
      <t>Galphimia Glauca</t>
    </r>
    <r>
      <rPr>
        <sz val="11"/>
        <color rgb="FF000000"/>
        <rFont val="Calibri"/>
        <family val="2"/>
        <scheme val="minor"/>
      </rPr>
      <t>), 16 Buah/m2, Polybag 11 L</t>
    </r>
  </si>
  <si>
    <r>
      <t>Penanaman 1 m2 Semak, Kaca Piring (</t>
    </r>
    <r>
      <rPr>
        <i/>
        <sz val="11"/>
        <color rgb="FF000000"/>
        <rFont val="Calibri"/>
        <family val="2"/>
        <scheme val="minor"/>
      </rPr>
      <t>Gardenia Augusta</t>
    </r>
    <r>
      <rPr>
        <sz val="11"/>
        <color rgb="FF000000"/>
        <rFont val="Calibri"/>
        <family val="2"/>
        <scheme val="minor"/>
      </rPr>
      <t>), 16 Buah/m2, Polybag 11 L</t>
    </r>
  </si>
  <si>
    <t>Penanaman   1   m2     Semak,   Kacapiring   Wangi/Gardenia (Gardenia Jasminoides), 16 Buah/m2, Polybag 11 L</t>
  </si>
  <si>
    <r>
      <t>Penanaman 1 m2  Semak, Kana (</t>
    </r>
    <r>
      <rPr>
        <i/>
        <sz val="11"/>
        <color rgb="FF000000"/>
        <rFont val="Calibri"/>
        <family val="2"/>
        <scheme val="minor"/>
      </rPr>
      <t>Canna Indica</t>
    </r>
    <r>
      <rPr>
        <sz val="11"/>
        <color rgb="FF000000"/>
        <rFont val="Calibri"/>
        <family val="2"/>
        <scheme val="minor"/>
      </rPr>
      <t>), 16 Buah/m2, Polybag 11 L</t>
    </r>
  </si>
  <si>
    <r>
      <t>Penanaman 1 m2 Semak, Lili Brazil (</t>
    </r>
    <r>
      <rPr>
        <i/>
        <sz val="11"/>
        <color rgb="FF000000"/>
        <rFont val="Calibri"/>
        <family val="2"/>
        <scheme val="minor"/>
      </rPr>
      <t>Dianella Tasmanica</t>
    </r>
    <r>
      <rPr>
        <sz val="11"/>
        <color rgb="FF000000"/>
        <rFont val="Calibri"/>
        <family val="2"/>
        <scheme val="minor"/>
      </rPr>
      <t>), 16 Buah/m2, Polybag 11 L</t>
    </r>
  </si>
  <si>
    <r>
      <t>Penanaman 1 m2 Semak, Melati Putih (</t>
    </r>
    <r>
      <rPr>
        <i/>
        <sz val="11"/>
        <color rgb="FF000000"/>
        <rFont val="Calibri"/>
        <family val="2"/>
        <scheme val="minor"/>
      </rPr>
      <t>Jasminum Sambac</t>
    </r>
    <r>
      <rPr>
        <sz val="11"/>
        <color rgb="FF000000"/>
        <rFont val="Calibri"/>
        <family val="2"/>
        <scheme val="minor"/>
      </rPr>
      <t>), 16 Buah/m2, Polybag 11 L</t>
    </r>
  </si>
  <si>
    <r>
      <t>Penanaman 1 m2 Semak, Nusa Indah (</t>
    </r>
    <r>
      <rPr>
        <i/>
        <sz val="11"/>
        <color rgb="FF000000"/>
        <rFont val="Calibri"/>
        <family val="2"/>
        <scheme val="minor"/>
      </rPr>
      <t>Mussaenda</t>
    </r>
    <r>
      <rPr>
        <sz val="11"/>
        <color rgb="FF000000"/>
        <rFont val="Calibri"/>
        <family val="2"/>
        <scheme val="minor"/>
      </rPr>
      <t>), 9 Buah/m2, Polybag 11 L</t>
    </r>
  </si>
  <si>
    <r>
      <t>Penanaman 1 m2  Semak, Oleander/Bunga Mentega (</t>
    </r>
    <r>
      <rPr>
        <i/>
        <sz val="11"/>
        <color rgb="FF000000"/>
        <rFont val="Calibri"/>
        <family val="2"/>
        <scheme val="minor"/>
      </rPr>
      <t>Nerium Oleander), 16 Buah/m2, Polybag 11 L</t>
    </r>
  </si>
  <si>
    <r>
      <t>Penanaman 1 m2  Semak, Pretty Pink (</t>
    </r>
    <r>
      <rPr>
        <i/>
        <sz val="11"/>
        <color rgb="FF000000"/>
        <rFont val="Calibri"/>
        <family val="2"/>
        <scheme val="minor"/>
      </rPr>
      <t>Breynia Disticha</t>
    </r>
    <r>
      <rPr>
        <sz val="11"/>
        <color rgb="FF000000"/>
        <rFont val="Calibri"/>
        <family val="2"/>
        <scheme val="minor"/>
      </rPr>
      <t>), 16 Buah/m2, Polybag 11 L</t>
    </r>
  </si>
  <si>
    <r>
      <t>Penanaman 1 m2  Semak, Puring (</t>
    </r>
    <r>
      <rPr>
        <i/>
        <sz val="11"/>
        <color rgb="FF000000"/>
        <rFont val="Calibri"/>
        <family val="2"/>
        <scheme val="minor"/>
      </rPr>
      <t>Codiaeum Variegatum</t>
    </r>
    <r>
      <rPr>
        <sz val="11"/>
        <color rgb="FF000000"/>
        <rFont val="Calibri"/>
        <family val="2"/>
        <scheme val="minor"/>
      </rPr>
      <t>), 16 Buah/m2, Polybag 11 L</t>
    </r>
  </si>
  <si>
    <r>
      <t>Penanaman  1  m2   Semak,  Ruelia  /  Kencana  Ungu  (</t>
    </r>
    <r>
      <rPr>
        <i/>
        <sz val="11"/>
        <color rgb="FF000000"/>
        <rFont val="Calibri"/>
        <family val="2"/>
        <scheme val="minor"/>
      </rPr>
      <t>Ruellia Simplex), 16 Buah/m2, Polybag 11 L</t>
    </r>
  </si>
  <si>
    <t>Penanaman    1    m2      Semak,    Sansevieria/Lidah    Mertua (Sansevieria Trifasciata), 16 Buah/m2, Polybag 11 L</t>
  </si>
  <si>
    <r>
      <t>Penanaman 1 m2 Semak, Soka  (</t>
    </r>
    <r>
      <rPr>
        <i/>
        <sz val="11"/>
        <color rgb="FF000000"/>
        <rFont val="Calibri"/>
        <family val="2"/>
        <scheme val="minor"/>
      </rPr>
      <t>Ixora Coccinea</t>
    </r>
    <r>
      <rPr>
        <sz val="11"/>
        <color rgb="FF000000"/>
        <rFont val="Calibri"/>
        <family val="2"/>
        <scheme val="minor"/>
      </rPr>
      <t>), 16 Buah/m2, Polybag 11 L</t>
    </r>
  </si>
  <si>
    <r>
      <t>Penanaman 1 m2 Semak, Tabernae (</t>
    </r>
    <r>
      <rPr>
        <i/>
        <sz val="11"/>
        <color rgb="FF000000"/>
        <rFont val="Calibri"/>
        <family val="2"/>
        <scheme val="minor"/>
      </rPr>
      <t>Tabernaemontana Sp.</t>
    </r>
    <r>
      <rPr>
        <sz val="11"/>
        <color rgb="FF000000"/>
        <rFont val="Calibri"/>
        <family val="2"/>
        <scheme val="minor"/>
      </rPr>
      <t>), 16 Buah/m2, Polybag 11 L</t>
    </r>
  </si>
  <si>
    <r>
      <t>Penanaman 1 m2 Semak, Walisongo/Umbrella Tree (</t>
    </r>
    <r>
      <rPr>
        <i/>
        <sz val="11"/>
        <color rgb="FF000000"/>
        <rFont val="Calibri"/>
        <family val="2"/>
        <scheme val="minor"/>
      </rPr>
      <t>Schefflera Arboricola), 16 Buah/m2, Polybag 11 L</t>
    </r>
  </si>
  <si>
    <t>Penanaman 1 m2 Semak, Taiwan Beauty (Cuphea hyssopifolia), 16 Buah/m2, Polybag 11 L (Baru)</t>
  </si>
  <si>
    <t>Penanaman 1 m2 Semak, Andong (Cordyline fruticosa), 16 Buah/m2, Polybag 11 L (Baru).</t>
  </si>
  <si>
    <t>Penanaman 1 m2 Semak, Peace Lily (Spathiphyllum wallisii), 16 Buah/m2, Polybag 11 L (Baru)</t>
  </si>
  <si>
    <t xml:space="preserve">Penanaman 1 m2 Semak, Philo Jari (Philodendron selloium), 16 Buah/m2, Polybag 11 L (Baru) </t>
  </si>
  <si>
    <r>
      <t xml:space="preserve">Penanaman 1 m2 Semak, Rombusa (Tabernaemontana corymbosa), 16 Buah/m2, Polybag 11 L </t>
    </r>
    <r>
      <rPr>
        <b/>
        <i/>
        <sz val="10"/>
        <color rgb="FF000000"/>
        <rFont val="Bookman Old Style"/>
        <family val="1"/>
      </rPr>
      <t/>
    </r>
  </si>
  <si>
    <r>
      <t xml:space="preserve">Semak, </t>
    </r>
    <r>
      <rPr>
        <i/>
        <sz val="11"/>
        <color rgb="FF000000"/>
        <rFont val="Calibri"/>
        <family val="2"/>
        <scheme val="minor"/>
      </rPr>
      <t xml:space="preserve">Polybag </t>
    </r>
    <r>
      <rPr>
        <sz val="11"/>
        <color rgb="FF000000"/>
        <rFont val="Calibri"/>
        <family val="2"/>
        <scheme val="minor"/>
      </rPr>
      <t>20 L</t>
    </r>
  </si>
  <si>
    <r>
      <t>Penanaman 1 m2 Semak, Agave/Lidah Naga (</t>
    </r>
    <r>
      <rPr>
        <i/>
        <sz val="11"/>
        <color rgb="FF000000"/>
        <rFont val="Calibri"/>
        <family val="2"/>
        <scheme val="minor"/>
      </rPr>
      <t>Agave Americana</t>
    </r>
    <r>
      <rPr>
        <sz val="11"/>
        <color rgb="FF000000"/>
        <rFont val="Calibri"/>
        <family val="2"/>
        <scheme val="minor"/>
      </rPr>
      <t>), 3 Buah/ m2, Polybag 20 L</t>
    </r>
  </si>
  <si>
    <t>Penanaman  1  m2  Semak,  Alamanda/Bunga  Terompet  Emas (Allamanda Cathartica), 5 Buah/ m2, Polybag 20 L</t>
  </si>
  <si>
    <r>
      <t>Penanaman 1 m2 Semak, Bakung Jawa (</t>
    </r>
    <r>
      <rPr>
        <i/>
        <sz val="11"/>
        <color rgb="FF000000"/>
        <rFont val="Calibri"/>
        <family val="2"/>
        <scheme val="minor"/>
      </rPr>
      <t>Crinum Asiaticum</t>
    </r>
    <r>
      <rPr>
        <sz val="11"/>
        <color rgb="FF000000"/>
        <rFont val="Calibri"/>
        <family val="2"/>
        <scheme val="minor"/>
      </rPr>
      <t>), 12 Buah/ m2, Polybag 20 L</t>
    </r>
  </si>
  <si>
    <r>
      <t>Penanaman 1 m2 Semak, Bromelia (</t>
    </r>
    <r>
      <rPr>
        <i/>
        <sz val="11"/>
        <color rgb="FF000000"/>
        <rFont val="Calibri"/>
        <family val="2"/>
        <scheme val="minor"/>
      </rPr>
      <t>Bromelia Sp.</t>
    </r>
    <r>
      <rPr>
        <sz val="11"/>
        <color rgb="FF000000"/>
        <rFont val="Calibri"/>
        <family val="2"/>
        <scheme val="minor"/>
      </rPr>
      <t>), 3 Buah/ m2, Polybag 20 L</t>
    </r>
  </si>
  <si>
    <r>
      <t>Penanaman 1 m2 Semak, Bugenvil/Bunga Kertas (</t>
    </r>
    <r>
      <rPr>
        <i/>
        <sz val="11"/>
        <color rgb="FF000000"/>
        <rFont val="Calibri"/>
        <family val="2"/>
        <scheme val="minor"/>
      </rPr>
      <t>Bougenvillea Sp), 12 Buah/ m2, Polybag 20 L</t>
    </r>
  </si>
  <si>
    <r>
      <t>Penanaman 1 m2 Semak, Cendrawasih (</t>
    </r>
    <r>
      <rPr>
        <i/>
        <sz val="11"/>
        <rFont val="Calibri"/>
        <family val="2"/>
        <scheme val="minor"/>
      </rPr>
      <t>Phyllanthus Myrtifolius</t>
    </r>
    <r>
      <rPr>
        <sz val="11"/>
        <rFont val="Calibri"/>
        <family val="2"/>
        <scheme val="minor"/>
      </rPr>
      <t>), 36 Buah/m2, Polybag 5 L</t>
    </r>
  </si>
  <si>
    <r>
      <t>Penanaman 1 m2  Semak, Hujan Mas (</t>
    </r>
    <r>
      <rPr>
        <i/>
        <sz val="11"/>
        <color rgb="FF000000"/>
        <rFont val="Calibri"/>
        <family val="2"/>
        <scheme val="minor"/>
      </rPr>
      <t>Galphimia Glauca</t>
    </r>
    <r>
      <rPr>
        <sz val="11"/>
        <color rgb="FF000000"/>
        <rFont val="Calibri"/>
        <family val="2"/>
        <scheme val="minor"/>
      </rPr>
      <t>), 25 Buah/m2, Polybag 5 L</t>
    </r>
  </si>
  <si>
    <r>
      <t>Penanaman 1 m2 Semak, Kacapiring Wangi/Gardenia (</t>
    </r>
    <r>
      <rPr>
        <i/>
        <sz val="11"/>
        <color rgb="FF000000"/>
        <rFont val="Calibri"/>
        <family val="2"/>
        <scheme val="minor"/>
      </rPr>
      <t>Gardenia Jasminoides), 25 Buah/m2, Polybag 5 L</t>
    </r>
  </si>
  <si>
    <r>
      <t>Penanaman 1 m2  Semak, Kemuning (</t>
    </r>
    <r>
      <rPr>
        <i/>
        <sz val="11"/>
        <color rgb="FF000000"/>
        <rFont val="Calibri"/>
        <family val="2"/>
        <scheme val="minor"/>
      </rPr>
      <t>Murraya Paniculata</t>
    </r>
    <r>
      <rPr>
        <sz val="11"/>
        <color rgb="FF000000"/>
        <rFont val="Calibri"/>
        <family val="2"/>
        <scheme val="minor"/>
      </rPr>
      <t>), 25 Buah/m2, Polybag 5 L</t>
    </r>
  </si>
  <si>
    <t xml:space="preserve">Penanaman 1 m2 Semak, Melati Putih (Jasminum Sambac), 25 Buah/m2 , Polybag 5 L </t>
  </si>
  <si>
    <r>
      <t>Penanaman 1 m2 Semak, Walisongo/Umbrella Tree (</t>
    </r>
    <r>
      <rPr>
        <i/>
        <sz val="11"/>
        <color rgb="FF000000"/>
        <rFont val="Calibri"/>
        <family val="2"/>
        <scheme val="minor"/>
      </rPr>
      <t>Schefflera Arboricola), 25 Buah/m2, Polybag 5 L</t>
    </r>
  </si>
  <si>
    <t>Penanaman 1 m2 Semak, Ruelia / Kencana Ungu (Ruellia simplex), 25 Buah/m2, Polybag 5 L (Baru)</t>
  </si>
  <si>
    <r>
      <t xml:space="preserve">Penanaman 1 m2 Semak, Ararea (Osmoxylon lineare), 25 Buah/m2, Polybag 5 L </t>
    </r>
    <r>
      <rPr>
        <b/>
        <i/>
        <sz val="11"/>
        <color rgb="FF000000"/>
        <rFont val="Calibri"/>
        <family val="2"/>
        <scheme val="minor"/>
      </rPr>
      <t>(Baru)</t>
    </r>
  </si>
  <si>
    <t>Penanaman 1 m2 Semak, Paku Pedang (Neprolepis biserrata), 25 Buah/m2, Polybag 5 L (Baru)</t>
  </si>
  <si>
    <t>Penanaman  1  m2  Semak,  Rumput  Ekor  Kuda  (Pennisetum  alopecuroides),  25 Buah/m2, Polybag 5 L (Baru)</t>
  </si>
  <si>
    <t>Penanaman 1 m2 Semak, Alang-alang Merah (Pennisetum setaceum rubrum), 25 Buah/m2, Polybag 5 L (Baru)</t>
  </si>
  <si>
    <t>Penanaman 1 m2 Semak, Akar wangi (Vetiveria zizanioides), 25 Buah/m2, Polybag 5 L (Baru)</t>
  </si>
  <si>
    <t>Penanaman 1 m2 Semak, Blanceng (Dieffenbachia seguine), 25 Buah/m2, Polybag 5 L (Baru)</t>
  </si>
  <si>
    <r>
      <t>Penanaman 1 m2  Semak, Pandan   Kuning   (</t>
    </r>
    <r>
      <rPr>
        <i/>
        <sz val="11"/>
        <color rgb="FF000000"/>
        <rFont val="Calibri"/>
        <family val="2"/>
        <scheme val="minor"/>
      </rPr>
      <t>Pandanus Pygmaeus), 25 Buah/m2, Polybag 5 L</t>
    </r>
  </si>
  <si>
    <r>
      <t>Penanaman 1 m2  Semak, Pretty Pink (Breynia Disticha),</t>
    </r>
    <r>
      <rPr>
        <i/>
        <sz val="11"/>
        <color rgb="FF000000"/>
        <rFont val="Calibri"/>
        <family val="2"/>
        <scheme val="minor"/>
      </rPr>
      <t xml:space="preserve"> 25 Buah/m2, Polybag 5 L</t>
    </r>
  </si>
  <si>
    <t>Penanaman 1 m2  Semak, Sansevieria/Lidah    Mertua (Sansevieria Trifasciata), 25 Buah/m2, Polybag 5 L</t>
  </si>
  <si>
    <t>Penanaman 1 m2  Semak,  Tabernae/Mondokaki (Tabernaemontana Divaricata ), 25 Buah/m2, Polybag 5 L</t>
  </si>
  <si>
    <t>HARGA SATUAN DASAR LANSEKAP</t>
  </si>
</sst>
</file>

<file path=xl/styles.xml><?xml version="1.0" encoding="utf-8"?>
<styleSheet xmlns="http://schemas.openxmlformats.org/spreadsheetml/2006/main">
  <numFmts count="7">
    <numFmt numFmtId="42" formatCode="_(&quot;Rp&quot;* #,##0_);_(&quot;Rp&quot;* \(#,##0\);_(&quot;Rp&quot;* &quot;-&quot;_);_(@_)"/>
    <numFmt numFmtId="41" formatCode="_(* #,##0_);_(* \(#,##0\);_(* &quot;-&quot;_);_(@_)"/>
    <numFmt numFmtId="44" formatCode="_(&quot;Rp&quot;* #,##0.00_);_(&quot;Rp&quot;* \(#,##0.00\);_(&quot;Rp&quot;* &quot;-&quot;??_);_(@_)"/>
    <numFmt numFmtId="164" formatCode="_-&quot;Rp&quot;* #,##0.00_-;\-&quot;Rp&quot;* #,##0.00_-;_-&quot;Rp&quot;* &quot;-&quot;??_-;_-@_-"/>
    <numFmt numFmtId="165" formatCode="_(* #,##0.00_);_(* \(#,##0.00\);_(* &quot;-&quot;????_);_(@_)"/>
    <numFmt numFmtId="166" formatCode="_(* #,##0.00_);_(* \(#,##0.00\);_(* &quot;-&quot;_);_(@_)"/>
    <numFmt numFmtId="167" formatCode="_(&quot;Rp&quot;* #,##0.00_);_(&quot;Rp&quot;* \(#,##0.00\);_(&quot;Rp&quot;* &quot;-&quot;_);_(@_)"/>
  </numFmts>
  <fonts count="33">
    <font>
      <sz val="11"/>
      <color rgb="FF000000"/>
      <name val="Calibri"/>
      <family val="2"/>
      <charset val="204"/>
    </font>
    <font>
      <sz val="11"/>
      <color theme="1"/>
      <name val="Calibri"/>
      <family val="2"/>
      <charset val="1"/>
      <scheme val="minor"/>
    </font>
    <font>
      <sz val="11"/>
      <color rgb="FF000000"/>
      <name val="Calibri"/>
      <family val="2"/>
      <scheme val="minor"/>
    </font>
    <font>
      <i/>
      <sz val="11"/>
      <color rgb="FF000000"/>
      <name val="Calibri"/>
      <family val="2"/>
      <scheme val="minor"/>
    </font>
    <font>
      <sz val="11"/>
      <color theme="1"/>
      <name val="Calibri"/>
      <family val="2"/>
      <scheme val="minor"/>
    </font>
    <font>
      <b/>
      <sz val="16"/>
      <color theme="1"/>
      <name val="Calibri"/>
      <family val="2"/>
      <scheme val="minor"/>
    </font>
    <font>
      <sz val="10"/>
      <color theme="1"/>
      <name val="Leelawadee"/>
      <family val="2"/>
    </font>
    <font>
      <b/>
      <sz val="14"/>
      <color theme="1"/>
      <name val="Calibri"/>
      <family val="2"/>
      <scheme val="minor"/>
    </font>
    <font>
      <b/>
      <sz val="11"/>
      <color rgb="FF000000"/>
      <name val="Calibri"/>
      <family val="2"/>
      <scheme val="minor"/>
    </font>
    <font>
      <b/>
      <sz val="11"/>
      <color theme="1"/>
      <name val="Calibri"/>
      <family val="2"/>
      <scheme val="minor"/>
    </font>
    <font>
      <b/>
      <sz val="10"/>
      <color theme="1"/>
      <name val="Leelawadee"/>
      <family val="2"/>
    </font>
    <font>
      <b/>
      <sz val="11"/>
      <color rgb="FF000000"/>
      <name val="Calibri"/>
      <family val="2"/>
    </font>
    <font>
      <sz val="11"/>
      <color rgb="FF000000"/>
      <name val="Calibri"/>
      <family val="2"/>
    </font>
    <font>
      <b/>
      <sz val="12"/>
      <color rgb="FF000000"/>
      <name val="Calibri"/>
      <family val="2"/>
    </font>
    <font>
      <b/>
      <i/>
      <sz val="11"/>
      <color rgb="FF000000"/>
      <name val="Calibri"/>
      <family val="2"/>
      <scheme val="minor"/>
    </font>
    <font>
      <b/>
      <sz val="16"/>
      <color theme="1"/>
      <name val="Calibri"/>
      <family val="2"/>
    </font>
    <font>
      <b/>
      <sz val="16"/>
      <color rgb="FF000000"/>
      <name val="Calibri"/>
      <family val="2"/>
    </font>
    <font>
      <b/>
      <sz val="14"/>
      <color rgb="FF000000"/>
      <name val="Calibri"/>
      <family val="2"/>
    </font>
    <font>
      <sz val="11"/>
      <color theme="1"/>
      <name val="Calibri"/>
      <family val="2"/>
    </font>
    <font>
      <b/>
      <sz val="12"/>
      <color rgb="FF000000"/>
      <name val="Calibri"/>
      <family val="2"/>
      <scheme val="minor"/>
    </font>
    <font>
      <sz val="14"/>
      <color rgb="FF000000"/>
      <name val="Calibri"/>
      <family val="2"/>
    </font>
    <font>
      <b/>
      <i/>
      <sz val="10"/>
      <color rgb="FF000000"/>
      <name val="Bookman Old Style"/>
      <family val="1"/>
    </font>
    <font>
      <sz val="11"/>
      <name val="Calibri"/>
      <family val="2"/>
      <scheme val="minor"/>
    </font>
    <font>
      <i/>
      <sz val="11"/>
      <name val="Calibri"/>
      <family val="2"/>
      <scheme val="minor"/>
    </font>
    <font>
      <sz val="11"/>
      <name val="Calibri"/>
      <family val="2"/>
      <charset val="204"/>
    </font>
    <font>
      <sz val="12"/>
      <color rgb="FF000000"/>
      <name val="Calibri"/>
      <family val="2"/>
      <charset val="204"/>
    </font>
    <font>
      <sz val="14"/>
      <color rgb="FF000000"/>
      <name val="Calibri"/>
      <family val="2"/>
      <charset val="204"/>
    </font>
    <font>
      <sz val="10"/>
      <name val="Arial"/>
      <family val="2"/>
    </font>
    <font>
      <b/>
      <sz val="12"/>
      <name val="Calibri"/>
      <family val="2"/>
      <scheme val="minor"/>
    </font>
    <font>
      <b/>
      <sz val="11"/>
      <name val="Calibri"/>
      <family val="2"/>
      <scheme val="minor"/>
    </font>
    <font>
      <b/>
      <sz val="9"/>
      <color indexed="81"/>
      <name val="Tahoma"/>
      <family val="2"/>
    </font>
    <font>
      <sz val="9"/>
      <color indexed="81"/>
      <name val="Tahoma"/>
      <family val="2"/>
    </font>
    <font>
      <sz val="11"/>
      <name val="Calibri"/>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bgColor rgb="FF92D050"/>
      </patternFill>
    </fill>
    <fill>
      <patternFill patternType="solid">
        <fgColor rgb="FFFFC000"/>
        <bgColor indexed="64"/>
      </patternFill>
    </fill>
    <fill>
      <patternFill patternType="solid">
        <fgColor theme="0" tint="-0.249977111117893"/>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style="thin">
        <color rgb="FF000000"/>
      </top>
      <bottom/>
      <diagonal/>
    </border>
    <border>
      <left style="medium">
        <color indexed="64"/>
      </left>
      <right style="thin">
        <color indexed="64"/>
      </right>
      <top style="medium">
        <color indexed="64"/>
      </top>
      <bottom/>
      <diagonal/>
    </border>
    <border>
      <left style="medium">
        <color indexed="64"/>
      </left>
      <right style="thin">
        <color indexed="64"/>
      </right>
      <top/>
      <bottom style="hair">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thin">
        <color indexed="64"/>
      </right>
      <top/>
      <bottom/>
      <diagonal/>
    </border>
    <border>
      <left style="thin">
        <color rgb="FF000000"/>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medium">
        <color indexed="64"/>
      </bottom>
      <diagonal/>
    </border>
    <border>
      <left style="thin">
        <color indexed="64"/>
      </left>
      <right style="thin">
        <color indexed="64"/>
      </right>
      <top style="hair">
        <color indexed="64"/>
      </top>
      <bottom style="thin">
        <color indexed="64"/>
      </bottom>
      <diagonal/>
    </border>
  </borders>
  <cellStyleXfs count="5">
    <xf numFmtId="0" fontId="0" fillId="0" borderId="0"/>
    <xf numFmtId="41" fontId="1" fillId="0" borderId="4" applyFont="0" applyFill="0" applyBorder="0" applyAlignment="0" applyProtection="0"/>
    <xf numFmtId="0" fontId="1" fillId="0" borderId="4"/>
    <xf numFmtId="0" fontId="27" fillId="0" borderId="4"/>
    <xf numFmtId="41" fontId="27" fillId="0" borderId="4" applyFont="0" applyFill="0" applyBorder="0" applyAlignment="0" applyProtection="0"/>
  </cellStyleXfs>
  <cellXfs count="334">
    <xf numFmtId="0" fontId="0" fillId="0" borderId="0" xfId="0"/>
    <xf numFmtId="0" fontId="2" fillId="0" borderId="1" xfId="0" applyFont="1" applyBorder="1" applyAlignment="1">
      <alignment horizontal="left" vertical="top"/>
    </xf>
    <xf numFmtId="0" fontId="2" fillId="0" borderId="6" xfId="0" applyFont="1" applyBorder="1"/>
    <xf numFmtId="0" fontId="2" fillId="0" borderId="6" xfId="0" applyFont="1" applyBorder="1" applyAlignment="1">
      <alignment horizontal="left" vertical="top"/>
    </xf>
    <xf numFmtId="0" fontId="2" fillId="0" borderId="0" xfId="0" applyFont="1"/>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2" fillId="0" borderId="6" xfId="0" applyFont="1" applyBorder="1" applyAlignment="1">
      <alignment horizontal="center" vertical="top" wrapText="1"/>
    </xf>
    <xf numFmtId="0" fontId="2" fillId="0" borderId="1" xfId="0" applyFont="1" applyBorder="1" applyAlignment="1">
      <alignment horizontal="center" vertical="top"/>
    </xf>
    <xf numFmtId="0" fontId="2" fillId="0" borderId="5" xfId="0" applyFont="1" applyBorder="1" applyAlignment="1">
      <alignment horizontal="center" vertical="top"/>
    </xf>
    <xf numFmtId="0" fontId="2" fillId="0" borderId="6" xfId="0" applyFont="1" applyBorder="1" applyAlignment="1">
      <alignment horizontal="center" vertical="top"/>
    </xf>
    <xf numFmtId="0" fontId="2" fillId="0" borderId="4" xfId="0" applyFont="1" applyBorder="1" applyAlignment="1">
      <alignment horizontal="left" vertical="top"/>
    </xf>
    <xf numFmtId="0" fontId="2" fillId="0" borderId="5" xfId="0" applyFont="1" applyBorder="1" applyAlignment="1">
      <alignment horizontal="center" vertical="top" wrapText="1"/>
    </xf>
    <xf numFmtId="0" fontId="2" fillId="0" borderId="4" xfId="0" applyFont="1" applyBorder="1" applyAlignment="1">
      <alignment horizontal="center"/>
    </xf>
    <xf numFmtId="0" fontId="2" fillId="0" borderId="4" xfId="0" applyFont="1" applyBorder="1" applyAlignment="1">
      <alignment horizontal="center" vertical="top"/>
    </xf>
    <xf numFmtId="0" fontId="2" fillId="0" borderId="4" xfId="0" applyFont="1" applyBorder="1" applyAlignment="1">
      <alignment horizontal="center" vertical="top" wrapText="1"/>
    </xf>
    <xf numFmtId="0" fontId="2" fillId="0" borderId="0" xfId="0" applyFont="1" applyAlignment="1">
      <alignment horizontal="center"/>
    </xf>
    <xf numFmtId="0" fontId="2" fillId="0" borderId="1" xfId="0" applyFont="1" applyBorder="1" applyAlignment="1">
      <alignment horizontal="center" vertical="top" wrapText="1"/>
    </xf>
    <xf numFmtId="0" fontId="2" fillId="0" borderId="4" xfId="0" applyFont="1" applyBorder="1" applyAlignment="1">
      <alignment vertical="top"/>
    </xf>
    <xf numFmtId="0" fontId="2" fillId="0" borderId="6" xfId="0" applyFont="1" applyBorder="1" applyAlignment="1">
      <alignment horizontal="center"/>
    </xf>
    <xf numFmtId="41" fontId="4" fillId="0" borderId="4" xfId="1" applyFont="1" applyFill="1"/>
    <xf numFmtId="0" fontId="6" fillId="0" borderId="4" xfId="2" applyFont="1" applyFill="1" applyAlignment="1"/>
    <xf numFmtId="0" fontId="4" fillId="0" borderId="4" xfId="2" applyFont="1" applyFill="1" applyAlignment="1">
      <alignment horizontal="center"/>
    </xf>
    <xf numFmtId="49" fontId="8" fillId="0" borderId="4" xfId="2" applyNumberFormat="1" applyFont="1" applyFill="1" applyBorder="1" applyAlignment="1"/>
    <xf numFmtId="49" fontId="8" fillId="0" borderId="4" xfId="2" applyNumberFormat="1" applyFont="1" applyFill="1" applyBorder="1" applyAlignment="1">
      <alignment horizontal="center"/>
    </xf>
    <xf numFmtId="0" fontId="4" fillId="0" borderId="4" xfId="2" applyFont="1" applyFill="1" applyAlignment="1"/>
    <xf numFmtId="41" fontId="9" fillId="0" borderId="4" xfId="1" applyFont="1" applyFill="1" applyAlignment="1">
      <alignment horizontal="center" vertical="center"/>
    </xf>
    <xf numFmtId="0" fontId="9" fillId="0" borderId="7" xfId="2" applyFont="1" applyFill="1" applyBorder="1" applyAlignment="1">
      <alignment horizontal="center" vertical="center"/>
    </xf>
    <xf numFmtId="0" fontId="9" fillId="0" borderId="8" xfId="2" applyFont="1" applyFill="1" applyBorder="1" applyAlignment="1">
      <alignment horizontal="center" vertical="center"/>
    </xf>
    <xf numFmtId="0" fontId="9" fillId="0" borderId="9" xfId="2" applyFont="1" applyFill="1" applyBorder="1" applyAlignment="1">
      <alignment horizontal="center" vertical="center"/>
    </xf>
    <xf numFmtId="0" fontId="10" fillId="0" borderId="4" xfId="2" applyFont="1" applyFill="1" applyAlignment="1">
      <alignment horizontal="center" vertical="center"/>
    </xf>
    <xf numFmtId="0" fontId="9" fillId="0" borderId="7" xfId="2" applyFont="1" applyFill="1" applyBorder="1" applyAlignment="1">
      <alignment horizontal="center"/>
    </xf>
    <xf numFmtId="0" fontId="9" fillId="0" borderId="8" xfId="2" applyFont="1" applyFill="1" applyBorder="1" applyAlignment="1"/>
    <xf numFmtId="0" fontId="4" fillId="0" borderId="8" xfId="2" applyFont="1" applyFill="1" applyBorder="1"/>
    <xf numFmtId="0" fontId="4" fillId="0" borderId="8" xfId="2" applyFont="1" applyFill="1" applyBorder="1" applyAlignment="1">
      <alignment horizontal="center"/>
    </xf>
    <xf numFmtId="49" fontId="8" fillId="0" borderId="8" xfId="2" applyNumberFormat="1" applyFont="1" applyFill="1" applyBorder="1" applyAlignment="1"/>
    <xf numFmtId="49" fontId="8" fillId="0" borderId="9" xfId="2" applyNumberFormat="1" applyFont="1" applyFill="1" applyBorder="1" applyAlignment="1"/>
    <xf numFmtId="0" fontId="4" fillId="0" borderId="10" xfId="2" applyFont="1" applyFill="1" applyBorder="1" applyAlignment="1">
      <alignment horizontal="center"/>
    </xf>
    <xf numFmtId="49" fontId="2" fillId="0" borderId="11" xfId="2" applyNumberFormat="1" applyFont="1" applyFill="1" applyBorder="1" applyAlignment="1"/>
    <xf numFmtId="0" fontId="4" fillId="0" borderId="11" xfId="2" applyFont="1" applyFill="1" applyBorder="1"/>
    <xf numFmtId="0" fontId="4" fillId="0" borderId="11" xfId="2" applyFont="1" applyFill="1" applyBorder="1" applyAlignment="1">
      <alignment horizontal="center"/>
    </xf>
    <xf numFmtId="164" fontId="2" fillId="2" borderId="11" xfId="2" applyNumberFormat="1" applyFont="1" applyFill="1" applyBorder="1" applyAlignment="1"/>
    <xf numFmtId="44" fontId="4" fillId="0" borderId="12" xfId="2" applyNumberFormat="1" applyFont="1" applyFill="1" applyBorder="1" applyAlignment="1"/>
    <xf numFmtId="0" fontId="4" fillId="0" borderId="13" xfId="2" applyFont="1" applyFill="1" applyBorder="1" applyAlignment="1">
      <alignment horizontal="center"/>
    </xf>
    <xf numFmtId="49" fontId="2" fillId="0" borderId="14" xfId="2" applyNumberFormat="1" applyFont="1" applyFill="1" applyBorder="1" applyAlignment="1"/>
    <xf numFmtId="0" fontId="4" fillId="0" borderId="14" xfId="2" applyFont="1" applyFill="1" applyBorder="1"/>
    <xf numFmtId="0" fontId="4" fillId="0" borderId="14" xfId="2" applyFont="1" applyFill="1" applyBorder="1" applyAlignment="1">
      <alignment horizontal="center"/>
    </xf>
    <xf numFmtId="164" fontId="2" fillId="2" borderId="14" xfId="2" applyNumberFormat="1" applyFont="1" applyFill="1" applyBorder="1" applyAlignment="1"/>
    <xf numFmtId="44" fontId="4" fillId="0" borderId="15" xfId="2" applyNumberFormat="1" applyFont="1" applyFill="1" applyBorder="1" applyAlignment="1"/>
    <xf numFmtId="0" fontId="2" fillId="0" borderId="14" xfId="0" applyFont="1" applyBorder="1" applyAlignment="1">
      <alignment horizontal="left" vertical="top"/>
    </xf>
    <xf numFmtId="0" fontId="2" fillId="0" borderId="14" xfId="0" applyFont="1" applyBorder="1" applyAlignment="1">
      <alignment horizontal="center" vertical="top" wrapText="1"/>
    </xf>
    <xf numFmtId="0" fontId="2" fillId="0" borderId="14" xfId="2" applyFont="1" applyFill="1" applyBorder="1" applyAlignment="1">
      <alignment vertical="center"/>
    </xf>
    <xf numFmtId="49" fontId="8" fillId="0" borderId="14" xfId="2" applyNumberFormat="1" applyFont="1" applyFill="1" applyBorder="1" applyAlignment="1"/>
    <xf numFmtId="0" fontId="4" fillId="0" borderId="16" xfId="2" applyFont="1" applyFill="1" applyBorder="1" applyAlignment="1">
      <alignment horizontal="center"/>
    </xf>
    <xf numFmtId="0" fontId="4" fillId="0" borderId="17" xfId="2" applyFont="1" applyFill="1" applyBorder="1" applyAlignment="1">
      <alignment horizontal="center"/>
    </xf>
    <xf numFmtId="164" fontId="2" fillId="2" borderId="17" xfId="2" applyNumberFormat="1" applyFont="1" applyFill="1" applyBorder="1" applyAlignment="1"/>
    <xf numFmtId="44" fontId="4" fillId="0" borderId="18" xfId="2" applyNumberFormat="1" applyFont="1" applyFill="1" applyBorder="1" applyAlignment="1"/>
    <xf numFmtId="49" fontId="8" fillId="0" borderId="19" xfId="2" applyNumberFormat="1" applyFont="1" applyFill="1" applyBorder="1" applyAlignment="1"/>
    <xf numFmtId="49" fontId="8" fillId="0" borderId="20" xfId="2" applyNumberFormat="1" applyFont="1" applyFill="1" applyBorder="1" applyAlignment="1"/>
    <xf numFmtId="49" fontId="8" fillId="0" borderId="20" xfId="2" applyNumberFormat="1" applyFont="1" applyFill="1" applyBorder="1" applyAlignment="1">
      <alignment horizontal="center"/>
    </xf>
    <xf numFmtId="49" fontId="8" fillId="0" borderId="21" xfId="2" applyNumberFormat="1" applyFont="1" applyFill="1" applyBorder="1" applyAlignment="1"/>
    <xf numFmtId="49" fontId="8" fillId="0" borderId="15" xfId="2" applyNumberFormat="1" applyFont="1" applyFill="1" applyBorder="1" applyAlignment="1"/>
    <xf numFmtId="0" fontId="2" fillId="0" borderId="14" xfId="0" applyFont="1" applyBorder="1" applyAlignment="1">
      <alignment vertical="top"/>
    </xf>
    <xf numFmtId="41" fontId="4" fillId="3" borderId="4" xfId="1" applyFont="1" applyFill="1"/>
    <xf numFmtId="49" fontId="8" fillId="3" borderId="15" xfId="2" applyNumberFormat="1" applyFont="1" applyFill="1" applyBorder="1" applyAlignment="1"/>
    <xf numFmtId="0" fontId="6" fillId="3" borderId="4" xfId="2" applyFont="1" applyFill="1" applyAlignment="1"/>
    <xf numFmtId="44" fontId="4" fillId="3" borderId="15" xfId="2" applyNumberFormat="1" applyFont="1" applyFill="1" applyBorder="1" applyAlignment="1"/>
    <xf numFmtId="0" fontId="4" fillId="0" borderId="17" xfId="2" applyFont="1" applyFill="1" applyBorder="1"/>
    <xf numFmtId="44" fontId="4" fillId="0" borderId="9" xfId="2" applyNumberFormat="1" applyFont="1" applyFill="1" applyBorder="1" applyAlignment="1"/>
    <xf numFmtId="0" fontId="0" fillId="0" borderId="14" xfId="0" applyBorder="1"/>
    <xf numFmtId="49" fontId="2" fillId="0" borderId="17" xfId="2" applyNumberFormat="1" applyFont="1" applyFill="1" applyBorder="1" applyAlignment="1"/>
    <xf numFmtId="0" fontId="4" fillId="0" borderId="4" xfId="2" applyFont="1" applyFill="1" applyBorder="1" applyAlignment="1">
      <alignment horizontal="right"/>
    </xf>
    <xf numFmtId="0" fontId="4" fillId="0" borderId="4" xfId="2" applyFont="1" applyFill="1" applyBorder="1"/>
    <xf numFmtId="164" fontId="2" fillId="0" borderId="4" xfId="2" applyNumberFormat="1" applyFont="1" applyFill="1" applyBorder="1" applyAlignment="1"/>
    <xf numFmtId="44" fontId="4" fillId="0" borderId="4" xfId="2" applyNumberFormat="1" applyFont="1" applyFill="1" applyBorder="1" applyAlignment="1"/>
    <xf numFmtId="41" fontId="4" fillId="0" borderId="4" xfId="1" applyFont="1" applyFill="1" applyAlignment="1"/>
    <xf numFmtId="0" fontId="4" fillId="4" borderId="4" xfId="2" applyFont="1" applyFill="1" applyAlignment="1"/>
    <xf numFmtId="0" fontId="4" fillId="4" borderId="4" xfId="0" applyFont="1" applyFill="1" applyBorder="1" applyAlignment="1"/>
    <xf numFmtId="0" fontId="9" fillId="4" borderId="4" xfId="0" applyFont="1" applyFill="1" applyBorder="1" applyAlignment="1"/>
    <xf numFmtId="49" fontId="8" fillId="0" borderId="6" xfId="2" applyNumberFormat="1" applyFont="1" applyFill="1" applyBorder="1" applyAlignment="1">
      <alignment horizontal="center" vertical="center" wrapText="1"/>
    </xf>
    <xf numFmtId="41" fontId="12" fillId="0" borderId="1" xfId="0" applyNumberFormat="1" applyFont="1" applyBorder="1" applyAlignment="1">
      <alignment horizontal="right" vertical="top"/>
    </xf>
    <xf numFmtId="0" fontId="12" fillId="0" borderId="1" xfId="0" applyFont="1" applyBorder="1" applyAlignment="1">
      <alignment horizontal="center" vertical="top"/>
    </xf>
    <xf numFmtId="9" fontId="12" fillId="0" borderId="1" xfId="0" applyNumberFormat="1" applyFont="1" applyBorder="1" applyAlignment="1">
      <alignment horizontal="right" vertical="top"/>
    </xf>
    <xf numFmtId="41" fontId="4" fillId="0" borderId="6" xfId="2" applyNumberFormat="1" applyFont="1" applyFill="1" applyBorder="1"/>
    <xf numFmtId="165" fontId="4" fillId="0" borderId="6" xfId="2" applyNumberFormat="1" applyFont="1" applyFill="1" applyBorder="1"/>
    <xf numFmtId="165" fontId="9" fillId="0" borderId="6" xfId="2" applyNumberFormat="1" applyFont="1" applyFill="1" applyBorder="1"/>
    <xf numFmtId="41" fontId="4" fillId="3" borderId="6" xfId="2" applyNumberFormat="1" applyFont="1" applyFill="1" applyBorder="1"/>
    <xf numFmtId="165" fontId="4" fillId="3" borderId="6" xfId="2" applyNumberFormat="1" applyFont="1" applyFill="1" applyBorder="1"/>
    <xf numFmtId="0" fontId="2" fillId="3" borderId="6" xfId="0" applyFont="1" applyFill="1" applyBorder="1"/>
    <xf numFmtId="0" fontId="13" fillId="0" borderId="0" xfId="0" applyFont="1"/>
    <xf numFmtId="0" fontId="12" fillId="0" borderId="4" xfId="0" applyFont="1" applyBorder="1" applyAlignment="1">
      <alignment horizontal="center" vertical="top"/>
    </xf>
    <xf numFmtId="0" fontId="12" fillId="0" borderId="4" xfId="0" applyFont="1" applyBorder="1" applyAlignment="1">
      <alignment horizontal="left" vertical="top"/>
    </xf>
    <xf numFmtId="41" fontId="12" fillId="0" borderId="4" xfId="0" applyNumberFormat="1" applyFont="1" applyBorder="1" applyAlignment="1">
      <alignment horizontal="right" vertical="top"/>
    </xf>
    <xf numFmtId="0" fontId="2" fillId="0" borderId="0" xfId="0" applyFont="1" applyAlignment="1">
      <alignment horizontal="left" indent="1"/>
    </xf>
    <xf numFmtId="0" fontId="2" fillId="0" borderId="0" xfId="0" applyFont="1" applyAlignment="1">
      <alignment horizontal="left" indent="6"/>
    </xf>
    <xf numFmtId="0" fontId="2" fillId="0" borderId="0" xfId="0" applyFont="1" applyAlignment="1">
      <alignment vertical="top" wrapText="1"/>
    </xf>
    <xf numFmtId="0" fontId="2" fillId="0" borderId="0" xfId="0" applyFont="1" applyAlignment="1">
      <alignment horizontal="left"/>
    </xf>
    <xf numFmtId="0" fontId="2" fillId="0" borderId="0" xfId="0" applyFont="1" applyAlignment="1"/>
    <xf numFmtId="0" fontId="3" fillId="0" borderId="0" xfId="0" applyFont="1" applyAlignment="1"/>
    <xf numFmtId="0" fontId="2" fillId="0" borderId="0" xfId="0" applyFont="1" applyAlignment="1">
      <alignment vertical="top"/>
    </xf>
    <xf numFmtId="0" fontId="2" fillId="0" borderId="22" xfId="0" applyFont="1" applyBorder="1" applyAlignment="1">
      <alignment horizontal="center" vertical="top"/>
    </xf>
    <xf numFmtId="0" fontId="2" fillId="0" borderId="22" xfId="0" applyFont="1" applyBorder="1" applyAlignment="1">
      <alignment horizontal="left" vertical="top"/>
    </xf>
    <xf numFmtId="0" fontId="2" fillId="0" borderId="23" xfId="0" applyFont="1" applyBorder="1" applyAlignment="1">
      <alignment horizontal="center" vertical="top"/>
    </xf>
    <xf numFmtId="0" fontId="2" fillId="0" borderId="24" xfId="0" applyFont="1" applyBorder="1" applyAlignment="1">
      <alignment horizontal="center" vertical="top"/>
    </xf>
    <xf numFmtId="41" fontId="4" fillId="0" borderId="24" xfId="2" applyNumberFormat="1" applyFont="1" applyFill="1" applyBorder="1"/>
    <xf numFmtId="0" fontId="2" fillId="0" borderId="24" xfId="0" applyFont="1" applyBorder="1" applyAlignment="1">
      <alignment horizontal="left" vertical="top"/>
    </xf>
    <xf numFmtId="0" fontId="2" fillId="0" borderId="3" xfId="0" applyFont="1" applyBorder="1" applyAlignment="1">
      <alignment horizontal="center" vertical="top"/>
    </xf>
    <xf numFmtId="0" fontId="2" fillId="0" borderId="3" xfId="0" applyFont="1" applyBorder="1" applyAlignment="1">
      <alignment horizontal="left" vertical="top"/>
    </xf>
    <xf numFmtId="0" fontId="2" fillId="0" borderId="27" xfId="0" applyFont="1" applyBorder="1" applyAlignment="1">
      <alignment horizontal="center"/>
    </xf>
    <xf numFmtId="0" fontId="2" fillId="0" borderId="27" xfId="0" applyFont="1" applyBorder="1"/>
    <xf numFmtId="0" fontId="2" fillId="0" borderId="4" xfId="0" applyFont="1" applyBorder="1"/>
    <xf numFmtId="0" fontId="2" fillId="0" borderId="25" xfId="0" applyFont="1" applyBorder="1" applyAlignment="1">
      <alignment horizontal="center" vertical="top"/>
    </xf>
    <xf numFmtId="0" fontId="2" fillId="0" borderId="25" xfId="0" applyFont="1" applyBorder="1"/>
    <xf numFmtId="0" fontId="2" fillId="0" borderId="28" xfId="0" applyFont="1" applyBorder="1" applyAlignment="1">
      <alignment horizontal="center" vertical="top"/>
    </xf>
    <xf numFmtId="0" fontId="2" fillId="0" borderId="28" xfId="0" applyFont="1" applyBorder="1" applyAlignment="1">
      <alignment horizontal="left" vertical="top"/>
    </xf>
    <xf numFmtId="0" fontId="2" fillId="0" borderId="28" xfId="0" applyFont="1" applyBorder="1" applyAlignment="1">
      <alignment horizontal="center"/>
    </xf>
    <xf numFmtId="0" fontId="2" fillId="0" borderId="28" xfId="0" applyFont="1" applyBorder="1"/>
    <xf numFmtId="0" fontId="2" fillId="0" borderId="25" xfId="0" applyFont="1" applyBorder="1" applyAlignment="1">
      <alignment horizontal="center"/>
    </xf>
    <xf numFmtId="166" fontId="12" fillId="0" borderId="1" xfId="0" applyNumberFormat="1" applyFont="1" applyBorder="1" applyAlignment="1">
      <alignment horizontal="right" vertical="top"/>
    </xf>
    <xf numFmtId="0" fontId="2" fillId="0" borderId="0" xfId="0" applyFont="1" applyAlignment="1">
      <alignment horizontal="left" readingOrder="1"/>
    </xf>
    <xf numFmtId="0" fontId="12" fillId="3" borderId="14" xfId="0" applyFont="1" applyFill="1" applyBorder="1" applyAlignment="1">
      <alignment horizontal="center"/>
    </xf>
    <xf numFmtId="0" fontId="0" fillId="0" borderId="4" xfId="0" applyBorder="1"/>
    <xf numFmtId="0" fontId="2" fillId="0" borderId="14" xfId="0" applyFont="1" applyBorder="1"/>
    <xf numFmtId="0" fontId="2" fillId="0" borderId="14" xfId="0" applyFont="1" applyBorder="1" applyAlignment="1"/>
    <xf numFmtId="0" fontId="2" fillId="0" borderId="14" xfId="0" applyFont="1" applyBorder="1" applyAlignment="1">
      <alignment horizontal="left"/>
    </xf>
    <xf numFmtId="0" fontId="8" fillId="0" borderId="14" xfId="0" applyFont="1" applyBorder="1" applyAlignment="1"/>
    <xf numFmtId="0" fontId="8" fillId="0" borderId="14" xfId="0" applyFont="1" applyBorder="1" applyAlignment="1">
      <alignment horizontal="left" readingOrder="1"/>
    </xf>
    <xf numFmtId="0" fontId="2" fillId="0" borderId="14" xfId="0" applyFont="1" applyBorder="1" applyAlignment="1">
      <alignment horizontal="left" readingOrder="1"/>
    </xf>
    <xf numFmtId="0" fontId="8" fillId="0" borderId="14" xfId="0" applyFont="1" applyBorder="1" applyAlignment="1">
      <alignment vertical="top"/>
    </xf>
    <xf numFmtId="0" fontId="0" fillId="3" borderId="34" xfId="0" applyFill="1" applyBorder="1"/>
    <xf numFmtId="0" fontId="17" fillId="5" borderId="14" xfId="0" applyFont="1" applyFill="1" applyBorder="1" applyAlignment="1">
      <alignment horizontal="center" vertical="center"/>
    </xf>
    <xf numFmtId="0" fontId="0" fillId="3" borderId="35" xfId="0" applyFill="1" applyBorder="1"/>
    <xf numFmtId="0" fontId="0" fillId="3" borderId="0" xfId="0" applyFill="1"/>
    <xf numFmtId="0" fontId="4" fillId="0" borderId="31" xfId="2" applyFont="1" applyFill="1" applyBorder="1" applyAlignment="1">
      <alignment horizontal="center"/>
    </xf>
    <xf numFmtId="44" fontId="4" fillId="0" borderId="37" xfId="2" applyNumberFormat="1" applyFont="1" applyFill="1" applyBorder="1" applyAlignment="1"/>
    <xf numFmtId="0" fontId="20" fillId="5" borderId="14" xfId="0" applyFont="1" applyFill="1" applyBorder="1" applyAlignment="1">
      <alignment horizontal="center" vertical="center"/>
    </xf>
    <xf numFmtId="0" fontId="0" fillId="3" borderId="4" xfId="0" applyFill="1" applyBorder="1"/>
    <xf numFmtId="0" fontId="4" fillId="0" borderId="30" xfId="2" applyFont="1" applyFill="1" applyBorder="1" applyAlignment="1">
      <alignment horizontal="right"/>
    </xf>
    <xf numFmtId="0" fontId="4" fillId="0" borderId="38" xfId="2" applyFont="1" applyFill="1" applyBorder="1" applyAlignment="1"/>
    <xf numFmtId="0" fontId="4" fillId="0" borderId="38" xfId="2" applyFont="1" applyFill="1" applyBorder="1" applyAlignment="1">
      <alignment horizontal="center"/>
    </xf>
    <xf numFmtId="0" fontId="9" fillId="0" borderId="29" xfId="2" applyFont="1" applyFill="1" applyBorder="1" applyAlignment="1">
      <alignment horizontal="center"/>
    </xf>
    <xf numFmtId="49" fontId="2" fillId="0" borderId="32" xfId="2" applyNumberFormat="1" applyFont="1" applyFill="1" applyBorder="1" applyAlignment="1"/>
    <xf numFmtId="49" fontId="8" fillId="0" borderId="32" xfId="2" applyNumberFormat="1" applyFont="1" applyFill="1" applyBorder="1" applyAlignment="1"/>
    <xf numFmtId="49" fontId="8" fillId="0" borderId="32" xfId="2" applyNumberFormat="1" applyFont="1" applyFill="1" applyBorder="1" applyAlignment="1">
      <alignment horizontal="center"/>
    </xf>
    <xf numFmtId="49" fontId="8" fillId="0" borderId="33" xfId="2" applyNumberFormat="1" applyFont="1" applyFill="1" applyBorder="1" applyAlignment="1"/>
    <xf numFmtId="0" fontId="2" fillId="0" borderId="39" xfId="0" applyFont="1" applyBorder="1" applyAlignment="1">
      <alignment horizontal="left" vertical="top"/>
    </xf>
    <xf numFmtId="0" fontId="2" fillId="0" borderId="39" xfId="0" applyFont="1" applyBorder="1" applyAlignment="1">
      <alignment horizontal="left" vertical="top" wrapText="1"/>
    </xf>
    <xf numFmtId="0" fontId="4" fillId="0" borderId="35" xfId="2" applyFont="1" applyFill="1" applyBorder="1"/>
    <xf numFmtId="0" fontId="4" fillId="0" borderId="30" xfId="2" applyFont="1" applyFill="1" applyBorder="1" applyAlignment="1">
      <alignment horizontal="center"/>
    </xf>
    <xf numFmtId="0" fontId="4" fillId="0" borderId="29" xfId="2" applyFont="1" applyFill="1" applyBorder="1" applyAlignment="1">
      <alignment horizontal="right"/>
    </xf>
    <xf numFmtId="0" fontId="4" fillId="0" borderId="32" xfId="2" applyFont="1" applyFill="1" applyBorder="1" applyAlignment="1"/>
    <xf numFmtId="0" fontId="4" fillId="0" borderId="32" xfId="2" applyFont="1" applyFill="1" applyBorder="1" applyAlignment="1">
      <alignment horizontal="center"/>
    </xf>
    <xf numFmtId="44" fontId="4" fillId="0" borderId="33" xfId="2" applyNumberFormat="1" applyFont="1" applyFill="1" applyBorder="1" applyAlignment="1"/>
    <xf numFmtId="44" fontId="4" fillId="0" borderId="36" xfId="2" applyNumberFormat="1" applyFont="1" applyFill="1" applyBorder="1" applyAlignment="1"/>
    <xf numFmtId="0" fontId="0" fillId="0" borderId="17" xfId="0" applyBorder="1"/>
    <xf numFmtId="0" fontId="12" fillId="5" borderId="14" xfId="0" applyFont="1" applyFill="1" applyBorder="1" applyAlignment="1">
      <alignment horizontal="center" vertical="center"/>
    </xf>
    <xf numFmtId="49" fontId="8" fillId="3" borderId="6" xfId="2" applyNumberFormat="1" applyFont="1" applyFill="1" applyBorder="1" applyAlignment="1">
      <alignment horizontal="center" vertical="center"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xf>
    <xf numFmtId="0" fontId="2" fillId="3" borderId="5" xfId="0" applyFont="1" applyFill="1" applyBorder="1" applyAlignment="1">
      <alignment horizontal="center" vertical="top"/>
    </xf>
    <xf numFmtId="0" fontId="2" fillId="3" borderId="6" xfId="0" applyFont="1" applyFill="1" applyBorder="1" applyAlignment="1">
      <alignment horizontal="center"/>
    </xf>
    <xf numFmtId="0" fontId="2" fillId="3" borderId="6" xfId="0" applyFont="1" applyFill="1" applyBorder="1" applyAlignment="1">
      <alignment horizontal="center" vertical="top"/>
    </xf>
    <xf numFmtId="165" fontId="9" fillId="3" borderId="6" xfId="2" applyNumberFormat="1" applyFont="1" applyFill="1" applyBorder="1"/>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5" xfId="0" applyFont="1" applyFill="1" applyBorder="1" applyAlignment="1">
      <alignment horizontal="center" vertical="top" wrapText="1"/>
    </xf>
    <xf numFmtId="0" fontId="2" fillId="3" borderId="6" xfId="0" applyFont="1" applyFill="1" applyBorder="1" applyAlignment="1">
      <alignment horizontal="center" vertical="top" wrapText="1"/>
    </xf>
    <xf numFmtId="41" fontId="12" fillId="3" borderId="1" xfId="0" applyNumberFormat="1" applyFont="1" applyFill="1" applyBorder="1" applyAlignment="1">
      <alignment horizontal="right" vertical="top"/>
    </xf>
    <xf numFmtId="0" fontId="12" fillId="3" borderId="1" xfId="0" applyFont="1" applyFill="1" applyBorder="1" applyAlignment="1">
      <alignment horizontal="center" vertical="top"/>
    </xf>
    <xf numFmtId="9" fontId="12" fillId="3" borderId="1" xfId="0" applyNumberFormat="1" applyFont="1" applyFill="1" applyBorder="1" applyAlignment="1">
      <alignment horizontal="right" vertical="top"/>
    </xf>
    <xf numFmtId="0" fontId="2" fillId="3" borderId="4" xfId="0" applyFont="1" applyFill="1" applyBorder="1" applyAlignment="1">
      <alignment horizontal="center" vertical="top"/>
    </xf>
    <xf numFmtId="0" fontId="2" fillId="3" borderId="4" xfId="0" applyFont="1" applyFill="1" applyBorder="1" applyAlignment="1">
      <alignment horizontal="left" vertical="top"/>
    </xf>
    <xf numFmtId="0" fontId="2" fillId="3" borderId="26" xfId="0" applyFont="1" applyFill="1" applyBorder="1" applyAlignment="1">
      <alignment horizontal="center"/>
    </xf>
    <xf numFmtId="0" fontId="2" fillId="3" borderId="26" xfId="0" applyFont="1" applyFill="1" applyBorder="1"/>
    <xf numFmtId="0" fontId="2" fillId="3" borderId="0" xfId="0" applyFont="1" applyFill="1"/>
    <xf numFmtId="0" fontId="2" fillId="3" borderId="25" xfId="0" applyFont="1" applyFill="1" applyBorder="1" applyAlignment="1">
      <alignment horizontal="center" vertical="top"/>
    </xf>
    <xf numFmtId="0" fontId="2" fillId="3" borderId="25" xfId="0" applyFont="1" applyFill="1" applyBorder="1" applyAlignment="1">
      <alignment horizontal="center"/>
    </xf>
    <xf numFmtId="0" fontId="2" fillId="3" borderId="25" xfId="0" applyFont="1" applyFill="1" applyBorder="1"/>
    <xf numFmtId="0" fontId="12" fillId="3" borderId="4" xfId="0" applyFont="1" applyFill="1" applyBorder="1" applyAlignment="1">
      <alignment horizontal="center" vertical="top"/>
    </xf>
    <xf numFmtId="0" fontId="12" fillId="3" borderId="4" xfId="0" applyFont="1" applyFill="1" applyBorder="1" applyAlignment="1">
      <alignment horizontal="left" vertical="top"/>
    </xf>
    <xf numFmtId="41" fontId="12" fillId="3" borderId="4" xfId="0" applyNumberFormat="1" applyFont="1" applyFill="1" applyBorder="1" applyAlignment="1">
      <alignment horizontal="right" vertical="top"/>
    </xf>
    <xf numFmtId="0" fontId="2" fillId="3" borderId="14" xfId="0" applyFont="1" applyFill="1" applyBorder="1" applyAlignment="1"/>
    <xf numFmtId="0" fontId="18" fillId="3" borderId="14" xfId="0" applyFont="1" applyFill="1" applyBorder="1" applyAlignment="1">
      <alignment horizontal="center"/>
    </xf>
    <xf numFmtId="0" fontId="0" fillId="4" borderId="0" xfId="0" applyFill="1"/>
    <xf numFmtId="0" fontId="2" fillId="6" borderId="14" xfId="0" applyFont="1" applyFill="1" applyBorder="1" applyAlignment="1"/>
    <xf numFmtId="0" fontId="0" fillId="6" borderId="0" xfId="0" applyFill="1"/>
    <xf numFmtId="0" fontId="22" fillId="6" borderId="14" xfId="0" applyFont="1" applyFill="1" applyBorder="1" applyAlignment="1"/>
    <xf numFmtId="0" fontId="2" fillId="4" borderId="0" xfId="0" applyFont="1" applyFill="1"/>
    <xf numFmtId="0" fontId="2" fillId="4" borderId="4" xfId="0" applyFont="1" applyFill="1" applyBorder="1" applyAlignment="1">
      <alignment horizontal="left" vertical="top"/>
    </xf>
    <xf numFmtId="0" fontId="2" fillId="4" borderId="4" xfId="0" applyFont="1" applyFill="1" applyBorder="1" applyAlignment="1">
      <alignment horizontal="center" vertical="top"/>
    </xf>
    <xf numFmtId="0" fontId="2" fillId="4" borderId="25" xfId="0" applyFont="1" applyFill="1" applyBorder="1" applyAlignment="1">
      <alignment horizontal="center" vertical="top"/>
    </xf>
    <xf numFmtId="0" fontId="2" fillId="4" borderId="25" xfId="0" applyFont="1" applyFill="1" applyBorder="1" applyAlignment="1">
      <alignment horizontal="center"/>
    </xf>
    <xf numFmtId="0" fontId="2" fillId="4" borderId="25" xfId="0" applyFont="1" applyFill="1" applyBorder="1"/>
    <xf numFmtId="49" fontId="8" fillId="4" borderId="6" xfId="2" applyNumberFormat="1" applyFont="1" applyFill="1" applyBorder="1" applyAlignment="1">
      <alignment horizontal="center" vertical="center" wrapText="1"/>
    </xf>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5" xfId="0" applyFont="1" applyFill="1" applyBorder="1" applyAlignment="1">
      <alignment horizontal="center" vertical="top"/>
    </xf>
    <xf numFmtId="0" fontId="2" fillId="4" borderId="6" xfId="0" applyFont="1" applyFill="1" applyBorder="1" applyAlignment="1">
      <alignment horizontal="center"/>
    </xf>
    <xf numFmtId="0" fontId="2" fillId="4" borderId="6" xfId="0" applyFont="1" applyFill="1" applyBorder="1"/>
    <xf numFmtId="0" fontId="2" fillId="4" borderId="6" xfId="0" applyFont="1" applyFill="1" applyBorder="1" applyAlignment="1">
      <alignment horizontal="center" vertical="top"/>
    </xf>
    <xf numFmtId="41" fontId="4" fillId="4" borderId="6" xfId="2" applyNumberFormat="1" applyFont="1" applyFill="1" applyBorder="1"/>
    <xf numFmtId="165" fontId="4" fillId="4" borderId="6" xfId="2" applyNumberFormat="1" applyFont="1" applyFill="1" applyBorder="1"/>
    <xf numFmtId="165" fontId="9" fillId="4" borderId="6" xfId="2" applyNumberFormat="1" applyFont="1" applyFill="1" applyBorder="1"/>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4" borderId="5" xfId="0" applyFont="1" applyFill="1" applyBorder="1" applyAlignment="1">
      <alignment horizontal="center" vertical="top" wrapText="1"/>
    </xf>
    <xf numFmtId="0" fontId="2" fillId="4" borderId="6" xfId="0" applyFont="1" applyFill="1" applyBorder="1" applyAlignment="1">
      <alignment horizontal="center" vertical="top" wrapText="1"/>
    </xf>
    <xf numFmtId="41" fontId="12" fillId="4" borderId="1" xfId="0" applyNumberFormat="1" applyFont="1" applyFill="1" applyBorder="1" applyAlignment="1">
      <alignment horizontal="right" vertical="top"/>
    </xf>
    <xf numFmtId="0" fontId="12" fillId="4" borderId="1" xfId="0" applyFont="1" applyFill="1" applyBorder="1" applyAlignment="1">
      <alignment horizontal="center" vertical="top"/>
    </xf>
    <xf numFmtId="9" fontId="12" fillId="4" borderId="1" xfId="0" applyNumberFormat="1" applyFont="1" applyFill="1" applyBorder="1" applyAlignment="1">
      <alignment horizontal="right" vertical="top"/>
    </xf>
    <xf numFmtId="0" fontId="12" fillId="4" borderId="4" xfId="0" applyFont="1" applyFill="1" applyBorder="1" applyAlignment="1">
      <alignment horizontal="center" vertical="top"/>
    </xf>
    <xf numFmtId="0" fontId="12" fillId="4" borderId="4" xfId="0" applyFont="1" applyFill="1" applyBorder="1" applyAlignment="1">
      <alignment horizontal="left" vertical="top"/>
    </xf>
    <xf numFmtId="41" fontId="12" fillId="4" borderId="4" xfId="0" applyNumberFormat="1" applyFont="1" applyFill="1" applyBorder="1" applyAlignment="1">
      <alignment horizontal="right" vertical="top"/>
    </xf>
    <xf numFmtId="0" fontId="2" fillId="4" borderId="0" xfId="0" applyFont="1" applyFill="1" applyAlignment="1"/>
    <xf numFmtId="0" fontId="2" fillId="6" borderId="0" xfId="0" applyFont="1" applyFill="1" applyAlignment="1"/>
    <xf numFmtId="0" fontId="12" fillId="6" borderId="4" xfId="0" applyFont="1" applyFill="1" applyBorder="1" applyAlignment="1">
      <alignment horizontal="left" vertical="top"/>
    </xf>
    <xf numFmtId="41" fontId="12" fillId="6" borderId="4" xfId="0" applyNumberFormat="1" applyFont="1" applyFill="1" applyBorder="1" applyAlignment="1">
      <alignment horizontal="right" vertical="top"/>
    </xf>
    <xf numFmtId="0" fontId="2" fillId="4" borderId="6" xfId="0" applyFont="1" applyFill="1" applyBorder="1" applyAlignment="1">
      <alignment horizontal="left" vertical="top"/>
    </xf>
    <xf numFmtId="166" fontId="12" fillId="4" borderId="1" xfId="0" applyNumberFormat="1" applyFont="1" applyFill="1" applyBorder="1" applyAlignment="1">
      <alignment horizontal="right" vertical="top"/>
    </xf>
    <xf numFmtId="0" fontId="2" fillId="4" borderId="14" xfId="0" applyFont="1" applyFill="1" applyBorder="1" applyAlignment="1">
      <alignment horizontal="left" vertical="top" wrapText="1"/>
    </xf>
    <xf numFmtId="0" fontId="9" fillId="0" borderId="4" xfId="0" applyFont="1" applyBorder="1"/>
    <xf numFmtId="0" fontId="9" fillId="5" borderId="14" xfId="0" applyFont="1" applyFill="1" applyBorder="1" applyAlignment="1">
      <alignment horizontal="left" vertical="center"/>
    </xf>
    <xf numFmtId="0" fontId="2" fillId="0" borderId="5" xfId="0" applyFont="1" applyBorder="1" applyAlignment="1">
      <alignment vertical="top"/>
    </xf>
    <xf numFmtId="0" fontId="2" fillId="0" borderId="5" xfId="0" applyFont="1" applyBorder="1" applyAlignment="1">
      <alignment vertical="top" wrapText="1"/>
    </xf>
    <xf numFmtId="41" fontId="2" fillId="0" borderId="1" xfId="0" applyNumberFormat="1" applyFont="1" applyBorder="1" applyAlignment="1">
      <alignment horizontal="right" vertical="top"/>
    </xf>
    <xf numFmtId="166" fontId="2" fillId="0" borderId="1" xfId="0" applyNumberFormat="1" applyFont="1" applyBorder="1" applyAlignment="1">
      <alignment horizontal="right" vertical="top"/>
    </xf>
    <xf numFmtId="9" fontId="2" fillId="0" borderId="1" xfId="0" applyNumberFormat="1" applyFont="1" applyBorder="1" applyAlignment="1">
      <alignment horizontal="right" vertical="top"/>
    </xf>
    <xf numFmtId="0" fontId="2" fillId="0" borderId="25" xfId="0" applyFont="1" applyBorder="1" applyAlignment="1">
      <alignment horizontal="left" vertical="top"/>
    </xf>
    <xf numFmtId="41" fontId="2" fillId="0" borderId="4" xfId="0" applyNumberFormat="1" applyFont="1" applyBorder="1" applyAlignment="1">
      <alignment horizontal="right" vertical="top"/>
    </xf>
    <xf numFmtId="0" fontId="2" fillId="0" borderId="41" xfId="0" applyFont="1" applyBorder="1" applyAlignment="1">
      <alignment vertical="top"/>
    </xf>
    <xf numFmtId="0" fontId="3" fillId="0" borderId="1" xfId="0" applyFont="1" applyBorder="1" applyAlignment="1">
      <alignment horizontal="center" vertical="top"/>
    </xf>
    <xf numFmtId="0" fontId="2" fillId="0" borderId="42" xfId="0" applyFont="1" applyBorder="1" applyAlignment="1">
      <alignment vertical="top"/>
    </xf>
    <xf numFmtId="41" fontId="2" fillId="0" borderId="22" xfId="0" applyNumberFormat="1" applyFont="1" applyBorder="1" applyAlignment="1">
      <alignment horizontal="right" vertical="top"/>
    </xf>
    <xf numFmtId="0" fontId="2" fillId="0" borderId="26" xfId="0" applyFont="1" applyBorder="1" applyAlignment="1">
      <alignment horizontal="center" vertical="top"/>
    </xf>
    <xf numFmtId="0" fontId="2" fillId="0" borderId="26" xfId="0" applyFont="1" applyBorder="1" applyAlignment="1">
      <alignment horizontal="left" vertical="top"/>
    </xf>
    <xf numFmtId="41" fontId="2" fillId="0" borderId="26" xfId="0" applyNumberFormat="1" applyFont="1" applyBorder="1" applyAlignment="1">
      <alignment horizontal="right" vertical="top"/>
    </xf>
    <xf numFmtId="0" fontId="4" fillId="0" borderId="38" xfId="2" applyFont="1" applyFill="1" applyBorder="1"/>
    <xf numFmtId="164" fontId="2" fillId="2" borderId="38" xfId="2" applyNumberFormat="1" applyFont="1" applyFill="1" applyBorder="1" applyAlignment="1"/>
    <xf numFmtId="0" fontId="4" fillId="0" borderId="44" xfId="2" applyFont="1" applyFill="1" applyBorder="1"/>
    <xf numFmtId="164" fontId="2" fillId="2" borderId="44" xfId="2" applyNumberFormat="1" applyFont="1" applyFill="1" applyBorder="1" applyAlignment="1"/>
    <xf numFmtId="0" fontId="11" fillId="3" borderId="4" xfId="0" applyFont="1" applyFill="1" applyBorder="1" applyAlignment="1">
      <alignment horizontal="center"/>
    </xf>
    <xf numFmtId="42" fontId="12" fillId="3" borderId="4" xfId="0" applyNumberFormat="1" applyFont="1" applyFill="1" applyBorder="1"/>
    <xf numFmtId="0" fontId="11" fillId="3" borderId="14" xfId="0" applyFont="1" applyFill="1" applyBorder="1" applyAlignment="1">
      <alignment horizontal="center"/>
    </xf>
    <xf numFmtId="0" fontId="0" fillId="3" borderId="4" xfId="0" applyFill="1" applyBorder="1" applyAlignment="1">
      <alignment horizontal="center"/>
    </xf>
    <xf numFmtId="0" fontId="24" fillId="6" borderId="4" xfId="0" applyFont="1" applyFill="1" applyBorder="1" applyAlignment="1">
      <alignment horizontal="center"/>
    </xf>
    <xf numFmtId="0" fontId="0" fillId="4" borderId="4" xfId="0" applyFill="1" applyBorder="1" applyAlignment="1">
      <alignment horizontal="center"/>
    </xf>
    <xf numFmtId="0" fontId="19" fillId="0" borderId="4" xfId="0" applyFont="1" applyBorder="1"/>
    <xf numFmtId="0" fontId="25" fillId="0" borderId="4" xfId="0" applyFont="1" applyBorder="1" applyAlignment="1">
      <alignment vertical="center" wrapText="1"/>
    </xf>
    <xf numFmtId="0" fontId="0" fillId="0" borderId="4" xfId="0" applyBorder="1" applyAlignment="1">
      <alignment vertical="top"/>
    </xf>
    <xf numFmtId="0" fontId="27" fillId="0" borderId="4" xfId="0" applyFont="1" applyBorder="1"/>
    <xf numFmtId="0" fontId="0" fillId="0" borderId="4" xfId="0" applyBorder="1" applyAlignment="1">
      <alignment horizontal="left" vertical="top" wrapText="1"/>
    </xf>
    <xf numFmtId="0" fontId="27" fillId="0" borderId="4" xfId="0" applyFont="1" applyBorder="1" applyAlignment="1">
      <alignment horizontal="left" vertical="top" wrapText="1"/>
    </xf>
    <xf numFmtId="0" fontId="16" fillId="0" borderId="4" xfId="0" applyFont="1" applyBorder="1" applyAlignment="1">
      <alignment horizontal="center"/>
    </xf>
    <xf numFmtId="0" fontId="25" fillId="0" borderId="4" xfId="0" applyFont="1" applyBorder="1" applyAlignment="1">
      <alignment horizontal="center"/>
    </xf>
    <xf numFmtId="0" fontId="26" fillId="0" borderId="4" xfId="0" applyFont="1" applyBorder="1" applyAlignment="1">
      <alignment horizontal="center"/>
    </xf>
    <xf numFmtId="0" fontId="26" fillId="0" borderId="4" xfId="0" applyFont="1" applyBorder="1" applyAlignment="1">
      <alignment horizontal="center" vertical="top" wrapText="1"/>
    </xf>
    <xf numFmtId="0" fontId="13" fillId="0" borderId="4" xfId="0" applyFont="1" applyBorder="1" applyAlignment="1">
      <alignment horizontal="center" vertical="top" wrapText="1"/>
    </xf>
    <xf numFmtId="0" fontId="15" fillId="0" borderId="4" xfId="0" applyFont="1" applyBorder="1" applyAlignment="1">
      <alignment horizontal="center"/>
    </xf>
    <xf numFmtId="0" fontId="11" fillId="4" borderId="3" xfId="0" applyFont="1" applyFill="1" applyBorder="1" applyAlignment="1">
      <alignment horizontal="right" vertical="top"/>
    </xf>
    <xf numFmtId="0" fontId="12" fillId="4" borderId="1" xfId="0" applyFont="1" applyFill="1" applyBorder="1" applyAlignment="1">
      <alignment horizontal="left" vertical="top"/>
    </xf>
    <xf numFmtId="0" fontId="11" fillId="4" borderId="2" xfId="0" applyFont="1" applyFill="1" applyBorder="1" applyAlignment="1">
      <alignment horizontal="right" vertical="top"/>
    </xf>
    <xf numFmtId="0" fontId="11" fillId="0" borderId="2" xfId="0" applyFont="1" applyBorder="1" applyAlignment="1">
      <alignment horizontal="right" vertical="top"/>
    </xf>
    <xf numFmtId="0" fontId="12" fillId="0" borderId="1" xfId="0" applyFont="1" applyBorder="1" applyAlignment="1">
      <alignment horizontal="left" vertical="top"/>
    </xf>
    <xf numFmtId="0" fontId="11" fillId="0" borderId="3" xfId="0" applyFont="1" applyBorder="1" applyAlignment="1">
      <alignment horizontal="right" vertical="top"/>
    </xf>
    <xf numFmtId="0" fontId="12" fillId="3" borderId="1" xfId="0" applyFont="1" applyFill="1" applyBorder="1" applyAlignment="1">
      <alignment horizontal="left" vertical="top"/>
    </xf>
    <xf numFmtId="0" fontId="11" fillId="3" borderId="3" xfId="0" applyFont="1" applyFill="1" applyBorder="1" applyAlignment="1">
      <alignment horizontal="right" vertical="top"/>
    </xf>
    <xf numFmtId="0" fontId="11" fillId="3" borderId="2" xfId="0" applyFont="1" applyFill="1" applyBorder="1" applyAlignment="1">
      <alignment horizontal="right" vertical="top"/>
    </xf>
    <xf numFmtId="0" fontId="11" fillId="0" borderId="6" xfId="0" applyFont="1" applyBorder="1" applyAlignment="1">
      <alignment horizontal="right" vertical="top"/>
    </xf>
    <xf numFmtId="0" fontId="8" fillId="0" borderId="5" xfId="0" applyFont="1" applyBorder="1" applyAlignment="1">
      <alignment horizontal="right" vertical="top"/>
    </xf>
    <xf numFmtId="0" fontId="8" fillId="0" borderId="41" xfId="0" applyFont="1" applyBorder="1" applyAlignment="1">
      <alignment horizontal="right" vertical="top"/>
    </xf>
    <xf numFmtId="0" fontId="8" fillId="0" borderId="42" xfId="0" applyFont="1" applyBorder="1" applyAlignment="1">
      <alignment horizontal="right" vertical="top"/>
    </xf>
    <xf numFmtId="0" fontId="2" fillId="0" borderId="5" xfId="0" applyFont="1" applyBorder="1" applyAlignment="1">
      <alignment horizontal="left" vertical="top"/>
    </xf>
    <xf numFmtId="0" fontId="2" fillId="0" borderId="41" xfId="0" applyFont="1" applyBorder="1" applyAlignment="1">
      <alignment horizontal="left" vertical="top"/>
    </xf>
    <xf numFmtId="0" fontId="2" fillId="0" borderId="42" xfId="0" applyFont="1" applyBorder="1" applyAlignment="1">
      <alignment horizontal="left" vertical="top"/>
    </xf>
    <xf numFmtId="0" fontId="2" fillId="0" borderId="23" xfId="0" applyFont="1" applyBorder="1" applyAlignment="1">
      <alignment horizontal="left" vertical="top"/>
    </xf>
    <xf numFmtId="0" fontId="2" fillId="0" borderId="28" xfId="0" applyFont="1" applyBorder="1" applyAlignment="1">
      <alignment horizontal="left" vertical="top"/>
    </xf>
    <xf numFmtId="0" fontId="2" fillId="0" borderId="43" xfId="0" applyFont="1" applyBorder="1" applyAlignment="1">
      <alignment horizontal="left" vertical="top"/>
    </xf>
    <xf numFmtId="0" fontId="5" fillId="0" borderId="4" xfId="2" applyFont="1" applyFill="1" applyAlignment="1">
      <alignment horizontal="center"/>
    </xf>
    <xf numFmtId="0" fontId="7" fillId="0" borderId="4" xfId="2" applyFont="1" applyFill="1" applyAlignment="1">
      <alignment horizontal="center"/>
    </xf>
    <xf numFmtId="0" fontId="28" fillId="7" borderId="6" xfId="3" applyFont="1" applyFill="1" applyBorder="1" applyAlignment="1">
      <alignment horizontal="center" vertical="center" wrapText="1"/>
    </xf>
    <xf numFmtId="0" fontId="29" fillId="7" borderId="6" xfId="3" applyFont="1" applyFill="1" applyBorder="1" applyAlignment="1">
      <alignment horizontal="center" vertical="center" wrapText="1"/>
    </xf>
    <xf numFmtId="42" fontId="28" fillId="7" borderId="6" xfId="3" applyNumberFormat="1" applyFont="1" applyFill="1" applyBorder="1" applyAlignment="1">
      <alignment horizontal="center" vertical="center" wrapText="1"/>
    </xf>
    <xf numFmtId="167" fontId="28" fillId="7" borderId="6" xfId="4" applyNumberFormat="1" applyFont="1" applyFill="1" applyBorder="1" applyAlignment="1">
      <alignment horizontal="center" vertical="center" wrapText="1"/>
    </xf>
    <xf numFmtId="0" fontId="2" fillId="4" borderId="14" xfId="0" applyFont="1" applyFill="1" applyBorder="1" applyAlignment="1"/>
    <xf numFmtId="0" fontId="12" fillId="4" borderId="14" xfId="0" applyFont="1" applyFill="1" applyBorder="1" applyAlignment="1">
      <alignment horizontal="center"/>
    </xf>
    <xf numFmtId="0" fontId="12" fillId="6" borderId="14" xfId="0" applyFont="1" applyFill="1" applyBorder="1" applyAlignment="1">
      <alignment horizontal="center"/>
    </xf>
    <xf numFmtId="0" fontId="18" fillId="6" borderId="14" xfId="0" applyFont="1" applyFill="1" applyBorder="1" applyAlignment="1">
      <alignment horizontal="center"/>
    </xf>
    <xf numFmtId="0" fontId="18" fillId="4" borderId="14" xfId="0" applyFont="1" applyFill="1" applyBorder="1" applyAlignment="1">
      <alignment horizontal="center"/>
    </xf>
    <xf numFmtId="0" fontId="32" fillId="6" borderId="14" xfId="0" applyFont="1" applyFill="1" applyBorder="1" applyAlignment="1">
      <alignment horizontal="center"/>
    </xf>
    <xf numFmtId="0" fontId="32" fillId="6" borderId="0" xfId="0" applyFont="1" applyFill="1"/>
    <xf numFmtId="0" fontId="11" fillId="4" borderId="14" xfId="0" applyFont="1" applyFill="1" applyBorder="1" applyAlignment="1">
      <alignment horizontal="center"/>
    </xf>
    <xf numFmtId="0" fontId="11" fillId="4" borderId="0" xfId="0" applyFont="1" applyFill="1"/>
    <xf numFmtId="0" fontId="4" fillId="5" borderId="14" xfId="0" applyFont="1" applyFill="1" applyBorder="1" applyAlignment="1">
      <alignment horizontal="left" vertical="center"/>
    </xf>
    <xf numFmtId="0" fontId="2" fillId="3" borderId="14" xfId="0" applyFont="1" applyFill="1" applyBorder="1" applyAlignment="1">
      <alignment horizontal="center" vertical="center"/>
    </xf>
    <xf numFmtId="0" fontId="8" fillId="0" borderId="14" xfId="0" applyFont="1" applyBorder="1"/>
    <xf numFmtId="0" fontId="2" fillId="4" borderId="14" xfId="0" applyFont="1" applyFill="1" applyBorder="1"/>
    <xf numFmtId="0" fontId="8" fillId="4" borderId="14" xfId="0" applyFont="1" applyFill="1" applyBorder="1" applyAlignment="1"/>
    <xf numFmtId="0" fontId="8" fillId="4" borderId="14" xfId="0" applyFont="1" applyFill="1" applyBorder="1"/>
    <xf numFmtId="0" fontId="2" fillId="4" borderId="14" xfId="0" applyFont="1" applyFill="1" applyBorder="1" applyAlignment="1">
      <alignment horizontal="left"/>
    </xf>
    <xf numFmtId="0" fontId="14" fillId="4" borderId="14" xfId="0" applyFont="1" applyFill="1" applyBorder="1"/>
    <xf numFmtId="42" fontId="17" fillId="5" borderId="14" xfId="0" applyNumberFormat="1" applyFont="1" applyFill="1" applyBorder="1" applyAlignment="1">
      <alignment horizontal="center" vertical="center"/>
    </xf>
    <xf numFmtId="42" fontId="12" fillId="5" borderId="14" xfId="0" applyNumberFormat="1" applyFont="1" applyFill="1" applyBorder="1" applyAlignment="1">
      <alignment horizontal="center" vertical="center"/>
    </xf>
    <xf numFmtId="42" fontId="20" fillId="5" borderId="14" xfId="0" applyNumberFormat="1" applyFont="1" applyFill="1" applyBorder="1" applyAlignment="1">
      <alignment horizontal="center" vertical="center"/>
    </xf>
    <xf numFmtId="42" fontId="12" fillId="3" borderId="14" xfId="0" applyNumberFormat="1" applyFont="1" applyFill="1" applyBorder="1"/>
    <xf numFmtId="42" fontId="4" fillId="3" borderId="14" xfId="2" applyNumberFormat="1" applyFont="1" applyFill="1" applyBorder="1" applyAlignment="1">
      <alignment horizontal="center"/>
    </xf>
    <xf numFmtId="42" fontId="12" fillId="4" borderId="14" xfId="0" applyNumberFormat="1" applyFont="1" applyFill="1" applyBorder="1"/>
    <xf numFmtId="42" fontId="12" fillId="6" borderId="14" xfId="0" applyNumberFormat="1" applyFont="1" applyFill="1" applyBorder="1"/>
    <xf numFmtId="42" fontId="11" fillId="4" borderId="14" xfId="0" applyNumberFormat="1" applyFont="1" applyFill="1" applyBorder="1"/>
    <xf numFmtId="42" fontId="32" fillId="6" borderId="14" xfId="0" applyNumberFormat="1" applyFont="1" applyFill="1" applyBorder="1"/>
    <xf numFmtId="42" fontId="18" fillId="3" borderId="14" xfId="0" applyNumberFormat="1" applyFont="1" applyFill="1" applyBorder="1"/>
    <xf numFmtId="0" fontId="11" fillId="3" borderId="45" xfId="0" applyFont="1" applyFill="1" applyBorder="1" applyAlignment="1">
      <alignment horizontal="center"/>
    </xf>
    <xf numFmtId="0" fontId="9" fillId="0" borderId="45" xfId="0" applyFont="1" applyBorder="1"/>
    <xf numFmtId="0" fontId="18" fillId="3" borderId="45" xfId="0" applyFont="1" applyFill="1" applyBorder="1" applyAlignment="1">
      <alignment horizontal="center"/>
    </xf>
    <xf numFmtId="42" fontId="18" fillId="3" borderId="45" xfId="0" applyNumberFormat="1" applyFont="1" applyFill="1" applyBorder="1"/>
    <xf numFmtId="0" fontId="9" fillId="5" borderId="38" xfId="0" applyFont="1" applyFill="1" applyBorder="1" applyAlignment="1">
      <alignment horizontal="left" vertical="center"/>
    </xf>
    <xf numFmtId="0" fontId="17" fillId="5" borderId="38" xfId="0" applyFont="1" applyFill="1" applyBorder="1" applyAlignment="1">
      <alignment horizontal="center" vertical="center"/>
    </xf>
    <xf numFmtId="42" fontId="17" fillId="5" borderId="38" xfId="0" applyNumberFormat="1" applyFont="1" applyFill="1" applyBorder="1" applyAlignment="1">
      <alignment horizontal="center" vertical="center"/>
    </xf>
    <xf numFmtId="0" fontId="2" fillId="0" borderId="14" xfId="0" applyFont="1" applyFill="1" applyBorder="1" applyAlignment="1">
      <alignment horizontal="left" vertical="top"/>
    </xf>
    <xf numFmtId="0" fontId="2" fillId="0" borderId="14" xfId="0" applyFont="1" applyFill="1" applyBorder="1" applyAlignment="1">
      <alignment horizontal="center" vertical="top"/>
    </xf>
    <xf numFmtId="0" fontId="2" fillId="0" borderId="14" xfId="0" applyFont="1" applyFill="1" applyBorder="1" applyAlignment="1">
      <alignment horizontal="center" vertical="top" wrapText="1"/>
    </xf>
    <xf numFmtId="0" fontId="2" fillId="0" borderId="14" xfId="0" applyFont="1" applyFill="1" applyBorder="1" applyAlignment="1">
      <alignment horizontal="left" vertical="top" wrapText="1"/>
    </xf>
    <xf numFmtId="0" fontId="2" fillId="0" borderId="14" xfId="0" applyFont="1" applyFill="1" applyBorder="1" applyAlignment="1">
      <alignment vertical="top" wrapText="1"/>
    </xf>
    <xf numFmtId="0" fontId="3" fillId="0" borderId="14" xfId="0" applyFont="1" applyFill="1" applyBorder="1" applyAlignment="1">
      <alignment horizontal="center" vertical="top"/>
    </xf>
    <xf numFmtId="0" fontId="0" fillId="0" borderId="14" xfId="0" applyFill="1" applyBorder="1"/>
    <xf numFmtId="0" fontId="2" fillId="0" borderId="14" xfId="0" applyFont="1" applyFill="1" applyBorder="1" applyAlignment="1">
      <alignment vertical="top"/>
    </xf>
    <xf numFmtId="0" fontId="2" fillId="0" borderId="4" xfId="0" applyFont="1" applyFill="1" applyBorder="1" applyAlignment="1">
      <alignment horizontal="left" vertical="top"/>
    </xf>
    <xf numFmtId="0" fontId="2" fillId="0" borderId="44" xfId="0" applyFont="1" applyFill="1" applyBorder="1" applyAlignment="1">
      <alignment horizontal="center" vertical="top"/>
    </xf>
    <xf numFmtId="0" fontId="2" fillId="0" borderId="39" xfId="0" applyFont="1" applyFill="1" applyBorder="1" applyAlignment="1">
      <alignment horizontal="left" vertical="top"/>
    </xf>
    <xf numFmtId="0" fontId="2" fillId="0" borderId="39" xfId="0" applyFont="1" applyFill="1" applyBorder="1" applyAlignment="1">
      <alignment horizontal="center" vertical="center"/>
    </xf>
    <xf numFmtId="0" fontId="2" fillId="0" borderId="39" xfId="0" applyFont="1" applyFill="1" applyBorder="1" applyAlignment="1">
      <alignment horizontal="center" vertical="top"/>
    </xf>
    <xf numFmtId="0" fontId="2" fillId="0" borderId="40" xfId="0" applyFont="1" applyFill="1" applyBorder="1" applyAlignment="1">
      <alignment horizontal="center" vertical="top"/>
    </xf>
    <xf numFmtId="0" fontId="2" fillId="0" borderId="40" xfId="0" applyFont="1" applyFill="1" applyBorder="1" applyAlignment="1">
      <alignment horizontal="center" vertical="center"/>
    </xf>
    <xf numFmtId="0" fontId="2" fillId="0" borderId="39" xfId="0" applyFont="1" applyFill="1" applyBorder="1" applyAlignment="1">
      <alignment horizontal="left" vertical="top" wrapText="1"/>
    </xf>
    <xf numFmtId="0" fontId="2" fillId="0" borderId="4" xfId="0" applyFont="1" applyFill="1" applyBorder="1" applyAlignment="1">
      <alignment horizontal="center" vertical="top"/>
    </xf>
  </cellXfs>
  <cellStyles count="5">
    <cellStyle name="Comma [0] 15" xfId="4"/>
    <cellStyle name="Comma [0] 3" xfId="1"/>
    <cellStyle name="Normal" xfId="0" builtinId="0"/>
    <cellStyle name="Normal 10" xfId="3"/>
    <cellStyle name="Normal 3"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5328</xdr:row>
      <xdr:rowOff>0</xdr:rowOff>
    </xdr:from>
    <xdr:to>
      <xdr:col>6</xdr:col>
      <xdr:colOff>456142</xdr:colOff>
      <xdr:row>5347</xdr:row>
      <xdr:rowOff>95250</xdr:rowOff>
    </xdr:to>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0" y="1115234625"/>
          <a:ext cx="6361642" cy="371475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K16"/>
  <sheetViews>
    <sheetView view="pageBreakPreview" zoomScale="60" workbookViewId="0">
      <selection activeCell="O24" sqref="O24"/>
    </sheetView>
  </sheetViews>
  <sheetFormatPr defaultRowHeight="15"/>
  <cols>
    <col min="1" max="1" width="9.140625" style="121"/>
    <col min="2" max="2" width="5" style="121" customWidth="1"/>
    <col min="3" max="9" width="9.140625" style="121"/>
    <col min="10" max="10" width="25.7109375" style="121" customWidth="1"/>
    <col min="11" max="11" width="2.7109375" style="121" customWidth="1"/>
  </cols>
  <sheetData>
    <row r="1" spans="1:11" ht="21">
      <c r="A1" s="252" t="s">
        <v>921</v>
      </c>
      <c r="B1" s="252"/>
      <c r="C1" s="252"/>
      <c r="D1" s="252"/>
      <c r="E1" s="252"/>
      <c r="F1" s="252"/>
      <c r="G1" s="252"/>
      <c r="H1" s="252"/>
      <c r="I1" s="252"/>
      <c r="J1" s="252"/>
      <c r="K1" s="252"/>
    </row>
    <row r="2" spans="1:11" ht="21">
      <c r="A2" s="252" t="s">
        <v>911</v>
      </c>
      <c r="B2" s="252"/>
      <c r="C2" s="252"/>
      <c r="D2" s="252"/>
      <c r="E2" s="252"/>
      <c r="F2" s="252"/>
      <c r="G2" s="252"/>
      <c r="H2" s="252"/>
      <c r="I2" s="252"/>
      <c r="J2" s="252"/>
      <c r="K2" s="252"/>
    </row>
    <row r="4" spans="1:11" ht="15.75">
      <c r="A4" s="253"/>
      <c r="B4" s="253"/>
      <c r="C4" s="253"/>
      <c r="D4" s="253"/>
      <c r="E4" s="253"/>
      <c r="F4" s="253"/>
      <c r="G4" s="253"/>
      <c r="H4" s="253"/>
      <c r="I4" s="253"/>
      <c r="J4" s="253"/>
      <c r="K4" s="253"/>
    </row>
    <row r="5" spans="1:11" ht="18.75">
      <c r="A5" s="254" t="s">
        <v>912</v>
      </c>
      <c r="B5" s="254"/>
      <c r="C5" s="254"/>
      <c r="D5" s="254"/>
      <c r="E5" s="254"/>
      <c r="F5" s="254"/>
      <c r="G5" s="254"/>
      <c r="H5" s="254"/>
      <c r="I5" s="254"/>
      <c r="J5" s="254"/>
      <c r="K5" s="254"/>
    </row>
    <row r="6" spans="1:11" ht="18.75">
      <c r="A6" s="255" t="s">
        <v>913</v>
      </c>
      <c r="B6" s="255"/>
      <c r="C6" s="255"/>
      <c r="D6" s="255"/>
      <c r="E6" s="255"/>
      <c r="F6" s="255"/>
      <c r="G6" s="255"/>
      <c r="H6" s="255"/>
      <c r="I6" s="255"/>
      <c r="J6" s="255"/>
      <c r="K6" s="247"/>
    </row>
    <row r="8" spans="1:11" ht="15.75">
      <c r="A8" s="256" t="s">
        <v>914</v>
      </c>
      <c r="B8" s="256"/>
      <c r="C8" s="256"/>
      <c r="D8" s="256"/>
      <c r="E8" s="256"/>
      <c r="F8" s="256"/>
      <c r="G8" s="256"/>
      <c r="H8" s="256"/>
      <c r="I8" s="256"/>
      <c r="J8" s="256"/>
      <c r="K8" s="256"/>
    </row>
    <row r="11" spans="1:11">
      <c r="B11" s="121" t="s">
        <v>915</v>
      </c>
    </row>
    <row r="12" spans="1:11">
      <c r="B12" s="250" t="s">
        <v>916</v>
      </c>
      <c r="C12" s="250"/>
      <c r="D12" s="250"/>
      <c r="E12" s="250"/>
      <c r="F12" s="250"/>
      <c r="G12" s="250"/>
      <c r="H12" s="250"/>
      <c r="I12" s="250"/>
      <c r="J12" s="250"/>
      <c r="K12" s="250"/>
    </row>
    <row r="13" spans="1:11">
      <c r="B13" s="121" t="s">
        <v>917</v>
      </c>
    </row>
    <row r="14" spans="1:11">
      <c r="B14" s="251" t="s">
        <v>918</v>
      </c>
      <c r="C14" s="251"/>
      <c r="D14" s="251"/>
      <c r="E14" s="251"/>
      <c r="F14" s="251"/>
      <c r="G14" s="251"/>
      <c r="H14" s="251"/>
      <c r="I14" s="251"/>
      <c r="J14" s="251"/>
    </row>
    <row r="15" spans="1:11">
      <c r="A15" s="248"/>
      <c r="B15" s="250" t="s">
        <v>919</v>
      </c>
      <c r="C15" s="250"/>
      <c r="D15" s="250"/>
      <c r="E15" s="250"/>
      <c r="F15" s="250"/>
      <c r="G15" s="250"/>
      <c r="H15" s="250"/>
      <c r="I15" s="250"/>
      <c r="J15" s="250"/>
      <c r="K15" s="250"/>
    </row>
    <row r="16" spans="1:11">
      <c r="B16" s="249" t="s">
        <v>920</v>
      </c>
    </row>
  </sheetData>
  <mergeCells count="9">
    <mergeCell ref="B12:K12"/>
    <mergeCell ref="B14:J14"/>
    <mergeCell ref="B15:K15"/>
    <mergeCell ref="A1:K1"/>
    <mergeCell ref="A2:K2"/>
    <mergeCell ref="A4:K4"/>
    <mergeCell ref="A5:K5"/>
    <mergeCell ref="A6:J6"/>
    <mergeCell ref="A8:K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2"/>
  <dimension ref="A1:F396"/>
  <sheetViews>
    <sheetView view="pageBreakPreview" zoomScale="60" zoomScaleNormal="80" workbookViewId="0">
      <selection activeCell="B17" sqref="B17"/>
    </sheetView>
  </sheetViews>
  <sheetFormatPr defaultRowHeight="15"/>
  <cols>
    <col min="1" max="1" width="15.28515625" style="243" customWidth="1"/>
    <col min="2" max="2" width="129.5703125" style="110" customWidth="1"/>
    <col min="3" max="3" width="12" style="243" customWidth="1"/>
    <col min="4" max="4" width="18.28515625" style="241" customWidth="1"/>
  </cols>
  <sheetData>
    <row r="1" spans="1:4" ht="21">
      <c r="A1" s="257" t="s">
        <v>740</v>
      </c>
      <c r="B1" s="257"/>
      <c r="C1" s="257"/>
      <c r="D1" s="257"/>
    </row>
    <row r="2" spans="1:4" ht="21">
      <c r="A2" s="252" t="s">
        <v>679</v>
      </c>
      <c r="B2" s="252"/>
      <c r="C2" s="252"/>
      <c r="D2" s="252"/>
    </row>
    <row r="3" spans="1:4">
      <c r="A3" s="240"/>
      <c r="B3" s="220"/>
      <c r="C3" s="240"/>
    </row>
    <row r="4" spans="1:4" ht="31.5">
      <c r="A4" s="279" t="s">
        <v>922</v>
      </c>
      <c r="B4" s="280" t="s">
        <v>1</v>
      </c>
      <c r="C4" s="281" t="s">
        <v>3</v>
      </c>
      <c r="D4" s="282" t="s">
        <v>923</v>
      </c>
    </row>
    <row r="5" spans="1:4" s="132" customFormat="1" ht="18.75">
      <c r="A5" s="314">
        <v>4</v>
      </c>
      <c r="B5" s="314" t="s">
        <v>947</v>
      </c>
      <c r="C5" s="315"/>
      <c r="D5" s="316"/>
    </row>
    <row r="6" spans="1:4" s="132" customFormat="1" ht="18.75">
      <c r="A6" s="221" t="s">
        <v>925</v>
      </c>
      <c r="B6" s="221" t="s">
        <v>948</v>
      </c>
      <c r="C6" s="130"/>
      <c r="D6" s="300"/>
    </row>
    <row r="7" spans="1:4" s="132" customFormat="1" ht="18.75">
      <c r="A7" s="221" t="s">
        <v>924</v>
      </c>
      <c r="B7" s="221" t="s">
        <v>949</v>
      </c>
      <c r="C7" s="130"/>
      <c r="D7" s="300"/>
    </row>
    <row r="8" spans="1:4" s="129" customFormat="1" ht="18.75">
      <c r="A8" s="292" t="s">
        <v>926</v>
      </c>
      <c r="B8" s="292" t="s">
        <v>950</v>
      </c>
      <c r="C8" s="135"/>
      <c r="D8" s="300"/>
    </row>
    <row r="9" spans="1:4" s="131" customFormat="1">
      <c r="A9" s="69" t="s">
        <v>927</v>
      </c>
      <c r="B9" s="69" t="s">
        <v>951</v>
      </c>
      <c r="C9" s="293" t="s">
        <v>688</v>
      </c>
      <c r="D9" s="301">
        <f>ANGKUTAN!G15</f>
        <v>14797.75</v>
      </c>
    </row>
    <row r="10" spans="1:4" s="131" customFormat="1">
      <c r="A10" s="49" t="s">
        <v>928</v>
      </c>
      <c r="B10" s="49" t="s">
        <v>952</v>
      </c>
      <c r="C10" s="293" t="s">
        <v>688</v>
      </c>
      <c r="D10" s="301">
        <f>ANGKUTAN!G31</f>
        <v>15595.25</v>
      </c>
    </row>
    <row r="11" spans="1:4" s="131" customFormat="1">
      <c r="A11" s="49" t="s">
        <v>929</v>
      </c>
      <c r="B11" s="49" t="s">
        <v>953</v>
      </c>
      <c r="C11" s="293" t="s">
        <v>688</v>
      </c>
      <c r="D11" s="301">
        <f>ANGKUTAN!G47</f>
        <v>18546</v>
      </c>
    </row>
    <row r="12" spans="1:4" s="131" customFormat="1">
      <c r="A12" s="49" t="s">
        <v>930</v>
      </c>
      <c r="B12" s="49" t="s">
        <v>954</v>
      </c>
      <c r="C12" s="293" t="s">
        <v>688</v>
      </c>
      <c r="D12" s="301">
        <f>ANGKUTAN!G63</f>
        <v>25437.5</v>
      </c>
    </row>
    <row r="13" spans="1:4" s="131" customFormat="1">
      <c r="A13" s="49" t="s">
        <v>931</v>
      </c>
      <c r="B13" s="49" t="s">
        <v>955</v>
      </c>
      <c r="C13" s="293" t="s">
        <v>688</v>
      </c>
      <c r="D13" s="301">
        <f>ANGKUTAN!G80</f>
        <v>83382.75</v>
      </c>
    </row>
    <row r="14" spans="1:4" s="131" customFormat="1">
      <c r="A14" s="49" t="s">
        <v>932</v>
      </c>
      <c r="B14" s="49" t="s">
        <v>956</v>
      </c>
      <c r="C14" s="293" t="s">
        <v>688</v>
      </c>
      <c r="D14" s="301">
        <f>ANGKUTAN!G97</f>
        <v>85877</v>
      </c>
    </row>
    <row r="15" spans="1:4" s="131" customFormat="1">
      <c r="A15" s="49" t="s">
        <v>933</v>
      </c>
      <c r="B15" s="49" t="s">
        <v>957</v>
      </c>
      <c r="C15" s="293" t="s">
        <v>688</v>
      </c>
      <c r="D15" s="301">
        <f>ANGKUTAN!G114</f>
        <v>114053.5</v>
      </c>
    </row>
    <row r="16" spans="1:4" s="131" customFormat="1">
      <c r="A16" s="49" t="s">
        <v>935</v>
      </c>
      <c r="B16" s="49" t="s">
        <v>958</v>
      </c>
      <c r="C16" s="293" t="s">
        <v>688</v>
      </c>
      <c r="D16" s="301">
        <f>ANGKUTAN!G131</f>
        <v>148274.5</v>
      </c>
    </row>
    <row r="17" spans="1:4" s="131" customFormat="1">
      <c r="A17" s="49" t="s">
        <v>936</v>
      </c>
      <c r="B17" s="49" t="s">
        <v>959</v>
      </c>
      <c r="C17" s="293" t="s">
        <v>688</v>
      </c>
      <c r="D17" s="301">
        <f>ANGKUTAN!G147</f>
        <v>12097.25</v>
      </c>
    </row>
    <row r="18" spans="1:4" s="131" customFormat="1">
      <c r="A18" s="49" t="s">
        <v>937</v>
      </c>
      <c r="B18" s="49" t="s">
        <v>960</v>
      </c>
      <c r="C18" s="293" t="s">
        <v>688</v>
      </c>
      <c r="D18" s="301">
        <f>ANGKUTAN!G163</f>
        <v>14357.75</v>
      </c>
    </row>
    <row r="19" spans="1:4" s="131" customFormat="1">
      <c r="A19" s="49" t="s">
        <v>938</v>
      </c>
      <c r="B19" s="49" t="s">
        <v>961</v>
      </c>
      <c r="C19" s="293" t="s">
        <v>688</v>
      </c>
      <c r="D19" s="301">
        <f>ANGKUTAN!G179</f>
        <v>18546</v>
      </c>
    </row>
    <row r="20" spans="1:4" s="131" customFormat="1">
      <c r="A20" s="49" t="s">
        <v>934</v>
      </c>
      <c r="B20" s="49" t="s">
        <v>962</v>
      </c>
      <c r="C20" s="293" t="s">
        <v>688</v>
      </c>
      <c r="D20" s="301">
        <f>ANGKUTAN!G195</f>
        <v>12097.25</v>
      </c>
    </row>
    <row r="21" spans="1:4" s="131" customFormat="1">
      <c r="A21" s="49" t="s">
        <v>939</v>
      </c>
      <c r="B21" s="49" t="s">
        <v>963</v>
      </c>
      <c r="C21" s="293" t="s">
        <v>688</v>
      </c>
      <c r="D21" s="301">
        <f>ANGKUTAN!G211</f>
        <v>14357.75</v>
      </c>
    </row>
    <row r="22" spans="1:4" s="136" customFormat="1">
      <c r="A22" s="49" t="s">
        <v>940</v>
      </c>
      <c r="B22" s="49" t="s">
        <v>964</v>
      </c>
      <c r="C22" s="293" t="s">
        <v>688</v>
      </c>
      <c r="D22" s="301">
        <f>ANGKUTAN!G227</f>
        <v>15595.25</v>
      </c>
    </row>
    <row r="23" spans="1:4" s="136" customFormat="1">
      <c r="A23" s="49" t="s">
        <v>941</v>
      </c>
      <c r="B23" s="49" t="s">
        <v>965</v>
      </c>
      <c r="C23" s="293" t="s">
        <v>688</v>
      </c>
      <c r="D23" s="301">
        <f>ANGKUTAN!G243</f>
        <v>18546</v>
      </c>
    </row>
    <row r="24" spans="1:4" s="136" customFormat="1">
      <c r="A24" s="49" t="s">
        <v>942</v>
      </c>
      <c r="B24" s="49" t="s">
        <v>966</v>
      </c>
      <c r="C24" s="293" t="s">
        <v>688</v>
      </c>
      <c r="D24" s="301">
        <f>ANGKUTAN!G260</f>
        <v>83382.75</v>
      </c>
    </row>
    <row r="25" spans="1:4" s="136" customFormat="1">
      <c r="A25" s="49" t="s">
        <v>943</v>
      </c>
      <c r="B25" s="49" t="s">
        <v>967</v>
      </c>
      <c r="C25" s="293" t="s">
        <v>688</v>
      </c>
      <c r="D25" s="301">
        <f>ANGKUTAN!G277</f>
        <v>85877</v>
      </c>
    </row>
    <row r="26" spans="1:4" s="136" customFormat="1">
      <c r="A26" s="49" t="s">
        <v>944</v>
      </c>
      <c r="B26" s="49" t="s">
        <v>968</v>
      </c>
      <c r="C26" s="155" t="s">
        <v>908</v>
      </c>
      <c r="D26" s="301">
        <f>ANGKUTAN!G293</f>
        <v>11803</v>
      </c>
    </row>
    <row r="27" spans="1:4" s="136" customFormat="1">
      <c r="A27" s="49" t="s">
        <v>945</v>
      </c>
      <c r="B27" s="49" t="s">
        <v>969</v>
      </c>
      <c r="C27" s="155" t="s">
        <v>908</v>
      </c>
      <c r="D27" s="301">
        <f>ANGKUTAN!G309</f>
        <v>12097.25</v>
      </c>
    </row>
    <row r="28" spans="1:4" s="136" customFormat="1">
      <c r="A28" s="49" t="s">
        <v>946</v>
      </c>
      <c r="B28" s="49" t="s">
        <v>970</v>
      </c>
      <c r="C28" s="155" t="s">
        <v>908</v>
      </c>
      <c r="D28" s="301">
        <f>ANGKUTAN!G325</f>
        <v>14357.75</v>
      </c>
    </row>
    <row r="29" spans="1:4" s="136" customFormat="1">
      <c r="A29" s="49" t="s">
        <v>934</v>
      </c>
      <c r="B29" s="49" t="s">
        <v>971</v>
      </c>
      <c r="C29" s="155" t="s">
        <v>104</v>
      </c>
      <c r="D29" s="301">
        <f>ANGKUTAN!G341</f>
        <v>12680.25</v>
      </c>
    </row>
    <row r="30" spans="1:4" s="136" customFormat="1">
      <c r="A30" s="49" t="s">
        <v>939</v>
      </c>
      <c r="B30" s="49" t="s">
        <v>972</v>
      </c>
      <c r="C30" s="155" t="s">
        <v>104</v>
      </c>
      <c r="D30" s="301">
        <f>ANGKUTAN!G357</f>
        <v>14371.5</v>
      </c>
    </row>
    <row r="31" spans="1:4" s="136" customFormat="1" ht="18.75">
      <c r="A31" s="122"/>
      <c r="B31" s="122"/>
      <c r="C31" s="135"/>
      <c r="D31" s="302"/>
    </row>
    <row r="32" spans="1:4">
      <c r="A32" s="294" t="s">
        <v>973</v>
      </c>
      <c r="B32" s="294" t="s">
        <v>1293</v>
      </c>
      <c r="C32" s="242"/>
      <c r="D32" s="303"/>
    </row>
    <row r="33" spans="1:6">
      <c r="A33" s="122" t="s">
        <v>974</v>
      </c>
      <c r="B33" s="122" t="s">
        <v>1294</v>
      </c>
      <c r="C33" s="242"/>
      <c r="D33" s="303"/>
    </row>
    <row r="34" spans="1:6">
      <c r="A34" s="122" t="s">
        <v>975</v>
      </c>
      <c r="B34" s="122" t="s">
        <v>1295</v>
      </c>
      <c r="C34" s="120" t="s">
        <v>86</v>
      </c>
      <c r="D34" s="304">
        <f>'4. AHS LANDSKAP'!G25</f>
        <v>190202.1</v>
      </c>
      <c r="F34" t="e">
        <f ca="1">LEFT(B32(B34)-3)</f>
        <v>#REF!</v>
      </c>
    </row>
    <row r="35" spans="1:6">
      <c r="A35" s="122" t="s">
        <v>976</v>
      </c>
      <c r="B35" s="122" t="s">
        <v>1296</v>
      </c>
      <c r="C35" s="120" t="s">
        <v>86</v>
      </c>
      <c r="D35" s="304">
        <f>'4. AHS LANDSKAP'!G51</f>
        <v>190202.1</v>
      </c>
    </row>
    <row r="36" spans="1:6">
      <c r="A36" s="122" t="s">
        <v>977</v>
      </c>
      <c r="B36" s="122" t="s">
        <v>1297</v>
      </c>
      <c r="C36" s="120" t="s">
        <v>86</v>
      </c>
      <c r="D36" s="303">
        <f>'4. AHS LANDSKAP'!G76</f>
        <v>190202.1</v>
      </c>
    </row>
    <row r="37" spans="1:6">
      <c r="A37" s="122" t="s">
        <v>978</v>
      </c>
      <c r="B37" s="122" t="s">
        <v>1298</v>
      </c>
      <c r="C37" s="120" t="s">
        <v>86</v>
      </c>
      <c r="D37" s="303">
        <f>'4. AHS LANDSKAP'!G101</f>
        <v>190202.1</v>
      </c>
    </row>
    <row r="38" spans="1:6">
      <c r="A38" s="122" t="s">
        <v>979</v>
      </c>
      <c r="B38" s="122" t="s">
        <v>1299</v>
      </c>
      <c r="C38" s="120" t="s">
        <v>86</v>
      </c>
      <c r="D38" s="303">
        <f>'4. AHS LANDSKAP'!G126</f>
        <v>190202.1</v>
      </c>
    </row>
    <row r="39" spans="1:6">
      <c r="A39" s="122" t="s">
        <v>980</v>
      </c>
      <c r="B39" s="123" t="s">
        <v>1300</v>
      </c>
      <c r="C39" s="120" t="s">
        <v>86</v>
      </c>
      <c r="D39" s="303">
        <f>'4. AHS LANDSKAP'!G151</f>
        <v>190202.1</v>
      </c>
    </row>
    <row r="40" spans="1:6">
      <c r="A40" s="122" t="s">
        <v>981</v>
      </c>
      <c r="B40" s="123" t="s">
        <v>1301</v>
      </c>
      <c r="C40" s="120" t="s">
        <v>86</v>
      </c>
      <c r="D40" s="303">
        <f>'4. AHS LANDSKAP'!G175</f>
        <v>190202.1</v>
      </c>
    </row>
    <row r="41" spans="1:6">
      <c r="A41" s="122" t="s">
        <v>982</v>
      </c>
      <c r="B41" s="123" t="s">
        <v>1302</v>
      </c>
      <c r="C41" s="120" t="s">
        <v>86</v>
      </c>
      <c r="D41" s="303">
        <f>'4. AHS LANDSKAP'!G199</f>
        <v>190202.1</v>
      </c>
    </row>
    <row r="42" spans="1:6">
      <c r="A42" s="122" t="s">
        <v>983</v>
      </c>
      <c r="B42" s="123" t="s">
        <v>1303</v>
      </c>
      <c r="C42" s="120" t="s">
        <v>86</v>
      </c>
      <c r="D42" s="303">
        <f>'4. AHS LANDSKAP'!G223</f>
        <v>190202.1</v>
      </c>
    </row>
    <row r="43" spans="1:6">
      <c r="A43" s="122" t="s">
        <v>984</v>
      </c>
      <c r="B43" s="123" t="s">
        <v>1304</v>
      </c>
      <c r="C43" s="120" t="s">
        <v>86</v>
      </c>
      <c r="D43" s="303">
        <f>'4. AHS LANDSKAP'!G247</f>
        <v>190202.1</v>
      </c>
    </row>
    <row r="44" spans="1:6">
      <c r="A44" s="122" t="s">
        <v>985</v>
      </c>
      <c r="B44" s="123" t="s">
        <v>1305</v>
      </c>
      <c r="C44" s="120" t="s">
        <v>86</v>
      </c>
      <c r="D44" s="303">
        <f>'4. AHS LANDSKAP'!G271</f>
        <v>190202.1</v>
      </c>
    </row>
    <row r="45" spans="1:6">
      <c r="A45" s="122" t="s">
        <v>986</v>
      </c>
      <c r="B45" s="123" t="s">
        <v>1306</v>
      </c>
      <c r="C45" s="120" t="s">
        <v>86</v>
      </c>
      <c r="D45" s="303">
        <f>'4. AHS LANDSKAP'!G296</f>
        <v>190202.1</v>
      </c>
    </row>
    <row r="46" spans="1:6">
      <c r="A46" s="122" t="s">
        <v>987</v>
      </c>
      <c r="B46" s="123" t="s">
        <v>1307</v>
      </c>
      <c r="C46" s="120" t="s">
        <v>86</v>
      </c>
      <c r="D46" s="303">
        <f>'4. AHS LANDSKAP'!G320</f>
        <v>190202.1</v>
      </c>
    </row>
    <row r="47" spans="1:6">
      <c r="A47" s="122" t="s">
        <v>988</v>
      </c>
      <c r="B47" s="123" t="s">
        <v>1308</v>
      </c>
      <c r="C47" s="120" t="s">
        <v>86</v>
      </c>
      <c r="D47" s="303">
        <f>'4. AHS LANDSKAP'!G344</f>
        <v>190202.1</v>
      </c>
    </row>
    <row r="48" spans="1:6">
      <c r="A48" s="122" t="s">
        <v>989</v>
      </c>
      <c r="B48" s="123" t="s">
        <v>1309</v>
      </c>
      <c r="C48" s="120" t="s">
        <v>86</v>
      </c>
      <c r="D48" s="303">
        <f>'4. AHS LANDSKAP'!G368</f>
        <v>190202.1</v>
      </c>
    </row>
    <row r="49" spans="1:4">
      <c r="A49" s="122" t="s">
        <v>990</v>
      </c>
      <c r="B49" s="123" t="s">
        <v>1310</v>
      </c>
      <c r="C49" s="120" t="s">
        <v>86</v>
      </c>
      <c r="D49" s="303">
        <f>'4. AHS LANDSKAP'!G392</f>
        <v>190202.1</v>
      </c>
    </row>
    <row r="50" spans="1:4">
      <c r="A50" s="122" t="s">
        <v>991</v>
      </c>
      <c r="B50" s="123" t="s">
        <v>1311</v>
      </c>
      <c r="C50" s="120" t="s">
        <v>86</v>
      </c>
      <c r="D50" s="303">
        <f>'4. AHS LANDSKAP'!G416</f>
        <v>190202.1</v>
      </c>
    </row>
    <row r="51" spans="1:4">
      <c r="A51" s="123"/>
      <c r="B51" s="123"/>
      <c r="C51" s="120"/>
      <c r="D51" s="303"/>
    </row>
    <row r="52" spans="1:4">
      <c r="A52" s="123" t="s">
        <v>992</v>
      </c>
      <c r="B52" s="123" t="s">
        <v>1312</v>
      </c>
      <c r="C52" s="120"/>
      <c r="D52" s="303"/>
    </row>
    <row r="53" spans="1:4">
      <c r="A53" s="123" t="s">
        <v>993</v>
      </c>
      <c r="B53" s="123" t="s">
        <v>1313</v>
      </c>
      <c r="C53" s="120" t="s">
        <v>86</v>
      </c>
      <c r="D53" s="303">
        <f>'4. AHS LANDSKAP'!G441</f>
        <v>191288.9</v>
      </c>
    </row>
    <row r="54" spans="1:4">
      <c r="A54" s="123" t="s">
        <v>994</v>
      </c>
      <c r="B54" s="123" t="s">
        <v>1314</v>
      </c>
      <c r="C54" s="120" t="s">
        <v>86</v>
      </c>
      <c r="D54" s="303">
        <f>'4. AHS LANDSKAP'!G465</f>
        <v>191288.9</v>
      </c>
    </row>
    <row r="55" spans="1:4">
      <c r="A55" s="123" t="s">
        <v>995</v>
      </c>
      <c r="B55" s="123" t="s">
        <v>1315</v>
      </c>
      <c r="C55" s="120" t="s">
        <v>86</v>
      </c>
      <c r="D55" s="303">
        <f>'4. AHS LANDSKAP'!G489</f>
        <v>191288.9</v>
      </c>
    </row>
    <row r="56" spans="1:4">
      <c r="A56" s="123" t="s">
        <v>996</v>
      </c>
      <c r="B56" s="123" t="s">
        <v>1316</v>
      </c>
      <c r="C56" s="120" t="s">
        <v>86</v>
      </c>
      <c r="D56" s="303">
        <f>'4. AHS LANDSKAP'!G513</f>
        <v>191288.9</v>
      </c>
    </row>
    <row r="57" spans="1:4">
      <c r="A57" s="123" t="s">
        <v>997</v>
      </c>
      <c r="B57" s="123" t="s">
        <v>1317</v>
      </c>
      <c r="C57" s="120" t="s">
        <v>86</v>
      </c>
      <c r="D57" s="303">
        <f>'4. AHS LANDSKAP'!G537</f>
        <v>191288.9</v>
      </c>
    </row>
    <row r="58" spans="1:4">
      <c r="A58" s="123" t="s">
        <v>998</v>
      </c>
      <c r="B58" s="123" t="s">
        <v>1318</v>
      </c>
      <c r="C58" s="120" t="s">
        <v>86</v>
      </c>
      <c r="D58" s="303">
        <f>'4. AHS LANDSKAP'!G561</f>
        <v>191288.9</v>
      </c>
    </row>
    <row r="59" spans="1:4">
      <c r="A59" s="123" t="s">
        <v>999</v>
      </c>
      <c r="B59" s="123" t="s">
        <v>1319</v>
      </c>
      <c r="C59" s="120" t="s">
        <v>86</v>
      </c>
      <c r="D59" s="303">
        <f>'4. AHS LANDSKAP'!G585</f>
        <v>191288.9</v>
      </c>
    </row>
    <row r="60" spans="1:4">
      <c r="A60" s="123" t="s">
        <v>1000</v>
      </c>
      <c r="B60" s="123" t="s">
        <v>1320</v>
      </c>
      <c r="C60" s="120" t="s">
        <v>86</v>
      </c>
      <c r="D60" s="303">
        <f>'4. AHS LANDSKAP'!G609</f>
        <v>191288.9</v>
      </c>
    </row>
    <row r="61" spans="1:4">
      <c r="A61" s="123" t="s">
        <v>1001</v>
      </c>
      <c r="B61" s="123" t="s">
        <v>1321</v>
      </c>
      <c r="C61" s="120" t="s">
        <v>86</v>
      </c>
      <c r="D61" s="303">
        <f>'4. AHS LANDSKAP'!G633</f>
        <v>191288.9</v>
      </c>
    </row>
    <row r="62" spans="1:4">
      <c r="A62" s="123" t="s">
        <v>1002</v>
      </c>
      <c r="B62" s="123" t="s">
        <v>1322</v>
      </c>
      <c r="C62" s="120" t="s">
        <v>86</v>
      </c>
      <c r="D62" s="303">
        <f>'4. AHS LANDSKAP'!G657</f>
        <v>191288.9</v>
      </c>
    </row>
    <row r="63" spans="1:4">
      <c r="A63" s="123" t="s">
        <v>1003</v>
      </c>
      <c r="B63" s="123" t="s">
        <v>1323</v>
      </c>
      <c r="C63" s="120" t="s">
        <v>86</v>
      </c>
      <c r="D63" s="303">
        <f>'4. AHS LANDSKAP'!G681</f>
        <v>191288.9</v>
      </c>
    </row>
    <row r="64" spans="1:4">
      <c r="A64" s="123" t="s">
        <v>1004</v>
      </c>
      <c r="B64" s="123" t="s">
        <v>1324</v>
      </c>
      <c r="C64" s="120" t="s">
        <v>86</v>
      </c>
      <c r="D64" s="303">
        <f>'4. AHS LANDSKAP'!G705</f>
        <v>191288.9</v>
      </c>
    </row>
    <row r="65" spans="1:4">
      <c r="A65" s="123"/>
      <c r="B65" s="123"/>
      <c r="C65" s="120"/>
      <c r="D65" s="303"/>
    </row>
    <row r="66" spans="1:4">
      <c r="A66" s="123" t="s">
        <v>1005</v>
      </c>
      <c r="B66" s="123" t="s">
        <v>1325</v>
      </c>
      <c r="C66" s="120"/>
      <c r="D66" s="303"/>
    </row>
    <row r="67" spans="1:4">
      <c r="A67" s="123" t="s">
        <v>1006</v>
      </c>
      <c r="B67" s="123" t="s">
        <v>1326</v>
      </c>
      <c r="C67" s="120" t="s">
        <v>86</v>
      </c>
      <c r="D67" s="303">
        <f>'4. AHS LANDSKAP'!G731</f>
        <v>265364</v>
      </c>
    </row>
    <row r="68" spans="1:4">
      <c r="A68" s="123" t="s">
        <v>1007</v>
      </c>
      <c r="B68" s="123" t="s">
        <v>1327</v>
      </c>
      <c r="C68" s="120" t="s">
        <v>86</v>
      </c>
      <c r="D68" s="303">
        <f>'4. AHS LANDSKAP'!G756</f>
        <v>265364</v>
      </c>
    </row>
    <row r="69" spans="1:4">
      <c r="A69" s="123" t="s">
        <v>1008</v>
      </c>
      <c r="B69" s="123" t="s">
        <v>1328</v>
      </c>
      <c r="C69" s="120" t="s">
        <v>86</v>
      </c>
      <c r="D69" s="303">
        <f>'4. AHS LANDSKAP'!G782</f>
        <v>265364</v>
      </c>
    </row>
    <row r="70" spans="1:4">
      <c r="A70" s="123" t="s">
        <v>1009</v>
      </c>
      <c r="B70" s="123" t="s">
        <v>1329</v>
      </c>
      <c r="C70" s="120" t="s">
        <v>86</v>
      </c>
      <c r="D70" s="303">
        <f>'4. AHS LANDSKAP'!G807</f>
        <v>265364</v>
      </c>
    </row>
    <row r="71" spans="1:4">
      <c r="A71" s="123" t="s">
        <v>1010</v>
      </c>
      <c r="B71" s="123" t="s">
        <v>1330</v>
      </c>
      <c r="C71" s="120" t="s">
        <v>86</v>
      </c>
      <c r="D71" s="303">
        <f>'4. AHS LANDSKAP'!G832</f>
        <v>265364</v>
      </c>
    </row>
    <row r="72" spans="1:4">
      <c r="A72" s="123" t="s">
        <v>1011</v>
      </c>
      <c r="B72" s="123" t="s">
        <v>1331</v>
      </c>
      <c r="C72" s="120" t="s">
        <v>86</v>
      </c>
      <c r="D72" s="303">
        <f>'4. AHS LANDSKAP'!G857</f>
        <v>265364</v>
      </c>
    </row>
    <row r="73" spans="1:4">
      <c r="A73" s="123" t="s">
        <v>1012</v>
      </c>
      <c r="B73" s="123" t="s">
        <v>1332</v>
      </c>
      <c r="C73" s="120" t="s">
        <v>86</v>
      </c>
      <c r="D73" s="303">
        <f>'4. AHS LANDSKAP'!G882</f>
        <v>265364</v>
      </c>
    </row>
    <row r="74" spans="1:4">
      <c r="A74" s="123" t="s">
        <v>1013</v>
      </c>
      <c r="B74" s="123" t="s">
        <v>1333</v>
      </c>
      <c r="C74" s="120" t="s">
        <v>86</v>
      </c>
      <c r="D74" s="303">
        <f>'4. AHS LANDSKAP'!G907</f>
        <v>265364</v>
      </c>
    </row>
    <row r="75" spans="1:4">
      <c r="A75" s="123" t="s">
        <v>1014</v>
      </c>
      <c r="B75" s="123" t="s">
        <v>1334</v>
      </c>
      <c r="C75" s="120" t="s">
        <v>86</v>
      </c>
      <c r="D75" s="303">
        <f>'4. AHS LANDSKAP'!G932</f>
        <v>265364</v>
      </c>
    </row>
    <row r="76" spans="1:4">
      <c r="A76" s="123" t="s">
        <v>1015</v>
      </c>
      <c r="B76" s="123" t="s">
        <v>1335</v>
      </c>
      <c r="C76" s="120" t="s">
        <v>86</v>
      </c>
      <c r="D76" s="303">
        <f>'4. AHS LANDSKAP'!G957</f>
        <v>265364</v>
      </c>
    </row>
    <row r="77" spans="1:4" s="183" customFormat="1">
      <c r="A77" s="283" t="s">
        <v>1016</v>
      </c>
      <c r="B77" s="295" t="s">
        <v>1336</v>
      </c>
      <c r="C77" s="284" t="s">
        <v>86</v>
      </c>
      <c r="D77" s="305">
        <f>'4. AHS LANDSKAP'!G982</f>
        <v>265364</v>
      </c>
    </row>
    <row r="78" spans="1:4" s="183" customFormat="1">
      <c r="A78" s="283" t="s">
        <v>1017</v>
      </c>
      <c r="B78" s="283" t="s">
        <v>1337</v>
      </c>
      <c r="C78" s="284" t="s">
        <v>86</v>
      </c>
      <c r="D78" s="305">
        <f>'4. AHS LANDSKAP'!G1007</f>
        <v>265364</v>
      </c>
    </row>
    <row r="79" spans="1:4" s="183" customFormat="1">
      <c r="A79" s="283" t="s">
        <v>1018</v>
      </c>
      <c r="B79" s="283" t="s">
        <v>1338</v>
      </c>
      <c r="C79" s="284" t="s">
        <v>86</v>
      </c>
      <c r="D79" s="305">
        <f>'4. AHS LANDSKAP'!G1032</f>
        <v>265364</v>
      </c>
    </row>
    <row r="80" spans="1:4" s="183" customFormat="1">
      <c r="A80" s="283" t="s">
        <v>1019</v>
      </c>
      <c r="B80" s="295" t="s">
        <v>1339</v>
      </c>
      <c r="C80" s="284" t="s">
        <v>86</v>
      </c>
      <c r="D80" s="305">
        <f>'4. AHS LANDSKAP'!G1057</f>
        <v>265364</v>
      </c>
    </row>
    <row r="81" spans="1:4">
      <c r="A81" s="123"/>
      <c r="B81" s="123"/>
      <c r="C81" s="120"/>
      <c r="D81" s="303"/>
    </row>
    <row r="82" spans="1:4">
      <c r="A82" s="123" t="s">
        <v>1020</v>
      </c>
      <c r="B82" s="123" t="s">
        <v>1340</v>
      </c>
      <c r="C82" s="120"/>
      <c r="D82" s="303"/>
    </row>
    <row r="83" spans="1:4">
      <c r="A83" s="123" t="s">
        <v>1021</v>
      </c>
      <c r="B83" s="123" t="s">
        <v>1341</v>
      </c>
      <c r="C83" s="120" t="s">
        <v>86</v>
      </c>
      <c r="D83" s="303">
        <f>'4. AHS LANDSKAP'!G1083</f>
        <v>273185</v>
      </c>
    </row>
    <row r="84" spans="1:4">
      <c r="A84" s="123" t="s">
        <v>1022</v>
      </c>
      <c r="B84" s="123" t="s">
        <v>1342</v>
      </c>
      <c r="C84" s="120" t="s">
        <v>86</v>
      </c>
      <c r="D84" s="303">
        <f>'4. AHS LANDSKAP'!G1108</f>
        <v>273185</v>
      </c>
    </row>
    <row r="85" spans="1:4">
      <c r="A85" s="123" t="s">
        <v>1023</v>
      </c>
      <c r="B85" s="123" t="s">
        <v>1343</v>
      </c>
      <c r="C85" s="120" t="s">
        <v>86</v>
      </c>
      <c r="D85" s="303">
        <f>'4. AHS LANDSKAP'!G1133</f>
        <v>273185</v>
      </c>
    </row>
    <row r="86" spans="1:4">
      <c r="A86" s="123" t="s">
        <v>1024</v>
      </c>
      <c r="B86" s="123" t="s">
        <v>1344</v>
      </c>
      <c r="C86" s="120" t="s">
        <v>86</v>
      </c>
      <c r="D86" s="303">
        <f>'4. AHS LANDSKAP'!G1158</f>
        <v>273185</v>
      </c>
    </row>
    <row r="87" spans="1:4">
      <c r="A87" s="123" t="s">
        <v>1025</v>
      </c>
      <c r="B87" s="123" t="s">
        <v>1345</v>
      </c>
      <c r="C87" s="120" t="s">
        <v>86</v>
      </c>
      <c r="D87" s="303">
        <f>'4. AHS LANDSKAP'!G1183</f>
        <v>273185</v>
      </c>
    </row>
    <row r="88" spans="1:4">
      <c r="A88" s="123" t="s">
        <v>1026</v>
      </c>
      <c r="B88" s="123" t="s">
        <v>1346</v>
      </c>
      <c r="C88" s="120" t="s">
        <v>86</v>
      </c>
      <c r="D88" s="303">
        <f>'4. AHS LANDSKAP'!G1208</f>
        <v>273185</v>
      </c>
    </row>
    <row r="89" spans="1:4">
      <c r="A89" s="123" t="s">
        <v>1027</v>
      </c>
      <c r="B89" s="123" t="s">
        <v>1347</v>
      </c>
      <c r="C89" s="120" t="s">
        <v>86</v>
      </c>
      <c r="D89" s="303">
        <f>'4. AHS LANDSKAP'!G1233</f>
        <v>273185</v>
      </c>
    </row>
    <row r="90" spans="1:4">
      <c r="A90" s="123" t="s">
        <v>1028</v>
      </c>
      <c r="B90" s="123" t="s">
        <v>1348</v>
      </c>
      <c r="C90" s="120" t="s">
        <v>86</v>
      </c>
      <c r="D90" s="303">
        <f>'4. AHS LANDSKAP'!G1258</f>
        <v>273185</v>
      </c>
    </row>
    <row r="91" spans="1:4">
      <c r="A91" s="123" t="s">
        <v>1029</v>
      </c>
      <c r="B91" s="123" t="s">
        <v>1349</v>
      </c>
      <c r="C91" s="120" t="s">
        <v>86</v>
      </c>
      <c r="D91" s="303">
        <f>'4. AHS LANDSKAP'!G1283</f>
        <v>273185</v>
      </c>
    </row>
    <row r="92" spans="1:4">
      <c r="A92" s="123" t="s">
        <v>1030</v>
      </c>
      <c r="B92" s="123" t="s">
        <v>1350</v>
      </c>
      <c r="C92" s="120" t="s">
        <v>86</v>
      </c>
      <c r="D92" s="303">
        <f>'4. AHS LANDSKAP'!G1308</f>
        <v>273185</v>
      </c>
    </row>
    <row r="93" spans="1:4">
      <c r="A93" s="123" t="s">
        <v>1031</v>
      </c>
      <c r="B93" s="123" t="s">
        <v>1351</v>
      </c>
      <c r="C93" s="120" t="s">
        <v>86</v>
      </c>
      <c r="D93" s="303">
        <f>'4. AHS LANDSKAP'!G1333</f>
        <v>273185</v>
      </c>
    </row>
    <row r="94" spans="1:4">
      <c r="A94" s="123" t="s">
        <v>1032</v>
      </c>
      <c r="B94" s="123" t="s">
        <v>1352</v>
      </c>
      <c r="C94" s="120" t="s">
        <v>86</v>
      </c>
      <c r="D94" s="303">
        <f>'4. AHS LANDSKAP'!G1358</f>
        <v>273185</v>
      </c>
    </row>
    <row r="95" spans="1:4">
      <c r="A95" s="123" t="s">
        <v>1033</v>
      </c>
      <c r="B95" s="123" t="s">
        <v>1353</v>
      </c>
      <c r="C95" s="120" t="s">
        <v>86</v>
      </c>
      <c r="D95" s="303">
        <f>'4. AHS LANDSKAP'!G1383</f>
        <v>273185</v>
      </c>
    </row>
    <row r="96" spans="1:4">
      <c r="A96" s="123" t="s">
        <v>1034</v>
      </c>
      <c r="B96" s="123" t="s">
        <v>1354</v>
      </c>
      <c r="C96" s="120" t="s">
        <v>86</v>
      </c>
      <c r="D96" s="303">
        <f>'4. AHS LANDSKAP'!G1408</f>
        <v>273185</v>
      </c>
    </row>
    <row r="97" spans="1:4">
      <c r="A97" s="123" t="s">
        <v>1035</v>
      </c>
      <c r="B97" s="123" t="s">
        <v>1355</v>
      </c>
      <c r="C97" s="120" t="s">
        <v>86</v>
      </c>
      <c r="D97" s="303">
        <f>'4. AHS LANDSKAP'!G1433</f>
        <v>273185</v>
      </c>
    </row>
    <row r="98" spans="1:4">
      <c r="A98" s="123" t="s">
        <v>1036</v>
      </c>
      <c r="B98" s="123" t="s">
        <v>1356</v>
      </c>
      <c r="C98" s="120" t="s">
        <v>86</v>
      </c>
      <c r="D98" s="303">
        <f>'4. AHS LANDSKAP'!G1458</f>
        <v>273185</v>
      </c>
    </row>
    <row r="99" spans="1:4">
      <c r="A99" s="123" t="s">
        <v>1037</v>
      </c>
      <c r="B99" s="123" t="s">
        <v>1357</v>
      </c>
      <c r="C99" s="120" t="s">
        <v>86</v>
      </c>
      <c r="D99" s="303">
        <f>'4. AHS LANDSKAP'!G1483</f>
        <v>273185</v>
      </c>
    </row>
    <row r="100" spans="1:4">
      <c r="A100" s="123" t="s">
        <v>1038</v>
      </c>
      <c r="B100" s="123" t="s">
        <v>1358</v>
      </c>
      <c r="C100" s="120" t="s">
        <v>86</v>
      </c>
      <c r="D100" s="303">
        <f>'4. AHS LANDSKAP'!G1508</f>
        <v>273185</v>
      </c>
    </row>
    <row r="101" spans="1:4" s="183" customFormat="1">
      <c r="A101" s="283" t="s">
        <v>1039</v>
      </c>
      <c r="B101" s="295" t="s">
        <v>1359</v>
      </c>
      <c r="C101" s="284" t="s">
        <v>86</v>
      </c>
      <c r="D101" s="305">
        <f>'4. AHS LANDSKAP'!G1533</f>
        <v>273185</v>
      </c>
    </row>
    <row r="102" spans="1:4" s="183" customFormat="1">
      <c r="A102" s="283" t="s">
        <v>1040</v>
      </c>
      <c r="B102" s="283" t="s">
        <v>1360</v>
      </c>
      <c r="C102" s="284" t="s">
        <v>86</v>
      </c>
      <c r="D102" s="305">
        <f>'4. AHS LANDSKAP'!G1558</f>
        <v>273185</v>
      </c>
    </row>
    <row r="103" spans="1:4" s="183" customFormat="1">
      <c r="A103" s="283" t="s">
        <v>1041</v>
      </c>
      <c r="B103" s="283" t="s">
        <v>1361</v>
      </c>
      <c r="C103" s="284" t="s">
        <v>86</v>
      </c>
      <c r="D103" s="305">
        <f>'4. AHS LANDSKAP'!G1583</f>
        <v>273185</v>
      </c>
    </row>
    <row r="104" spans="1:4" s="183" customFormat="1">
      <c r="A104" s="283" t="s">
        <v>1042</v>
      </c>
      <c r="B104" s="295" t="s">
        <v>1362</v>
      </c>
      <c r="C104" s="284" t="s">
        <v>86</v>
      </c>
      <c r="D104" s="305">
        <f>'4. AHS LANDSKAP'!G1608</f>
        <v>273185</v>
      </c>
    </row>
    <row r="105" spans="1:4">
      <c r="A105" s="123"/>
      <c r="B105" s="123"/>
      <c r="C105" s="120"/>
      <c r="D105" s="303"/>
    </row>
    <row r="106" spans="1:4">
      <c r="A106" s="123" t="s">
        <v>1043</v>
      </c>
      <c r="B106" s="123" t="s">
        <v>1363</v>
      </c>
      <c r="C106" s="120"/>
      <c r="D106" s="303"/>
    </row>
    <row r="107" spans="1:4">
      <c r="A107" s="123" t="s">
        <v>1044</v>
      </c>
      <c r="B107" s="123" t="s">
        <v>1364</v>
      </c>
      <c r="C107" s="120" t="s">
        <v>86</v>
      </c>
      <c r="D107" s="303">
        <f>'4. AHS LANDSKAP'!G1635</f>
        <v>334268</v>
      </c>
    </row>
    <row r="108" spans="1:4">
      <c r="A108" s="123" t="s">
        <v>1045</v>
      </c>
      <c r="B108" s="123" t="s">
        <v>1365</v>
      </c>
      <c r="C108" s="120" t="s">
        <v>86</v>
      </c>
      <c r="D108" s="303">
        <f>'4. AHS LANDSKAP'!G1661</f>
        <v>334268</v>
      </c>
    </row>
    <row r="109" spans="1:4">
      <c r="A109" s="123" t="s">
        <v>1046</v>
      </c>
      <c r="B109" s="123" t="s">
        <v>1366</v>
      </c>
      <c r="C109" s="120" t="s">
        <v>86</v>
      </c>
      <c r="D109" s="303">
        <f>'4. AHS LANDSKAP'!G1687</f>
        <v>334268</v>
      </c>
    </row>
    <row r="110" spans="1:4">
      <c r="A110" s="123" t="s">
        <v>1047</v>
      </c>
      <c r="B110" s="123" t="s">
        <v>1367</v>
      </c>
      <c r="C110" s="120" t="s">
        <v>86</v>
      </c>
      <c r="D110" s="303">
        <f>'4. AHS LANDSKAP'!G1713</f>
        <v>334268</v>
      </c>
    </row>
    <row r="111" spans="1:4">
      <c r="A111" s="123" t="s">
        <v>1048</v>
      </c>
      <c r="B111" s="123" t="s">
        <v>1368</v>
      </c>
      <c r="C111" s="120" t="s">
        <v>86</v>
      </c>
      <c r="D111" s="303">
        <f>'4. AHS LANDSKAP'!G1739</f>
        <v>334268</v>
      </c>
    </row>
    <row r="112" spans="1:4">
      <c r="A112" s="123" t="s">
        <v>1049</v>
      </c>
      <c r="B112" s="123" t="s">
        <v>1369</v>
      </c>
      <c r="C112" s="120" t="s">
        <v>86</v>
      </c>
      <c r="D112" s="303">
        <f>'4. AHS LANDSKAP'!G1765</f>
        <v>334268</v>
      </c>
    </row>
    <row r="113" spans="1:4">
      <c r="A113" s="123" t="s">
        <v>1050</v>
      </c>
      <c r="B113" s="123" t="s">
        <v>1370</v>
      </c>
      <c r="C113" s="120" t="s">
        <v>86</v>
      </c>
      <c r="D113" s="303">
        <f>'4. AHS LANDSKAP'!G1791</f>
        <v>334268</v>
      </c>
    </row>
    <row r="114" spans="1:4">
      <c r="A114" s="123" t="s">
        <v>1051</v>
      </c>
      <c r="B114" s="123" t="s">
        <v>1371</v>
      </c>
      <c r="C114" s="120" t="s">
        <v>86</v>
      </c>
      <c r="D114" s="303">
        <f>'4. AHS LANDSKAP'!G1817</f>
        <v>334268</v>
      </c>
    </row>
    <row r="115" spans="1:4">
      <c r="A115" s="123" t="s">
        <v>1052</v>
      </c>
      <c r="B115" s="123" t="s">
        <v>1372</v>
      </c>
      <c r="C115" s="120" t="s">
        <v>86</v>
      </c>
      <c r="D115" s="303">
        <f>'4. AHS LANDSKAP'!G1843</f>
        <v>334268</v>
      </c>
    </row>
    <row r="116" spans="1:4">
      <c r="A116" s="123" t="s">
        <v>1053</v>
      </c>
      <c r="B116" s="123" t="s">
        <v>1373</v>
      </c>
      <c r="C116" s="120" t="s">
        <v>86</v>
      </c>
      <c r="D116" s="303">
        <f>'4. AHS LANDSKAP'!G1869</f>
        <v>334268</v>
      </c>
    </row>
    <row r="117" spans="1:4">
      <c r="A117" s="123" t="s">
        <v>1054</v>
      </c>
      <c r="B117" s="123" t="s">
        <v>1374</v>
      </c>
      <c r="C117" s="120" t="s">
        <v>86</v>
      </c>
      <c r="D117" s="303">
        <f>'4. AHS LANDSKAP'!G1895</f>
        <v>334268</v>
      </c>
    </row>
    <row r="118" spans="1:4">
      <c r="A118" s="123" t="s">
        <v>1055</v>
      </c>
      <c r="B118" s="123" t="s">
        <v>1375</v>
      </c>
      <c r="C118" s="120" t="s">
        <v>86</v>
      </c>
      <c r="D118" s="303">
        <f>'4. AHS LANDSKAP'!G1921</f>
        <v>334268</v>
      </c>
    </row>
    <row r="119" spans="1:4">
      <c r="A119" s="123" t="s">
        <v>1056</v>
      </c>
      <c r="B119" s="123" t="s">
        <v>1376</v>
      </c>
      <c r="C119" s="120" t="s">
        <v>86</v>
      </c>
      <c r="D119" s="303">
        <f>'4. AHS LANDSKAP'!G1947</f>
        <v>334268</v>
      </c>
    </row>
    <row r="120" spans="1:4">
      <c r="A120" s="123" t="s">
        <v>1057</v>
      </c>
      <c r="B120" s="123" t="s">
        <v>1377</v>
      </c>
      <c r="C120" s="120" t="s">
        <v>86</v>
      </c>
      <c r="D120" s="303">
        <f>'4. AHS LANDSKAP'!G1973</f>
        <v>334268</v>
      </c>
    </row>
    <row r="121" spans="1:4">
      <c r="A121" s="123"/>
      <c r="B121" s="123"/>
      <c r="C121" s="120"/>
      <c r="D121" s="303"/>
    </row>
    <row r="122" spans="1:4">
      <c r="A122" s="123" t="s">
        <v>1058</v>
      </c>
      <c r="B122" s="123" t="s">
        <v>1378</v>
      </c>
      <c r="C122" s="120"/>
      <c r="D122" s="303"/>
    </row>
    <row r="123" spans="1:4">
      <c r="A123" s="123" t="s">
        <v>1059</v>
      </c>
      <c r="B123" s="123" t="s">
        <v>1379</v>
      </c>
      <c r="C123" s="120" t="s">
        <v>86</v>
      </c>
      <c r="D123" s="303">
        <f>'4. AHS LANDSKAP'!G2000</f>
        <v>343046</v>
      </c>
    </row>
    <row r="124" spans="1:4">
      <c r="A124" s="123" t="s">
        <v>1060</v>
      </c>
      <c r="B124" s="123" t="s">
        <v>1380</v>
      </c>
      <c r="C124" s="120" t="s">
        <v>86</v>
      </c>
      <c r="D124" s="303">
        <f>'4. AHS LANDSKAP'!G2026</f>
        <v>343046</v>
      </c>
    </row>
    <row r="125" spans="1:4" s="185" customFormat="1">
      <c r="A125" s="184" t="s">
        <v>1061</v>
      </c>
      <c r="B125" s="184" t="s">
        <v>1381</v>
      </c>
      <c r="C125" s="285" t="s">
        <v>86</v>
      </c>
      <c r="D125" s="306">
        <f>'4. AHS LANDSKAP'!G2052</f>
        <v>346731</v>
      </c>
    </row>
    <row r="126" spans="1:4">
      <c r="A126" s="123" t="s">
        <v>1062</v>
      </c>
      <c r="B126" s="123" t="s">
        <v>1382</v>
      </c>
      <c r="C126" s="120" t="s">
        <v>86</v>
      </c>
      <c r="D126" s="303">
        <f>'4. AHS LANDSKAP'!G2078</f>
        <v>346731</v>
      </c>
    </row>
    <row r="127" spans="1:4">
      <c r="A127" s="123" t="s">
        <v>1063</v>
      </c>
      <c r="B127" s="123" t="s">
        <v>1383</v>
      </c>
      <c r="C127" s="120" t="s">
        <v>86</v>
      </c>
      <c r="D127" s="303">
        <f>'4. AHS LANDSKAP'!G2104</f>
        <v>346731</v>
      </c>
    </row>
    <row r="128" spans="1:4">
      <c r="A128" s="123" t="s">
        <v>1064</v>
      </c>
      <c r="B128" s="123" t="s">
        <v>1384</v>
      </c>
      <c r="C128" s="120" t="s">
        <v>86</v>
      </c>
      <c r="D128" s="303">
        <f>'4. AHS LANDSKAP'!G2130</f>
        <v>346731</v>
      </c>
    </row>
    <row r="129" spans="1:4">
      <c r="A129" s="123" t="s">
        <v>1065</v>
      </c>
      <c r="B129" s="123" t="s">
        <v>1385</v>
      </c>
      <c r="C129" s="120" t="s">
        <v>86</v>
      </c>
      <c r="D129" s="303">
        <f>'4. AHS LANDSKAP'!G2156</f>
        <v>346731</v>
      </c>
    </row>
    <row r="130" spans="1:4">
      <c r="A130" s="123" t="s">
        <v>1066</v>
      </c>
      <c r="B130" s="123" t="s">
        <v>1386</v>
      </c>
      <c r="C130" s="120" t="s">
        <v>86</v>
      </c>
      <c r="D130" s="303">
        <f>'4. AHS LANDSKAP'!G2182</f>
        <v>346731</v>
      </c>
    </row>
    <row r="131" spans="1:4">
      <c r="A131" s="123"/>
      <c r="B131" s="123"/>
      <c r="C131" s="120"/>
      <c r="D131" s="303"/>
    </row>
    <row r="132" spans="1:4">
      <c r="A132" s="123" t="s">
        <v>1067</v>
      </c>
      <c r="B132" s="123" t="s">
        <v>1387</v>
      </c>
      <c r="C132" s="120"/>
      <c r="D132" s="303"/>
    </row>
    <row r="133" spans="1:4">
      <c r="A133" s="123" t="s">
        <v>1068</v>
      </c>
      <c r="B133" s="123" t="s">
        <v>1388</v>
      </c>
      <c r="C133" s="120" t="s">
        <v>86</v>
      </c>
      <c r="D133" s="303">
        <f>'4. AHS LANDSKAP'!G2209</f>
        <v>359227</v>
      </c>
    </row>
    <row r="134" spans="1:4">
      <c r="A134" s="123" t="s">
        <v>1069</v>
      </c>
      <c r="B134" s="123" t="s">
        <v>1389</v>
      </c>
      <c r="C134" s="120" t="s">
        <v>86</v>
      </c>
      <c r="D134" s="303">
        <f>'4. AHS LANDSKAP'!G2235</f>
        <v>359227</v>
      </c>
    </row>
    <row r="135" spans="1:4">
      <c r="A135" s="123" t="s">
        <v>1070</v>
      </c>
      <c r="B135" s="123" t="s">
        <v>1390</v>
      </c>
      <c r="C135" s="120" t="s">
        <v>86</v>
      </c>
      <c r="D135" s="303">
        <f>'4. AHS LANDSKAP'!G2261</f>
        <v>359227</v>
      </c>
    </row>
    <row r="136" spans="1:4">
      <c r="A136" s="123" t="s">
        <v>1071</v>
      </c>
      <c r="B136" s="123" t="s">
        <v>1391</v>
      </c>
      <c r="C136" s="120" t="s">
        <v>86</v>
      </c>
      <c r="D136" s="303">
        <f>'4. AHS LANDSKAP'!G2287</f>
        <v>359227</v>
      </c>
    </row>
    <row r="137" spans="1:4">
      <c r="A137" s="123" t="s">
        <v>1072</v>
      </c>
      <c r="B137" s="123" t="s">
        <v>1392</v>
      </c>
      <c r="C137" s="120" t="s">
        <v>86</v>
      </c>
      <c r="D137" s="303">
        <f>'4. AHS LANDSKAP'!G2313</f>
        <v>359227</v>
      </c>
    </row>
    <row r="138" spans="1:4">
      <c r="A138" s="123" t="s">
        <v>1073</v>
      </c>
      <c r="B138" s="123" t="s">
        <v>1393</v>
      </c>
      <c r="C138" s="120" t="s">
        <v>86</v>
      </c>
      <c r="D138" s="303">
        <f>'4. AHS LANDSKAP'!G2339</f>
        <v>359227</v>
      </c>
    </row>
    <row r="139" spans="1:4">
      <c r="A139" s="123" t="s">
        <v>1074</v>
      </c>
      <c r="B139" s="123" t="s">
        <v>1394</v>
      </c>
      <c r="C139" s="120" t="s">
        <v>86</v>
      </c>
      <c r="D139" s="303">
        <f>'4. AHS LANDSKAP'!G2365</f>
        <v>359227</v>
      </c>
    </row>
    <row r="140" spans="1:4">
      <c r="A140" s="123"/>
      <c r="B140" s="123"/>
      <c r="C140" s="120"/>
      <c r="D140" s="303"/>
    </row>
    <row r="141" spans="1:4">
      <c r="A141" s="123" t="s">
        <v>1075</v>
      </c>
      <c r="B141" s="123" t="s">
        <v>1395</v>
      </c>
      <c r="C141" s="120"/>
      <c r="D141" s="303"/>
    </row>
    <row r="142" spans="1:4">
      <c r="A142" s="123" t="s">
        <v>1076</v>
      </c>
      <c r="B142" s="123" t="s">
        <v>1396</v>
      </c>
      <c r="C142" s="120" t="s">
        <v>86</v>
      </c>
      <c r="D142" s="303">
        <f>'4. AHS LANDSKAP'!G2392</f>
        <v>361482</v>
      </c>
    </row>
    <row r="143" spans="1:4">
      <c r="A143" s="123" t="s">
        <v>1077</v>
      </c>
      <c r="B143" s="123" t="s">
        <v>1397</v>
      </c>
      <c r="C143" s="120" t="s">
        <v>86</v>
      </c>
      <c r="D143" s="303">
        <f>'4. AHS LANDSKAP'!G2418</f>
        <v>361482</v>
      </c>
    </row>
    <row r="144" spans="1:4">
      <c r="A144" s="123" t="s">
        <v>1078</v>
      </c>
      <c r="B144" s="123" t="s">
        <v>1398</v>
      </c>
      <c r="C144" s="120" t="s">
        <v>86</v>
      </c>
      <c r="D144" s="303">
        <f>'4. AHS LANDSKAP'!G2444</f>
        <v>361482</v>
      </c>
    </row>
    <row r="145" spans="1:4">
      <c r="A145" s="123" t="s">
        <v>1079</v>
      </c>
      <c r="B145" s="123" t="s">
        <v>1399</v>
      </c>
      <c r="C145" s="120" t="s">
        <v>86</v>
      </c>
      <c r="D145" s="303">
        <f>'4. AHS LANDSKAP'!G2470</f>
        <v>361482</v>
      </c>
    </row>
    <row r="146" spans="1:4">
      <c r="A146" s="123" t="s">
        <v>1080</v>
      </c>
      <c r="B146" s="123" t="s">
        <v>1400</v>
      </c>
      <c r="C146" s="120" t="s">
        <v>86</v>
      </c>
      <c r="D146" s="303">
        <f>'4. AHS LANDSKAP'!G2496</f>
        <v>361482</v>
      </c>
    </row>
    <row r="147" spans="1:4">
      <c r="A147" s="123" t="s">
        <v>1081</v>
      </c>
      <c r="B147" s="123" t="s">
        <v>1401</v>
      </c>
      <c r="C147" s="120" t="s">
        <v>86</v>
      </c>
      <c r="D147" s="303">
        <f>'4. AHS LANDSKAP'!G2522</f>
        <v>361482</v>
      </c>
    </row>
    <row r="148" spans="1:4">
      <c r="A148" s="123" t="s">
        <v>1082</v>
      </c>
      <c r="B148" s="123" t="s">
        <v>1402</v>
      </c>
      <c r="C148" s="120" t="s">
        <v>86</v>
      </c>
      <c r="D148" s="303">
        <f>'4. AHS LANDSKAP'!G2548</f>
        <v>361482</v>
      </c>
    </row>
    <row r="149" spans="1:4">
      <c r="A149" s="123"/>
      <c r="B149" s="123"/>
      <c r="C149" s="120"/>
      <c r="D149" s="303"/>
    </row>
    <row r="150" spans="1:4" s="291" customFormat="1">
      <c r="A150" s="296" t="s">
        <v>1083</v>
      </c>
      <c r="B150" s="296" t="s">
        <v>1403</v>
      </c>
      <c r="C150" s="290"/>
      <c r="D150" s="307"/>
    </row>
    <row r="151" spans="1:4" s="183" customFormat="1">
      <c r="A151" s="283" t="s">
        <v>1084</v>
      </c>
      <c r="B151" s="283" t="s">
        <v>1404</v>
      </c>
      <c r="C151" s="284"/>
      <c r="D151" s="305"/>
    </row>
    <row r="152" spans="1:4" s="183" customFormat="1">
      <c r="A152" s="283" t="s">
        <v>1085</v>
      </c>
      <c r="B152" s="283" t="s">
        <v>1405</v>
      </c>
      <c r="C152" s="284" t="s">
        <v>86</v>
      </c>
      <c r="D152" s="305">
        <f>'4. AHS LANDSKAP'!G2571</f>
        <v>13211</v>
      </c>
    </row>
    <row r="153" spans="1:4" s="183" customFormat="1">
      <c r="A153" s="283" t="s">
        <v>1086</v>
      </c>
      <c r="B153" s="283" t="s">
        <v>1406</v>
      </c>
      <c r="C153" s="284" t="s">
        <v>86</v>
      </c>
      <c r="D153" s="305">
        <f>'4. AHS LANDSKAP'!G2592</f>
        <v>13211</v>
      </c>
    </row>
    <row r="154" spans="1:4" s="183" customFormat="1">
      <c r="A154" s="283" t="s">
        <v>1087</v>
      </c>
      <c r="B154" s="283" t="s">
        <v>1407</v>
      </c>
      <c r="C154" s="284" t="s">
        <v>86</v>
      </c>
      <c r="D154" s="305">
        <f>'4. AHS LANDSKAP'!G2613</f>
        <v>13211</v>
      </c>
    </row>
    <row r="155" spans="1:4" s="183" customFormat="1">
      <c r="A155" s="283"/>
      <c r="B155" s="283"/>
      <c r="C155" s="284"/>
      <c r="D155" s="305"/>
    </row>
    <row r="156" spans="1:4" s="291" customFormat="1">
      <c r="A156" s="296" t="s">
        <v>1088</v>
      </c>
      <c r="B156" s="296" t="s">
        <v>1433</v>
      </c>
      <c r="C156" s="290"/>
      <c r="D156" s="307"/>
    </row>
    <row r="157" spans="1:4" s="183" customFormat="1">
      <c r="A157" s="283" t="s">
        <v>1089</v>
      </c>
      <c r="B157" s="283" t="s">
        <v>1408</v>
      </c>
      <c r="C157" s="284" t="s">
        <v>86</v>
      </c>
      <c r="D157" s="305">
        <f>'4. AHS LANDSKAP'!G2635</f>
        <v>14202.1</v>
      </c>
    </row>
    <row r="158" spans="1:4" s="183" customFormat="1">
      <c r="A158" s="283" t="s">
        <v>1090</v>
      </c>
      <c r="B158" s="283" t="s">
        <v>1409</v>
      </c>
      <c r="C158" s="284" t="s">
        <v>86</v>
      </c>
      <c r="D158" s="305">
        <f>'4. AHS LANDSKAP'!G2656</f>
        <v>14202.1</v>
      </c>
    </row>
    <row r="159" spans="1:4" s="183" customFormat="1">
      <c r="A159" s="283" t="s">
        <v>1091</v>
      </c>
      <c r="B159" s="283" t="s">
        <v>1410</v>
      </c>
      <c r="C159" s="284" t="s">
        <v>86</v>
      </c>
      <c r="D159" s="305">
        <f>'4. AHS LANDSKAP'!G2677</f>
        <v>14202.1</v>
      </c>
    </row>
    <row r="160" spans="1:4" s="183" customFormat="1">
      <c r="A160" s="283"/>
      <c r="B160" s="283"/>
      <c r="C160" s="284"/>
      <c r="D160" s="305"/>
    </row>
    <row r="161" spans="1:4" s="291" customFormat="1">
      <c r="A161" s="296" t="s">
        <v>1092</v>
      </c>
      <c r="B161" s="296" t="s">
        <v>1432</v>
      </c>
      <c r="C161" s="290"/>
      <c r="D161" s="307"/>
    </row>
    <row r="162" spans="1:4" s="183" customFormat="1">
      <c r="A162" s="283" t="s">
        <v>1093</v>
      </c>
      <c r="B162" s="283" t="s">
        <v>1411</v>
      </c>
      <c r="C162" s="284" t="s">
        <v>86</v>
      </c>
      <c r="D162" s="305">
        <f>'4. AHS LANDSKAP'!G2703</f>
        <v>269621</v>
      </c>
    </row>
    <row r="163" spans="1:4" s="183" customFormat="1">
      <c r="A163" s="283" t="s">
        <v>1094</v>
      </c>
      <c r="B163" s="283" t="s">
        <v>1412</v>
      </c>
      <c r="C163" s="284" t="s">
        <v>86</v>
      </c>
      <c r="D163" s="305">
        <f>'4. AHS LANDSKAP'!G2728</f>
        <v>269621</v>
      </c>
    </row>
    <row r="164" spans="1:4" s="183" customFormat="1">
      <c r="A164" s="283" t="s">
        <v>1095</v>
      </c>
      <c r="B164" s="283" t="s">
        <v>1413</v>
      </c>
      <c r="C164" s="284" t="s">
        <v>86</v>
      </c>
      <c r="D164" s="305">
        <f>'4. AHS LANDSKAP'!G2753</f>
        <v>269621</v>
      </c>
    </row>
    <row r="165" spans="1:4" s="183" customFormat="1">
      <c r="A165" s="283"/>
      <c r="B165" s="283"/>
      <c r="C165" s="284"/>
      <c r="D165" s="305"/>
    </row>
    <row r="166" spans="1:4" s="291" customFormat="1">
      <c r="A166" s="296" t="s">
        <v>1096</v>
      </c>
      <c r="B166" s="296" t="s">
        <v>1414</v>
      </c>
      <c r="C166" s="290"/>
      <c r="D166" s="307"/>
    </row>
    <row r="167" spans="1:4" s="183" customFormat="1">
      <c r="A167" s="283" t="s">
        <v>1097</v>
      </c>
      <c r="B167" s="283" t="s">
        <v>1415</v>
      </c>
      <c r="C167" s="284" t="s">
        <v>86</v>
      </c>
      <c r="D167" s="305">
        <f>'4. AHS LANDSKAP'!G2775</f>
        <v>13211</v>
      </c>
    </row>
    <row r="168" spans="1:4" s="183" customFormat="1">
      <c r="A168" s="283" t="s">
        <v>1098</v>
      </c>
      <c r="B168" s="283" t="s">
        <v>1416</v>
      </c>
      <c r="C168" s="284" t="s">
        <v>86</v>
      </c>
      <c r="D168" s="305">
        <f>'4. AHS LANDSKAP'!G2796</f>
        <v>14202.1</v>
      </c>
    </row>
    <row r="169" spans="1:4" s="183" customFormat="1">
      <c r="A169" s="283" t="s">
        <v>1099</v>
      </c>
      <c r="B169" s="283" t="s">
        <v>1417</v>
      </c>
      <c r="C169" s="284" t="s">
        <v>86</v>
      </c>
      <c r="D169" s="305">
        <f>'4. AHS LANDSKAP'!G2817</f>
        <v>15288.9</v>
      </c>
    </row>
    <row r="170" spans="1:4" s="183" customFormat="1">
      <c r="A170" s="283"/>
      <c r="B170" s="283"/>
      <c r="C170" s="284"/>
      <c r="D170" s="305"/>
    </row>
    <row r="171" spans="1:4" s="291" customFormat="1">
      <c r="A171" s="296" t="s">
        <v>1100</v>
      </c>
      <c r="B171" s="296" t="s">
        <v>1418</v>
      </c>
      <c r="C171" s="290"/>
      <c r="D171" s="307"/>
    </row>
    <row r="172" spans="1:4" s="183" customFormat="1">
      <c r="A172" s="283" t="s">
        <v>1101</v>
      </c>
      <c r="B172" s="283" t="s">
        <v>1419</v>
      </c>
      <c r="C172" s="284" t="s">
        <v>86</v>
      </c>
      <c r="D172" s="305">
        <f>'4. AHS LANDSKAP'!G2843</f>
        <v>260964</v>
      </c>
    </row>
    <row r="173" spans="1:4" s="183" customFormat="1">
      <c r="A173" s="283" t="s">
        <v>1102</v>
      </c>
      <c r="B173" s="283" t="s">
        <v>1420</v>
      </c>
      <c r="C173" s="284" t="s">
        <v>86</v>
      </c>
      <c r="D173" s="305">
        <f>'4. AHS LANDSKAP'!G2868</f>
        <v>260964</v>
      </c>
    </row>
    <row r="174" spans="1:4" s="183" customFormat="1">
      <c r="A174" s="283" t="s">
        <v>1103</v>
      </c>
      <c r="B174" s="283" t="s">
        <v>1421</v>
      </c>
      <c r="C174" s="284" t="s">
        <v>86</v>
      </c>
      <c r="D174" s="305">
        <f>'4. AHS LANDSKAP'!G2893</f>
        <v>260964</v>
      </c>
    </row>
    <row r="175" spans="1:4" s="183" customFormat="1">
      <c r="A175" s="283"/>
      <c r="B175" s="283"/>
      <c r="C175" s="284"/>
      <c r="D175" s="305"/>
    </row>
    <row r="176" spans="1:4" s="291" customFormat="1">
      <c r="A176" s="296" t="s">
        <v>1104</v>
      </c>
      <c r="B176" s="296" t="s">
        <v>1422</v>
      </c>
      <c r="C176" s="290"/>
      <c r="D176" s="307"/>
    </row>
    <row r="177" spans="1:4" s="183" customFormat="1">
      <c r="A177" s="283" t="s">
        <v>1105</v>
      </c>
      <c r="B177" s="283" t="s">
        <v>1423</v>
      </c>
      <c r="C177" s="284" t="s">
        <v>86</v>
      </c>
      <c r="D177" s="305">
        <f>'4. AHS LANDSKAP'!G2920</f>
        <v>332068</v>
      </c>
    </row>
    <row r="178" spans="1:4" s="183" customFormat="1">
      <c r="A178" s="283" t="s">
        <v>1106</v>
      </c>
      <c r="B178" s="283" t="s">
        <v>1424</v>
      </c>
      <c r="C178" s="284" t="s">
        <v>86</v>
      </c>
      <c r="D178" s="305">
        <f>'4. AHS LANDSKAP'!G2946</f>
        <v>332068</v>
      </c>
    </row>
    <row r="179" spans="1:4" s="183" customFormat="1">
      <c r="A179" s="283" t="s">
        <v>1107</v>
      </c>
      <c r="B179" s="283" t="s">
        <v>1425</v>
      </c>
      <c r="C179" s="284" t="s">
        <v>86</v>
      </c>
      <c r="D179" s="305">
        <f>'4. AHS LANDSKAP'!G2972</f>
        <v>332068</v>
      </c>
    </row>
    <row r="180" spans="1:4" s="183" customFormat="1">
      <c r="A180" s="283" t="s">
        <v>1108</v>
      </c>
      <c r="B180" s="283" t="s">
        <v>1426</v>
      </c>
      <c r="C180" s="284" t="s">
        <v>86</v>
      </c>
      <c r="D180" s="305">
        <f>'4. AHS LANDSKAP'!G2998</f>
        <v>332068</v>
      </c>
    </row>
    <row r="181" spans="1:4" s="183" customFormat="1">
      <c r="A181" s="283" t="s">
        <v>1109</v>
      </c>
      <c r="B181" s="283" t="s">
        <v>1427</v>
      </c>
      <c r="C181" s="284" t="s">
        <v>86</v>
      </c>
      <c r="D181" s="305">
        <f>'4. AHS LANDSKAP'!G3024</f>
        <v>332068</v>
      </c>
    </row>
    <row r="182" spans="1:4" s="183" customFormat="1">
      <c r="A182" s="283" t="s">
        <v>1110</v>
      </c>
      <c r="B182" s="283" t="s">
        <v>1428</v>
      </c>
      <c r="C182" s="284" t="s">
        <v>86</v>
      </c>
      <c r="D182" s="305">
        <f>'4. AHS LANDSKAP'!G3050</f>
        <v>332068</v>
      </c>
    </row>
    <row r="183" spans="1:4" s="183" customFormat="1">
      <c r="A183" s="283" t="s">
        <v>1111</v>
      </c>
      <c r="B183" s="283" t="s">
        <v>1429</v>
      </c>
      <c r="C183" s="284" t="s">
        <v>86</v>
      </c>
      <c r="D183" s="305">
        <f>'4. AHS LANDSKAP'!G3076</f>
        <v>332068</v>
      </c>
    </row>
    <row r="184" spans="1:4" s="183" customFormat="1">
      <c r="A184" s="283" t="s">
        <v>1112</v>
      </c>
      <c r="B184" s="283" t="s">
        <v>1430</v>
      </c>
      <c r="C184" s="284" t="s">
        <v>86</v>
      </c>
      <c r="D184" s="305">
        <f>'4. AHS LANDSKAP'!G3102</f>
        <v>332068</v>
      </c>
    </row>
    <row r="185" spans="1:4" s="183" customFormat="1">
      <c r="A185" s="295"/>
      <c r="B185" s="295"/>
      <c r="C185" s="284"/>
      <c r="D185" s="305"/>
    </row>
    <row r="186" spans="1:4" s="183" customFormat="1">
      <c r="A186" s="297" t="s">
        <v>1113</v>
      </c>
      <c r="B186" s="297" t="s">
        <v>1431</v>
      </c>
      <c r="C186" s="284"/>
      <c r="D186" s="305"/>
    </row>
    <row r="187" spans="1:4" s="183" customFormat="1">
      <c r="A187" s="283" t="s">
        <v>1114</v>
      </c>
      <c r="B187" s="283" t="s">
        <v>1434</v>
      </c>
      <c r="C187" s="284" t="s">
        <v>86</v>
      </c>
      <c r="D187" s="305">
        <f>'4. AHS LANDSKAP'!G3129</f>
        <v>339361</v>
      </c>
    </row>
    <row r="188" spans="1:4" s="183" customFormat="1">
      <c r="A188" s="283" t="s">
        <v>1115</v>
      </c>
      <c r="B188" s="283" t="s">
        <v>1435</v>
      </c>
      <c r="C188" s="284" t="s">
        <v>86</v>
      </c>
      <c r="D188" s="305">
        <f>'4. AHS LANDSKAP'!G3155</f>
        <v>339361</v>
      </c>
    </row>
    <row r="189" spans="1:4" s="183" customFormat="1">
      <c r="A189" s="283" t="s">
        <v>1116</v>
      </c>
      <c r="B189" s="283" t="s">
        <v>1436</v>
      </c>
      <c r="C189" s="284" t="s">
        <v>86</v>
      </c>
      <c r="D189" s="305">
        <f>'4. AHS LANDSKAP'!G3181</f>
        <v>339361</v>
      </c>
    </row>
    <row r="190" spans="1:4" s="183" customFormat="1">
      <c r="A190" s="283" t="s">
        <v>1117</v>
      </c>
      <c r="B190" s="283" t="s">
        <v>1437</v>
      </c>
      <c r="C190" s="284" t="s">
        <v>86</v>
      </c>
      <c r="D190" s="305">
        <f>'4. AHS LANDSKAP'!G3207</f>
        <v>339361</v>
      </c>
    </row>
    <row r="191" spans="1:4" s="183" customFormat="1">
      <c r="A191" s="283" t="s">
        <v>1118</v>
      </c>
      <c r="B191" s="295" t="s">
        <v>1438</v>
      </c>
      <c r="C191" s="284" t="s">
        <v>86</v>
      </c>
      <c r="D191" s="305">
        <f>'4. AHS LANDSKAP'!G3233</f>
        <v>339361</v>
      </c>
    </row>
    <row r="192" spans="1:4" s="183" customFormat="1">
      <c r="A192" s="283" t="s">
        <v>1119</v>
      </c>
      <c r="B192" s="295" t="s">
        <v>1439</v>
      </c>
      <c r="C192" s="284" t="s">
        <v>86</v>
      </c>
      <c r="D192" s="305">
        <f>'4. AHS LANDSKAP'!G3259</f>
        <v>339361</v>
      </c>
    </row>
    <row r="193" spans="1:4" s="183" customFormat="1">
      <c r="A193" s="283" t="s">
        <v>1120</v>
      </c>
      <c r="B193" s="295" t="s">
        <v>1440</v>
      </c>
      <c r="C193" s="284" t="s">
        <v>86</v>
      </c>
      <c r="D193" s="305">
        <f>'4. AHS LANDSKAP'!G3285</f>
        <v>339361</v>
      </c>
    </row>
    <row r="194" spans="1:4" s="183" customFormat="1">
      <c r="A194" s="283" t="s">
        <v>1121</v>
      </c>
      <c r="B194" s="295" t="s">
        <v>1441</v>
      </c>
      <c r="C194" s="284" t="s">
        <v>86</v>
      </c>
      <c r="D194" s="305">
        <f>'4. AHS LANDSKAP'!G3311</f>
        <v>339361</v>
      </c>
    </row>
    <row r="195" spans="1:4">
      <c r="A195" s="123"/>
      <c r="B195" s="123"/>
      <c r="C195" s="120"/>
      <c r="D195" s="303"/>
    </row>
    <row r="196" spans="1:4">
      <c r="A196" s="125" t="s">
        <v>1122</v>
      </c>
      <c r="B196" s="125" t="s">
        <v>1442</v>
      </c>
      <c r="C196" s="120"/>
      <c r="D196" s="303"/>
    </row>
    <row r="197" spans="1:4">
      <c r="A197" s="123" t="s">
        <v>1123</v>
      </c>
      <c r="B197" s="123" t="s">
        <v>1443</v>
      </c>
      <c r="C197" s="242"/>
      <c r="D197" s="303"/>
    </row>
    <row r="198" spans="1:4">
      <c r="A198" s="123" t="s">
        <v>1124</v>
      </c>
      <c r="B198" s="123" t="s">
        <v>1444</v>
      </c>
      <c r="C198" s="182" t="s">
        <v>104</v>
      </c>
      <c r="D198" s="303">
        <f>'4. AHS LANDSKAP'!G3335</f>
        <v>282307.57500000001</v>
      </c>
    </row>
    <row r="199" spans="1:4" s="185" customFormat="1">
      <c r="A199" s="184" t="s">
        <v>1125</v>
      </c>
      <c r="B199" s="186" t="s">
        <v>1445</v>
      </c>
      <c r="C199" s="286" t="s">
        <v>104</v>
      </c>
      <c r="D199" s="306">
        <f>'4. AHS LANDSKAP'!G3356</f>
        <v>403307.57500000001</v>
      </c>
    </row>
    <row r="200" spans="1:4" s="185" customFormat="1">
      <c r="A200" s="184" t="s">
        <v>1126</v>
      </c>
      <c r="B200" s="186" t="s">
        <v>1446</v>
      </c>
      <c r="C200" s="286" t="s">
        <v>104</v>
      </c>
      <c r="D200" s="306">
        <f>'4. AHS LANDSKAP'!G3377</f>
        <v>403307.57500000001</v>
      </c>
    </row>
    <row r="201" spans="1:4" s="185" customFormat="1">
      <c r="A201" s="184" t="s">
        <v>1127</v>
      </c>
      <c r="B201" s="186" t="s">
        <v>1447</v>
      </c>
      <c r="C201" s="286" t="s">
        <v>104</v>
      </c>
      <c r="D201" s="306">
        <f>'4. AHS LANDSKAP'!G3398</f>
        <v>183307.57500000001</v>
      </c>
    </row>
    <row r="202" spans="1:4" s="185" customFormat="1">
      <c r="A202" s="184" t="s">
        <v>1128</v>
      </c>
      <c r="B202" s="186" t="s">
        <v>1584</v>
      </c>
      <c r="C202" s="286" t="s">
        <v>104</v>
      </c>
      <c r="D202" s="306">
        <f>'4. AHS LANDSKAP'!G3419</f>
        <v>403307.57500000001</v>
      </c>
    </row>
    <row r="203" spans="1:4">
      <c r="A203" s="123" t="s">
        <v>1129</v>
      </c>
      <c r="B203" s="123" t="s">
        <v>1585</v>
      </c>
      <c r="C203" s="182" t="s">
        <v>104</v>
      </c>
      <c r="D203" s="303">
        <f>'4. AHS LANDSKAP'!G3440</f>
        <v>282307.57500000001</v>
      </c>
    </row>
    <row r="204" spans="1:4">
      <c r="A204" s="123" t="s">
        <v>1130</v>
      </c>
      <c r="B204" s="123" t="s">
        <v>1586</v>
      </c>
      <c r="C204" s="182" t="s">
        <v>104</v>
      </c>
      <c r="D204" s="303">
        <f>'4. AHS LANDSKAP'!G3461</f>
        <v>282307.57500000001</v>
      </c>
    </row>
    <row r="205" spans="1:4">
      <c r="A205" s="123" t="s">
        <v>1131</v>
      </c>
      <c r="B205" s="123" t="s">
        <v>1587</v>
      </c>
      <c r="C205" s="182" t="s">
        <v>104</v>
      </c>
      <c r="D205" s="303">
        <f>'4. AHS LANDSKAP'!G3482</f>
        <v>282307.57500000001</v>
      </c>
    </row>
    <row r="206" spans="1:4">
      <c r="A206" s="123" t="s">
        <v>1132</v>
      </c>
      <c r="B206" s="122" t="s">
        <v>1588</v>
      </c>
      <c r="C206" s="182" t="s">
        <v>28</v>
      </c>
      <c r="D206" s="303">
        <f>'4. AHS LANDSKAP'!G3503</f>
        <v>282307.57500000001</v>
      </c>
    </row>
    <row r="207" spans="1:4">
      <c r="A207" s="123" t="s">
        <v>1133</v>
      </c>
      <c r="B207" s="123" t="s">
        <v>1597</v>
      </c>
      <c r="C207" s="182" t="s">
        <v>681</v>
      </c>
      <c r="D207" s="303">
        <f>'4. AHS LANDSKAP'!G3524</f>
        <v>282307.57500000001</v>
      </c>
    </row>
    <row r="208" spans="1:4">
      <c r="A208" s="123" t="s">
        <v>1134</v>
      </c>
      <c r="B208" s="123" t="s">
        <v>1598</v>
      </c>
      <c r="C208" s="182" t="s">
        <v>682</v>
      </c>
      <c r="D208" s="303">
        <f>'4. AHS LANDSKAP'!G3545</f>
        <v>282307.57500000001</v>
      </c>
    </row>
    <row r="209" spans="1:4">
      <c r="A209" s="123" t="s">
        <v>1135</v>
      </c>
      <c r="B209" s="123" t="s">
        <v>1599</v>
      </c>
      <c r="C209" s="182" t="s">
        <v>683</v>
      </c>
      <c r="D209" s="303">
        <f>'4. AHS LANDSKAP'!G3566</f>
        <v>282307.57500000001</v>
      </c>
    </row>
    <row r="210" spans="1:4">
      <c r="A210" s="123" t="s">
        <v>1136</v>
      </c>
      <c r="B210" s="123" t="s">
        <v>1600</v>
      </c>
      <c r="C210" s="182" t="s">
        <v>104</v>
      </c>
      <c r="D210" s="303">
        <f>'4. AHS LANDSKAP'!G3587</f>
        <v>282307.57500000001</v>
      </c>
    </row>
    <row r="211" spans="1:4">
      <c r="A211" s="123" t="s">
        <v>1137</v>
      </c>
      <c r="B211" s="123" t="s">
        <v>1589</v>
      </c>
      <c r="C211" s="182" t="s">
        <v>104</v>
      </c>
      <c r="D211" s="303">
        <f>'4. AHS LANDSKAP'!G3608</f>
        <v>282307.57500000001</v>
      </c>
    </row>
    <row r="212" spans="1:4" s="183" customFormat="1">
      <c r="A212" s="283" t="s">
        <v>1138</v>
      </c>
      <c r="B212" s="295" t="s">
        <v>1590</v>
      </c>
      <c r="C212" s="287" t="s">
        <v>104</v>
      </c>
      <c r="D212" s="305">
        <f>'4. AHS LANDSKAP'!G3629</f>
        <v>282307.57500000001</v>
      </c>
    </row>
    <row r="213" spans="1:4" s="183" customFormat="1">
      <c r="A213" s="283" t="s">
        <v>1139</v>
      </c>
      <c r="B213" s="295" t="s">
        <v>1591</v>
      </c>
      <c r="C213" s="287" t="s">
        <v>104</v>
      </c>
      <c r="D213" s="305">
        <f>'4. AHS LANDSKAP'!G3650</f>
        <v>282307.57500000001</v>
      </c>
    </row>
    <row r="214" spans="1:4" s="183" customFormat="1">
      <c r="A214" s="283" t="s">
        <v>1140</v>
      </c>
      <c r="B214" s="295" t="s">
        <v>1592</v>
      </c>
      <c r="C214" s="287" t="s">
        <v>104</v>
      </c>
      <c r="D214" s="305">
        <f>'4. AHS LANDSKAP'!G3671</f>
        <v>282307.57500000001</v>
      </c>
    </row>
    <row r="215" spans="1:4" s="183" customFormat="1">
      <c r="A215" s="283" t="s">
        <v>1141</v>
      </c>
      <c r="B215" s="295" t="s">
        <v>1593</v>
      </c>
      <c r="C215" s="287" t="s">
        <v>104</v>
      </c>
      <c r="D215" s="305">
        <f>'4. AHS LANDSKAP'!G3692</f>
        <v>282307.57500000001</v>
      </c>
    </row>
    <row r="216" spans="1:4" s="183" customFormat="1">
      <c r="A216" s="283" t="s">
        <v>1142</v>
      </c>
      <c r="B216" s="295" t="s">
        <v>1594</v>
      </c>
      <c r="C216" s="287" t="s">
        <v>104</v>
      </c>
      <c r="D216" s="305">
        <f>'4. AHS LANDSKAP'!G3713</f>
        <v>282307.57500000001</v>
      </c>
    </row>
    <row r="217" spans="1:4" s="183" customFormat="1">
      <c r="A217" s="283" t="s">
        <v>1143</v>
      </c>
      <c r="B217" s="295" t="s">
        <v>1595</v>
      </c>
      <c r="C217" s="287" t="s">
        <v>104</v>
      </c>
      <c r="D217" s="305">
        <f>'4. AHS LANDSKAP'!G3734</f>
        <v>282307.57500000001</v>
      </c>
    </row>
    <row r="218" spans="1:4" s="183" customFormat="1">
      <c r="A218" s="283" t="s">
        <v>1144</v>
      </c>
      <c r="B218" s="295" t="s">
        <v>1596</v>
      </c>
      <c r="C218" s="287" t="s">
        <v>104</v>
      </c>
      <c r="D218" s="305">
        <f>'4. AHS LANDSKAP'!G3755</f>
        <v>282307.57500000001</v>
      </c>
    </row>
    <row r="219" spans="1:4">
      <c r="A219" s="123"/>
      <c r="B219" s="123"/>
      <c r="C219" s="182"/>
      <c r="D219" s="303"/>
    </row>
    <row r="220" spans="1:4" ht="16.5" customHeight="1">
      <c r="A220" s="123" t="s">
        <v>1145</v>
      </c>
      <c r="B220" s="123" t="s">
        <v>1546</v>
      </c>
      <c r="C220" s="120"/>
      <c r="D220" s="303"/>
    </row>
    <row r="221" spans="1:4" s="185" customFormat="1">
      <c r="A221" s="184" t="s">
        <v>1146</v>
      </c>
      <c r="B221" s="184" t="s">
        <v>1547</v>
      </c>
      <c r="C221" s="286" t="s">
        <v>104</v>
      </c>
      <c r="D221" s="306">
        <f>'4. AHS LANDSKAP'!G3777</f>
        <v>183403</v>
      </c>
    </row>
    <row r="222" spans="1:4" s="185" customFormat="1">
      <c r="A222" s="184" t="s">
        <v>1147</v>
      </c>
      <c r="B222" s="184" t="s">
        <v>1548</v>
      </c>
      <c r="C222" s="286" t="s">
        <v>104</v>
      </c>
      <c r="D222" s="306">
        <f>'4. AHS LANDSKAP'!G3798</f>
        <v>106403</v>
      </c>
    </row>
    <row r="223" spans="1:4" s="185" customFormat="1">
      <c r="A223" s="184" t="s">
        <v>1148</v>
      </c>
      <c r="B223" s="184" t="s">
        <v>1549</v>
      </c>
      <c r="C223" s="286" t="s">
        <v>104</v>
      </c>
      <c r="D223" s="306">
        <f>'4. AHS LANDSKAP'!G3819</f>
        <v>183403</v>
      </c>
    </row>
    <row r="224" spans="1:4" s="185" customFormat="1">
      <c r="A224" s="184" t="s">
        <v>1149</v>
      </c>
      <c r="B224" s="184" t="s">
        <v>1550</v>
      </c>
      <c r="C224" s="286" t="s">
        <v>104</v>
      </c>
      <c r="D224" s="306">
        <f>'4. AHS LANDSKAP'!G3840</f>
        <v>183403</v>
      </c>
    </row>
    <row r="225" spans="1:4" s="185" customFormat="1">
      <c r="A225" s="184" t="s">
        <v>1150</v>
      </c>
      <c r="B225" s="184" t="s">
        <v>1551</v>
      </c>
      <c r="C225" s="286" t="s">
        <v>104</v>
      </c>
      <c r="D225" s="306">
        <f>'4. AHS LANDSKAP'!G3861</f>
        <v>62403</v>
      </c>
    </row>
    <row r="226" spans="1:4" s="185" customFormat="1">
      <c r="A226" s="184" t="s">
        <v>1151</v>
      </c>
      <c r="B226" s="184" t="s">
        <v>1552</v>
      </c>
      <c r="C226" s="286" t="s">
        <v>104</v>
      </c>
      <c r="D226" s="306">
        <f>'4. AHS LANDSKAP'!G3882</f>
        <v>106403</v>
      </c>
    </row>
    <row r="227" spans="1:4" s="185" customFormat="1">
      <c r="A227" s="184" t="s">
        <v>1152</v>
      </c>
      <c r="B227" s="184" t="s">
        <v>1553</v>
      </c>
      <c r="C227" s="286" t="s">
        <v>104</v>
      </c>
      <c r="D227" s="306">
        <f>'4. AHS LANDSKAP'!G3903</f>
        <v>183403</v>
      </c>
    </row>
    <row r="228" spans="1:4" s="185" customFormat="1">
      <c r="A228" s="184" t="s">
        <v>1153</v>
      </c>
      <c r="B228" s="184" t="s">
        <v>1554</v>
      </c>
      <c r="C228" s="286" t="s">
        <v>104</v>
      </c>
      <c r="D228" s="306">
        <f>'4. AHS LANDSKAP'!G3924</f>
        <v>106403</v>
      </c>
    </row>
    <row r="229" spans="1:4" s="185" customFormat="1">
      <c r="A229" s="184" t="s">
        <v>1154</v>
      </c>
      <c r="B229" s="184" t="s">
        <v>1555</v>
      </c>
      <c r="C229" s="286" t="s">
        <v>104</v>
      </c>
      <c r="D229" s="306">
        <f>'4. AHS LANDSKAP'!G3945</f>
        <v>106403</v>
      </c>
    </row>
    <row r="230" spans="1:4" s="132" customFormat="1">
      <c r="A230" s="181" t="s">
        <v>1155</v>
      </c>
      <c r="B230" s="181" t="s">
        <v>1556</v>
      </c>
      <c r="C230" s="182" t="s">
        <v>104</v>
      </c>
      <c r="D230" s="303">
        <f>'4. AHS LANDSKAP'!G3966</f>
        <v>183403</v>
      </c>
    </row>
    <row r="231" spans="1:4" s="132" customFormat="1">
      <c r="A231" s="181" t="s">
        <v>1156</v>
      </c>
      <c r="B231" s="181" t="s">
        <v>1557</v>
      </c>
      <c r="C231" s="182" t="s">
        <v>104</v>
      </c>
      <c r="D231" s="303">
        <f>'4. AHS LANDSKAP'!G3987</f>
        <v>183403</v>
      </c>
    </row>
    <row r="232" spans="1:4" s="132" customFormat="1">
      <c r="A232" s="181" t="s">
        <v>1157</v>
      </c>
      <c r="B232" s="181" t="s">
        <v>1558</v>
      </c>
      <c r="C232" s="182" t="s">
        <v>104</v>
      </c>
      <c r="D232" s="303">
        <f>'4. AHS LANDSKAP'!G4008</f>
        <v>183403</v>
      </c>
    </row>
    <row r="233" spans="1:4" s="132" customFormat="1">
      <c r="A233" s="181" t="s">
        <v>1158</v>
      </c>
      <c r="B233" s="181" t="s">
        <v>1559</v>
      </c>
      <c r="C233" s="182" t="s">
        <v>104</v>
      </c>
      <c r="D233" s="303">
        <f>'4. AHS LANDSKAP'!G4029</f>
        <v>183403</v>
      </c>
    </row>
    <row r="234" spans="1:4" s="132" customFormat="1">
      <c r="A234" s="181" t="s">
        <v>1159</v>
      </c>
      <c r="B234" s="181" t="s">
        <v>1560</v>
      </c>
      <c r="C234" s="182" t="s">
        <v>104</v>
      </c>
      <c r="D234" s="303">
        <f>'4. AHS LANDSKAP'!G4050</f>
        <v>183403</v>
      </c>
    </row>
    <row r="235" spans="1:4" s="132" customFormat="1">
      <c r="A235" s="181" t="s">
        <v>1160</v>
      </c>
      <c r="B235" s="181" t="s">
        <v>1561</v>
      </c>
      <c r="C235" s="182" t="s">
        <v>104</v>
      </c>
      <c r="D235" s="303">
        <f>'4. AHS LANDSKAP'!G4071</f>
        <v>183403</v>
      </c>
    </row>
    <row r="236" spans="1:4" s="132" customFormat="1">
      <c r="A236" s="181" t="s">
        <v>1161</v>
      </c>
      <c r="B236" s="181" t="s">
        <v>1562</v>
      </c>
      <c r="C236" s="182" t="s">
        <v>104</v>
      </c>
      <c r="D236" s="303">
        <f>'4. AHS LANDSKAP'!G4092</f>
        <v>183403</v>
      </c>
    </row>
    <row r="237" spans="1:4" s="132" customFormat="1">
      <c r="A237" s="181" t="s">
        <v>1162</v>
      </c>
      <c r="B237" s="181" t="s">
        <v>1563</v>
      </c>
      <c r="C237" s="182" t="s">
        <v>104</v>
      </c>
      <c r="D237" s="303">
        <f>'4. AHS LANDSKAP'!G4113</f>
        <v>183403</v>
      </c>
    </row>
    <row r="238" spans="1:4" s="185" customFormat="1">
      <c r="A238" s="184" t="s">
        <v>1163</v>
      </c>
      <c r="B238" s="184" t="s">
        <v>1564</v>
      </c>
      <c r="C238" s="286" t="s">
        <v>104</v>
      </c>
      <c r="D238" s="306">
        <f>'4. AHS LANDSKAP'!G4134</f>
        <v>106403</v>
      </c>
    </row>
    <row r="239" spans="1:4" s="132" customFormat="1">
      <c r="A239" s="181" t="s">
        <v>1164</v>
      </c>
      <c r="B239" s="181" t="s">
        <v>1565</v>
      </c>
      <c r="C239" s="182" t="s">
        <v>104</v>
      </c>
      <c r="D239" s="303">
        <f>'4. AHS LANDSKAP'!G4155</f>
        <v>183403</v>
      </c>
    </row>
    <row r="240" spans="1:4" s="132" customFormat="1">
      <c r="A240" s="181" t="s">
        <v>1165</v>
      </c>
      <c r="B240" s="181" t="s">
        <v>1566</v>
      </c>
      <c r="C240" s="182" t="s">
        <v>104</v>
      </c>
      <c r="D240" s="303">
        <f>'4. AHS LANDSKAP'!G4176</f>
        <v>183403</v>
      </c>
    </row>
    <row r="241" spans="1:4" s="132" customFormat="1">
      <c r="A241" s="181" t="s">
        <v>1166</v>
      </c>
      <c r="B241" s="181" t="s">
        <v>1567</v>
      </c>
      <c r="C241" s="182" t="s">
        <v>104</v>
      </c>
      <c r="D241" s="303">
        <f>'4. AHS LANDSKAP'!G4197</f>
        <v>183403</v>
      </c>
    </row>
    <row r="242" spans="1:4" s="132" customFormat="1">
      <c r="A242" s="181" t="s">
        <v>1167</v>
      </c>
      <c r="B242" s="181" t="s">
        <v>1568</v>
      </c>
      <c r="C242" s="182" t="s">
        <v>104</v>
      </c>
      <c r="D242" s="303">
        <f>'4. AHS LANDSKAP'!G4218</f>
        <v>183403</v>
      </c>
    </row>
    <row r="243" spans="1:4" s="132" customFormat="1">
      <c r="A243" s="181" t="s">
        <v>1168</v>
      </c>
      <c r="B243" s="181" t="s">
        <v>1569</v>
      </c>
      <c r="C243" s="182" t="s">
        <v>104</v>
      </c>
      <c r="D243" s="303">
        <f>'4. AHS LANDSKAP'!G4239</f>
        <v>183403</v>
      </c>
    </row>
    <row r="244" spans="1:4" s="132" customFormat="1">
      <c r="A244" s="181" t="s">
        <v>1169</v>
      </c>
      <c r="B244" s="181" t="s">
        <v>1570</v>
      </c>
      <c r="C244" s="182" t="s">
        <v>104</v>
      </c>
      <c r="D244" s="303">
        <f>'4. AHS LANDSKAP'!G4260</f>
        <v>183403</v>
      </c>
    </row>
    <row r="245" spans="1:4" s="132" customFormat="1">
      <c r="A245" s="181" t="s">
        <v>1170</v>
      </c>
      <c r="B245" s="181" t="s">
        <v>1571</v>
      </c>
      <c r="C245" s="182" t="s">
        <v>104</v>
      </c>
      <c r="D245" s="303">
        <f>'4. AHS LANDSKAP'!G4281</f>
        <v>183403</v>
      </c>
    </row>
    <row r="246" spans="1:4" s="132" customFormat="1">
      <c r="A246" s="181" t="s">
        <v>1171</v>
      </c>
      <c r="B246" s="181" t="s">
        <v>1572</v>
      </c>
      <c r="C246" s="182" t="s">
        <v>104</v>
      </c>
      <c r="D246" s="303">
        <f>'4. AHS LANDSKAP'!G4302</f>
        <v>183403</v>
      </c>
    </row>
    <row r="247" spans="1:4" s="183" customFormat="1">
      <c r="A247" s="283" t="s">
        <v>1172</v>
      </c>
      <c r="B247" s="298" t="s">
        <v>1573</v>
      </c>
      <c r="C247" s="287" t="s">
        <v>104</v>
      </c>
      <c r="D247" s="305">
        <f>'4. AHS LANDSKAP'!G4323</f>
        <v>183403</v>
      </c>
    </row>
    <row r="248" spans="1:4" s="183" customFormat="1">
      <c r="A248" s="283" t="s">
        <v>1173</v>
      </c>
      <c r="B248" s="298" t="s">
        <v>1574</v>
      </c>
      <c r="C248" s="287" t="s">
        <v>104</v>
      </c>
      <c r="D248" s="305">
        <f>'4. AHS LANDSKAP'!G4344</f>
        <v>183403</v>
      </c>
    </row>
    <row r="249" spans="1:4" s="183" customFormat="1">
      <c r="A249" s="283" t="s">
        <v>1174</v>
      </c>
      <c r="B249" s="298" t="s">
        <v>1575</v>
      </c>
      <c r="C249" s="287" t="s">
        <v>104</v>
      </c>
      <c r="D249" s="305">
        <f>'4. AHS LANDSKAP'!G4365</f>
        <v>183403</v>
      </c>
    </row>
    <row r="250" spans="1:4" s="183" customFormat="1">
      <c r="A250" s="283" t="s">
        <v>1175</v>
      </c>
      <c r="B250" s="298" t="s">
        <v>1576</v>
      </c>
      <c r="C250" s="287" t="s">
        <v>104</v>
      </c>
      <c r="D250" s="305">
        <f>'4. AHS LANDSKAP'!G4386</f>
        <v>183403</v>
      </c>
    </row>
    <row r="251" spans="1:4" s="183" customFormat="1">
      <c r="A251" s="283" t="s">
        <v>1176</v>
      </c>
      <c r="B251" s="298" t="s">
        <v>1577</v>
      </c>
      <c r="C251" s="287" t="s">
        <v>104</v>
      </c>
      <c r="D251" s="305">
        <f>'4. AHS LANDSKAP'!G4407</f>
        <v>183403</v>
      </c>
    </row>
    <row r="252" spans="1:4">
      <c r="A252" s="123"/>
      <c r="B252" s="123"/>
      <c r="C252" s="182"/>
      <c r="D252" s="303"/>
    </row>
    <row r="253" spans="1:4">
      <c r="A253" s="123" t="s">
        <v>1177</v>
      </c>
      <c r="B253" s="123" t="s">
        <v>1578</v>
      </c>
      <c r="C253" s="120"/>
      <c r="D253" s="303"/>
    </row>
    <row r="254" spans="1:4" s="185" customFormat="1">
      <c r="A254" s="184" t="s">
        <v>1178</v>
      </c>
      <c r="B254" s="184" t="s">
        <v>1579</v>
      </c>
      <c r="C254" s="286" t="s">
        <v>104</v>
      </c>
      <c r="D254" s="306">
        <f>'4. AHS LANDSKAP'!G4429</f>
        <v>40524</v>
      </c>
    </row>
    <row r="255" spans="1:4" s="185" customFormat="1">
      <c r="A255" s="184" t="s">
        <v>1179</v>
      </c>
      <c r="B255" s="184" t="s">
        <v>1580</v>
      </c>
      <c r="C255" s="286" t="s">
        <v>104</v>
      </c>
      <c r="D255" s="306">
        <f>'4. AHS LANDSKAP'!G4450</f>
        <v>62524</v>
      </c>
    </row>
    <row r="256" spans="1:4" s="185" customFormat="1">
      <c r="A256" s="184" t="s">
        <v>1180</v>
      </c>
      <c r="B256" s="184" t="s">
        <v>1581</v>
      </c>
      <c r="C256" s="286" t="s">
        <v>104</v>
      </c>
      <c r="D256" s="306">
        <f>'4. AHS LANDSKAP'!G4471</f>
        <v>139524</v>
      </c>
    </row>
    <row r="257" spans="1:4" s="185" customFormat="1">
      <c r="A257" s="184" t="s">
        <v>1181</v>
      </c>
      <c r="B257" s="184" t="s">
        <v>1582</v>
      </c>
      <c r="C257" s="286" t="s">
        <v>104</v>
      </c>
      <c r="D257" s="306">
        <f>'4. AHS LANDSKAP'!G4492</f>
        <v>40524</v>
      </c>
    </row>
    <row r="258" spans="1:4" s="185" customFormat="1">
      <c r="A258" s="184" t="s">
        <v>1182</v>
      </c>
      <c r="B258" s="184" t="s">
        <v>1583</v>
      </c>
      <c r="C258" s="286" t="s">
        <v>104</v>
      </c>
      <c r="D258" s="306">
        <f>'4. AHS LANDSKAP'!G4513</f>
        <v>139524</v>
      </c>
    </row>
    <row r="259" spans="1:4" s="185" customFormat="1">
      <c r="A259" s="184" t="s">
        <v>1183</v>
      </c>
      <c r="B259" s="184" t="s">
        <v>1516</v>
      </c>
      <c r="C259" s="286" t="s">
        <v>104</v>
      </c>
      <c r="D259" s="306">
        <f>'4. AHS LANDSKAP'!G4534</f>
        <v>139524</v>
      </c>
    </row>
    <row r="260" spans="1:4" s="185" customFormat="1">
      <c r="A260" s="184" t="s">
        <v>1184</v>
      </c>
      <c r="B260" s="184" t="s">
        <v>1517</v>
      </c>
      <c r="C260" s="286" t="s">
        <v>104</v>
      </c>
      <c r="D260" s="306">
        <f>'4. AHS LANDSKAP'!G4555</f>
        <v>139524</v>
      </c>
    </row>
    <row r="261" spans="1:4" s="185" customFormat="1">
      <c r="A261" s="184" t="s">
        <v>1185</v>
      </c>
      <c r="B261" s="184" t="s">
        <v>1518</v>
      </c>
      <c r="C261" s="286" t="s">
        <v>104</v>
      </c>
      <c r="D261" s="306">
        <f>'4. AHS LANDSKAP'!G4576</f>
        <v>139524</v>
      </c>
    </row>
    <row r="262" spans="1:4" s="185" customFormat="1">
      <c r="A262" s="184" t="s">
        <v>1186</v>
      </c>
      <c r="B262" s="184" t="s">
        <v>1519</v>
      </c>
      <c r="C262" s="286" t="s">
        <v>104</v>
      </c>
      <c r="D262" s="306">
        <f>'4. AHS LANDSKAP'!G4597</f>
        <v>139524</v>
      </c>
    </row>
    <row r="263" spans="1:4" s="185" customFormat="1">
      <c r="A263" s="184" t="s">
        <v>1187</v>
      </c>
      <c r="B263" s="184" t="s">
        <v>1520</v>
      </c>
      <c r="C263" s="286" t="s">
        <v>104</v>
      </c>
      <c r="D263" s="306">
        <f>'4. AHS LANDSKAP'!G4618</f>
        <v>139524</v>
      </c>
    </row>
    <row r="264" spans="1:4" s="185" customFormat="1">
      <c r="A264" s="184" t="s">
        <v>1188</v>
      </c>
      <c r="B264" s="184" t="s">
        <v>1521</v>
      </c>
      <c r="C264" s="286" t="s">
        <v>104</v>
      </c>
      <c r="D264" s="306">
        <f>'4. AHS LANDSKAP'!G4639</f>
        <v>139524</v>
      </c>
    </row>
    <row r="265" spans="1:4" s="185" customFormat="1">
      <c r="A265" s="184" t="s">
        <v>1189</v>
      </c>
      <c r="B265" s="184" t="s">
        <v>1522</v>
      </c>
      <c r="C265" s="286" t="s">
        <v>104</v>
      </c>
      <c r="D265" s="306">
        <f>'4. AHS LANDSKAP'!G4660</f>
        <v>139524</v>
      </c>
    </row>
    <row r="266" spans="1:4" s="185" customFormat="1">
      <c r="A266" s="184" t="s">
        <v>1190</v>
      </c>
      <c r="B266" s="184" t="s">
        <v>1523</v>
      </c>
      <c r="C266" s="286" t="s">
        <v>104</v>
      </c>
      <c r="D266" s="306">
        <f>'4. AHS LANDSKAP'!G4681</f>
        <v>139524</v>
      </c>
    </row>
    <row r="267" spans="1:4" s="185" customFormat="1">
      <c r="A267" s="184" t="s">
        <v>1191</v>
      </c>
      <c r="B267" s="184" t="s">
        <v>1524</v>
      </c>
      <c r="C267" s="286" t="s">
        <v>104</v>
      </c>
      <c r="D267" s="306">
        <f>'4. AHS LANDSKAP'!G4702</f>
        <v>139524</v>
      </c>
    </row>
    <row r="268" spans="1:4" s="185" customFormat="1">
      <c r="A268" s="184" t="s">
        <v>1192</v>
      </c>
      <c r="B268" s="184" t="s">
        <v>1525</v>
      </c>
      <c r="C268" s="286" t="s">
        <v>104</v>
      </c>
      <c r="D268" s="306">
        <f>'4. AHS LANDSKAP'!G4723</f>
        <v>139524</v>
      </c>
    </row>
    <row r="269" spans="1:4" s="185" customFormat="1">
      <c r="A269" s="184" t="s">
        <v>1193</v>
      </c>
      <c r="B269" s="184" t="s">
        <v>1526</v>
      </c>
      <c r="C269" s="286" t="s">
        <v>104</v>
      </c>
      <c r="D269" s="306">
        <f>'4. AHS LANDSKAP'!G4744</f>
        <v>139524</v>
      </c>
    </row>
    <row r="270" spans="1:4" s="185" customFormat="1">
      <c r="A270" s="184" t="s">
        <v>1194</v>
      </c>
      <c r="B270" s="184" t="s">
        <v>1527</v>
      </c>
      <c r="C270" s="286" t="s">
        <v>104</v>
      </c>
      <c r="D270" s="306">
        <f>'4. AHS LANDSKAP'!G4765</f>
        <v>139524</v>
      </c>
    </row>
    <row r="271" spans="1:4" s="185" customFormat="1">
      <c r="A271" s="184" t="s">
        <v>1195</v>
      </c>
      <c r="B271" s="184" t="s">
        <v>1528</v>
      </c>
      <c r="C271" s="286" t="s">
        <v>104</v>
      </c>
      <c r="D271" s="306">
        <f>'4. AHS LANDSKAP'!G4786</f>
        <v>139524</v>
      </c>
    </row>
    <row r="272" spans="1:4" s="185" customFormat="1">
      <c r="A272" s="184" t="s">
        <v>1196</v>
      </c>
      <c r="B272" s="184" t="s">
        <v>1529</v>
      </c>
      <c r="C272" s="286" t="s">
        <v>104</v>
      </c>
      <c r="D272" s="306">
        <f>'4. AHS LANDSKAP'!G4807</f>
        <v>139524</v>
      </c>
    </row>
    <row r="273" spans="1:4" s="183" customFormat="1">
      <c r="A273" s="283" t="s">
        <v>1197</v>
      </c>
      <c r="B273" s="295" t="s">
        <v>1530</v>
      </c>
      <c r="C273" s="287" t="s">
        <v>104</v>
      </c>
      <c r="D273" s="305">
        <f>'4. AHS LANDSKAP'!G4828</f>
        <v>106524</v>
      </c>
    </row>
    <row r="274" spans="1:4" s="183" customFormat="1">
      <c r="A274" s="299" t="s">
        <v>874</v>
      </c>
      <c r="B274" s="299" t="s">
        <v>874</v>
      </c>
      <c r="C274" s="287"/>
      <c r="D274" s="305"/>
    </row>
    <row r="275" spans="1:4">
      <c r="A275" s="125" t="s">
        <v>1198</v>
      </c>
      <c r="B275" s="125" t="s">
        <v>1531</v>
      </c>
      <c r="C275" s="120"/>
      <c r="D275" s="303"/>
    </row>
    <row r="276" spans="1:4" s="289" customFormat="1">
      <c r="A276" s="186" t="s">
        <v>1199</v>
      </c>
      <c r="B276" s="186" t="s">
        <v>1532</v>
      </c>
      <c r="C276" s="288" t="s">
        <v>104</v>
      </c>
      <c r="D276" s="308">
        <f>'4. AHS LANDSKAP'!G4850</f>
        <v>17199.93</v>
      </c>
    </row>
    <row r="277" spans="1:4" s="289" customFormat="1">
      <c r="A277" s="186" t="s">
        <v>1200</v>
      </c>
      <c r="B277" s="186" t="s">
        <v>1533</v>
      </c>
      <c r="C277" s="288" t="s">
        <v>104</v>
      </c>
      <c r="D277" s="308">
        <f>'4. AHS LANDSKAP'!G4871</f>
        <v>17199.93</v>
      </c>
    </row>
    <row r="278" spans="1:4" s="289" customFormat="1">
      <c r="A278" s="186" t="s">
        <v>1201</v>
      </c>
      <c r="B278" s="186" t="s">
        <v>1534</v>
      </c>
      <c r="C278" s="288" t="s">
        <v>104</v>
      </c>
      <c r="D278" s="308">
        <f>'4. AHS LANDSKAP'!G4892</f>
        <v>17199.93</v>
      </c>
    </row>
    <row r="279" spans="1:4" s="289" customFormat="1">
      <c r="A279" s="186" t="s">
        <v>1202</v>
      </c>
      <c r="B279" s="186" t="s">
        <v>1535</v>
      </c>
      <c r="C279" s="288" t="s">
        <v>104</v>
      </c>
      <c r="D279" s="308">
        <f>'4. AHS LANDSKAP'!G4913</f>
        <v>17199.93</v>
      </c>
    </row>
    <row r="280" spans="1:4" s="289" customFormat="1">
      <c r="A280" s="186" t="s">
        <v>1203</v>
      </c>
      <c r="B280" s="186" t="s">
        <v>1536</v>
      </c>
      <c r="C280" s="288" t="s">
        <v>104</v>
      </c>
      <c r="D280" s="308">
        <f>'4. AHS LANDSKAP'!G4934</f>
        <v>17199.93</v>
      </c>
    </row>
    <row r="281" spans="1:4" s="183" customFormat="1">
      <c r="A281" s="283" t="s">
        <v>1204</v>
      </c>
      <c r="B281" s="295" t="s">
        <v>1537</v>
      </c>
      <c r="C281" s="287" t="s">
        <v>104</v>
      </c>
      <c r="D281" s="305">
        <f>'4. AHS LANDSKAP'!G4955</f>
        <v>17199.93</v>
      </c>
    </row>
    <row r="282" spans="1:4">
      <c r="A282" s="123"/>
      <c r="B282" s="123"/>
      <c r="C282" s="182"/>
      <c r="D282" s="303"/>
    </row>
    <row r="283" spans="1:4">
      <c r="A283" s="125" t="s">
        <v>1205</v>
      </c>
      <c r="B283" s="125" t="s">
        <v>1538</v>
      </c>
      <c r="C283" s="120"/>
      <c r="D283" s="303"/>
    </row>
    <row r="284" spans="1:4">
      <c r="A284" s="123" t="s">
        <v>1206</v>
      </c>
      <c r="B284" s="123" t="s">
        <v>1539</v>
      </c>
      <c r="C284" s="182" t="s">
        <v>104</v>
      </c>
      <c r="D284" s="303">
        <f>'4. AHS LANDSKAP'!G4976</f>
        <v>17171</v>
      </c>
    </row>
    <row r="285" spans="1:4">
      <c r="A285" s="123" t="s">
        <v>1207</v>
      </c>
      <c r="B285" s="123" t="s">
        <v>1540</v>
      </c>
      <c r="C285" s="182" t="s">
        <v>104</v>
      </c>
      <c r="D285" s="303">
        <f>'4. AHS LANDSKAP'!G4996</f>
        <v>17171</v>
      </c>
    </row>
    <row r="286" spans="1:4">
      <c r="A286" s="123" t="s">
        <v>1208</v>
      </c>
      <c r="B286" s="123" t="s">
        <v>1541</v>
      </c>
      <c r="C286" s="182" t="s">
        <v>104</v>
      </c>
      <c r="D286" s="303">
        <f>'4. AHS LANDSKAP'!G5016</f>
        <v>17171</v>
      </c>
    </row>
    <row r="287" spans="1:4">
      <c r="A287" s="123" t="s">
        <v>1209</v>
      </c>
      <c r="B287" s="123" t="s">
        <v>1542</v>
      </c>
      <c r="C287" s="182" t="s">
        <v>104</v>
      </c>
      <c r="D287" s="303">
        <f>'4. AHS LANDSKAP'!G5036</f>
        <v>17171</v>
      </c>
    </row>
    <row r="288" spans="1:4">
      <c r="A288" s="123"/>
      <c r="B288" s="123"/>
      <c r="C288" s="182"/>
      <c r="D288" s="303"/>
    </row>
    <row r="289" spans="1:4">
      <c r="A289" s="128" t="s">
        <v>112</v>
      </c>
      <c r="B289" s="128" t="s">
        <v>113</v>
      </c>
      <c r="C289" s="120"/>
      <c r="D289" s="303"/>
    </row>
    <row r="290" spans="1:4">
      <c r="A290" s="62" t="s">
        <v>114</v>
      </c>
      <c r="B290" s="62" t="s">
        <v>641</v>
      </c>
      <c r="C290" s="182" t="s">
        <v>104</v>
      </c>
      <c r="D290" s="303">
        <f>'4. AHS LANDSKAP'!G5061</f>
        <v>82874</v>
      </c>
    </row>
    <row r="291" spans="1:4">
      <c r="A291" s="62" t="s">
        <v>431</v>
      </c>
      <c r="B291" s="123" t="s">
        <v>473</v>
      </c>
      <c r="C291" s="182" t="s">
        <v>104</v>
      </c>
      <c r="D291" s="303">
        <f>'4. AHS LANDSKAP'!G5085</f>
        <v>92620</v>
      </c>
    </row>
    <row r="292" spans="1:4">
      <c r="A292" s="62" t="s">
        <v>432</v>
      </c>
      <c r="B292" s="124" t="s">
        <v>678</v>
      </c>
      <c r="C292" s="182" t="s">
        <v>104</v>
      </c>
      <c r="D292" s="303">
        <f>'4. AHS LANDSKAP'!G5109</f>
        <v>85256.26999999999</v>
      </c>
    </row>
    <row r="293" spans="1:4">
      <c r="A293" s="62" t="s">
        <v>433</v>
      </c>
      <c r="B293" s="123" t="s">
        <v>474</v>
      </c>
      <c r="C293" s="182" t="s">
        <v>104</v>
      </c>
      <c r="D293" s="303">
        <f>'4. AHS LANDSKAP'!G5133</f>
        <v>94864</v>
      </c>
    </row>
    <row r="294" spans="1:4">
      <c r="A294" s="62" t="s">
        <v>434</v>
      </c>
      <c r="B294" s="124" t="s">
        <v>475</v>
      </c>
      <c r="C294" s="182" t="s">
        <v>104</v>
      </c>
      <c r="D294" s="303">
        <f>'4. AHS LANDSKAP'!G5157</f>
        <v>87819.6</v>
      </c>
    </row>
    <row r="295" spans="1:4">
      <c r="A295" s="62" t="s">
        <v>435</v>
      </c>
      <c r="B295" s="124" t="s">
        <v>476</v>
      </c>
      <c r="C295" s="182" t="s">
        <v>104</v>
      </c>
      <c r="D295" s="303">
        <f>'4. AHS LANDSKAP'!G5181</f>
        <v>126797</v>
      </c>
    </row>
    <row r="296" spans="1:4">
      <c r="A296" s="62" t="s">
        <v>436</v>
      </c>
      <c r="B296" s="124" t="s">
        <v>477</v>
      </c>
      <c r="C296" s="182" t="s">
        <v>104</v>
      </c>
      <c r="D296" s="303">
        <f>'4. AHS LANDSKAP'!G5205</f>
        <v>82929</v>
      </c>
    </row>
    <row r="297" spans="1:4">
      <c r="A297" s="62" t="s">
        <v>437</v>
      </c>
      <c r="B297" s="124" t="s">
        <v>478</v>
      </c>
      <c r="C297" s="182" t="s">
        <v>104</v>
      </c>
      <c r="D297" s="303">
        <f>'4. AHS LANDSKAP'!G5229</f>
        <v>92675</v>
      </c>
    </row>
    <row r="298" spans="1:4">
      <c r="A298" s="62" t="s">
        <v>438</v>
      </c>
      <c r="B298" s="124" t="s">
        <v>479</v>
      </c>
      <c r="C298" s="182" t="s">
        <v>104</v>
      </c>
      <c r="D298" s="303">
        <f>'4. AHS LANDSKAP'!G5253</f>
        <v>85311.26999999999</v>
      </c>
    </row>
    <row r="299" spans="1:4">
      <c r="A299" s="62" t="s">
        <v>1210</v>
      </c>
      <c r="B299" s="123" t="s">
        <v>1544</v>
      </c>
      <c r="C299" s="182" t="s">
        <v>104</v>
      </c>
      <c r="D299" s="303">
        <f>'4. AHS LANDSKAP'!G5277</f>
        <v>94919</v>
      </c>
    </row>
    <row r="300" spans="1:4">
      <c r="A300" s="62" t="s">
        <v>1211</v>
      </c>
      <c r="B300" s="123" t="s">
        <v>1545</v>
      </c>
      <c r="C300" s="182" t="s">
        <v>104</v>
      </c>
      <c r="D300" s="303">
        <f>'4. AHS LANDSKAP'!G5301</f>
        <v>87874.6</v>
      </c>
    </row>
    <row r="301" spans="1:4">
      <c r="A301" s="62" t="s">
        <v>1212</v>
      </c>
      <c r="B301" s="123" t="s">
        <v>1543</v>
      </c>
      <c r="C301" s="182" t="s">
        <v>104</v>
      </c>
      <c r="D301" s="303">
        <f>'4. AHS LANDSKAP'!G5325</f>
        <v>126852</v>
      </c>
    </row>
    <row r="302" spans="1:4">
      <c r="A302" s="123"/>
      <c r="B302" s="123"/>
      <c r="C302" s="182"/>
      <c r="D302" s="303"/>
    </row>
    <row r="303" spans="1:4">
      <c r="A303" s="125" t="s">
        <v>1213</v>
      </c>
      <c r="B303" s="125" t="s">
        <v>1514</v>
      </c>
      <c r="C303" s="120"/>
      <c r="D303" s="303"/>
    </row>
    <row r="304" spans="1:4" s="132" customFormat="1">
      <c r="A304" s="181"/>
      <c r="B304" s="181" t="s">
        <v>1478</v>
      </c>
      <c r="C304" s="120"/>
      <c r="D304" s="303"/>
    </row>
    <row r="305" spans="1:4">
      <c r="A305" s="181" t="s">
        <v>1515</v>
      </c>
      <c r="B305" s="123" t="s">
        <v>1479</v>
      </c>
      <c r="C305" s="120" t="s">
        <v>28</v>
      </c>
      <c r="D305" s="303">
        <f>'4. AHS LANDSKAP'!G5365</f>
        <v>52045.4</v>
      </c>
    </row>
    <row r="306" spans="1:4">
      <c r="A306" s="181" t="s">
        <v>1214</v>
      </c>
      <c r="B306" s="123" t="s">
        <v>1480</v>
      </c>
      <c r="C306" s="120" t="s">
        <v>28</v>
      </c>
      <c r="D306" s="303">
        <f>'4. AHS LANDSKAP'!G5382</f>
        <v>53145.4</v>
      </c>
    </row>
    <row r="307" spans="1:4">
      <c r="A307" s="181" t="s">
        <v>1215</v>
      </c>
      <c r="B307" s="123" t="s">
        <v>1481</v>
      </c>
      <c r="C307" s="120" t="s">
        <v>28</v>
      </c>
      <c r="D307" s="303">
        <f>'4. AHS LANDSKAP'!G5400</f>
        <v>56995.4</v>
      </c>
    </row>
    <row r="308" spans="1:4">
      <c r="A308" s="181" t="s">
        <v>1216</v>
      </c>
      <c r="B308" s="123" t="s">
        <v>1482</v>
      </c>
      <c r="C308" s="120" t="s">
        <v>28</v>
      </c>
      <c r="D308" s="303">
        <f>'4. AHS LANDSKAP'!G5417</f>
        <v>54245.4</v>
      </c>
    </row>
    <row r="309" spans="1:4">
      <c r="A309" s="181" t="s">
        <v>1217</v>
      </c>
      <c r="B309" s="123" t="s">
        <v>1483</v>
      </c>
      <c r="C309" s="120" t="s">
        <v>28</v>
      </c>
      <c r="D309" s="303">
        <f>'4. AHS LANDSKAP'!G5434</f>
        <v>56445.4</v>
      </c>
    </row>
    <row r="310" spans="1:4">
      <c r="A310" s="181" t="s">
        <v>1218</v>
      </c>
      <c r="B310" s="123" t="s">
        <v>1484</v>
      </c>
      <c r="C310" s="120" t="s">
        <v>28</v>
      </c>
      <c r="D310" s="303">
        <f>'4. AHS LANDSKAP'!G5452</f>
        <v>61395.4</v>
      </c>
    </row>
    <row r="311" spans="1:4">
      <c r="A311" s="181" t="s">
        <v>1219</v>
      </c>
      <c r="B311" s="123" t="s">
        <v>1485</v>
      </c>
      <c r="C311" s="120" t="s">
        <v>28</v>
      </c>
      <c r="D311" s="303">
        <f>'4. AHS LANDSKAP'!G5469</f>
        <v>49845.4</v>
      </c>
    </row>
    <row r="312" spans="1:4">
      <c r="A312" s="181" t="s">
        <v>1220</v>
      </c>
      <c r="B312" s="123" t="s">
        <v>1486</v>
      </c>
      <c r="C312" s="120" t="s">
        <v>28</v>
      </c>
      <c r="D312" s="303">
        <f>'4. AHS LANDSKAP'!G5486</f>
        <v>10795.4</v>
      </c>
    </row>
    <row r="313" spans="1:4">
      <c r="A313" s="181" t="s">
        <v>1221</v>
      </c>
      <c r="B313" s="123" t="s">
        <v>1487</v>
      </c>
      <c r="C313" s="120" t="s">
        <v>28</v>
      </c>
      <c r="D313" s="303">
        <f>'4. AHS LANDSKAP'!G5503</f>
        <v>49845.4</v>
      </c>
    </row>
    <row r="314" spans="1:4">
      <c r="A314" s="181" t="s">
        <v>1222</v>
      </c>
      <c r="B314" s="123" t="s">
        <v>1488</v>
      </c>
      <c r="C314" s="120" t="s">
        <v>28</v>
      </c>
      <c r="D314" s="303">
        <f>'4. AHS LANDSKAP'!G5521</f>
        <v>52045.4</v>
      </c>
    </row>
    <row r="315" spans="1:4">
      <c r="A315" s="123"/>
      <c r="B315" s="123"/>
      <c r="C315" s="120"/>
      <c r="D315" s="303"/>
    </row>
    <row r="316" spans="1:4">
      <c r="A316" s="125" t="s">
        <v>1223</v>
      </c>
      <c r="B316" s="125" t="s">
        <v>1489</v>
      </c>
      <c r="C316" s="120"/>
      <c r="D316" s="303"/>
    </row>
    <row r="317" spans="1:4">
      <c r="A317" s="123" t="s">
        <v>1224</v>
      </c>
      <c r="B317" s="123" t="s">
        <v>1490</v>
      </c>
      <c r="C317" s="120" t="s">
        <v>28</v>
      </c>
      <c r="D317" s="303">
        <f>'4. AHS LANDSKAP'!G5538</f>
        <v>48195.4</v>
      </c>
    </row>
    <row r="318" spans="1:4">
      <c r="A318" s="123" t="s">
        <v>1225</v>
      </c>
      <c r="B318" s="123" t="s">
        <v>1491</v>
      </c>
      <c r="C318" s="120" t="s">
        <v>28</v>
      </c>
      <c r="D318" s="303">
        <f>'4. AHS LANDSKAP'!G5555</f>
        <v>50395.4</v>
      </c>
    </row>
    <row r="319" spans="1:4">
      <c r="A319" s="123" t="s">
        <v>1226</v>
      </c>
      <c r="B319" s="123" t="s">
        <v>1492</v>
      </c>
      <c r="C319" s="120" t="s">
        <v>28</v>
      </c>
      <c r="D319" s="303">
        <f>'4. AHS LANDSKAP'!G5571</f>
        <v>48745.4</v>
      </c>
    </row>
    <row r="320" spans="1:4">
      <c r="A320" s="123"/>
      <c r="B320" s="123"/>
      <c r="C320" s="120"/>
      <c r="D320" s="303"/>
    </row>
    <row r="321" spans="1:4">
      <c r="A321" s="125" t="s">
        <v>1227</v>
      </c>
      <c r="B321" s="125" t="s">
        <v>1493</v>
      </c>
      <c r="C321" s="120"/>
      <c r="D321" s="303"/>
    </row>
    <row r="322" spans="1:4">
      <c r="A322" s="123" t="s">
        <v>1228</v>
      </c>
      <c r="B322" s="123" t="s">
        <v>1494</v>
      </c>
      <c r="C322" s="120" t="s">
        <v>86</v>
      </c>
      <c r="D322" s="303">
        <f>'4. AHS LANDSKAP'!G5588</f>
        <v>55013.2</v>
      </c>
    </row>
    <row r="323" spans="1:4">
      <c r="A323" s="123" t="s">
        <v>1229</v>
      </c>
      <c r="B323" s="123" t="s">
        <v>1495</v>
      </c>
      <c r="C323" s="182" t="s">
        <v>104</v>
      </c>
      <c r="D323" s="303">
        <f>'4. AHS LANDSKAP'!G5604</f>
        <v>33046.199999999997</v>
      </c>
    </row>
    <row r="324" spans="1:4">
      <c r="A324" s="123" t="s">
        <v>1230</v>
      </c>
      <c r="B324" s="123" t="s">
        <v>1496</v>
      </c>
      <c r="C324" s="182" t="s">
        <v>104</v>
      </c>
      <c r="D324" s="303">
        <f>'4. AHS LANDSKAP'!G5620</f>
        <v>44046.2</v>
      </c>
    </row>
    <row r="325" spans="1:4">
      <c r="A325" s="123" t="s">
        <v>1231</v>
      </c>
      <c r="B325" s="123" t="s">
        <v>1497</v>
      </c>
      <c r="C325" s="182" t="s">
        <v>104</v>
      </c>
      <c r="D325" s="303">
        <f>'4. AHS LANDSKAP'!G5636</f>
        <v>33031.129999999997</v>
      </c>
    </row>
    <row r="326" spans="1:4">
      <c r="A326" s="123" t="s">
        <v>1232</v>
      </c>
      <c r="B326" s="123" t="s">
        <v>1498</v>
      </c>
      <c r="C326" s="182" t="s">
        <v>104</v>
      </c>
      <c r="D326" s="309">
        <f>'4. AHS LANDSKAP'!G5652</f>
        <v>44031.130000000005</v>
      </c>
    </row>
    <row r="327" spans="1:4">
      <c r="A327" s="123"/>
      <c r="B327" s="123"/>
      <c r="C327" s="182"/>
      <c r="D327" s="309"/>
    </row>
    <row r="328" spans="1:4">
      <c r="A328" s="125" t="s">
        <v>1233</v>
      </c>
      <c r="B328" s="125" t="s">
        <v>1499</v>
      </c>
      <c r="C328" s="120"/>
      <c r="D328" s="309"/>
    </row>
    <row r="329" spans="1:4">
      <c r="A329" s="123" t="s">
        <v>1234</v>
      </c>
      <c r="B329" s="123" t="s">
        <v>1500</v>
      </c>
      <c r="C329" s="182" t="s">
        <v>104</v>
      </c>
      <c r="D329" s="309">
        <f>'4. AHS LANDSKAP'!G5669</f>
        <v>110282.7</v>
      </c>
    </row>
    <row r="330" spans="1:4">
      <c r="A330" s="123" t="s">
        <v>1235</v>
      </c>
      <c r="B330" s="123" t="s">
        <v>1501</v>
      </c>
      <c r="C330" s="182" t="s">
        <v>104</v>
      </c>
      <c r="D330" s="309">
        <f>'4. AHS LANDSKAP'!G5685</f>
        <v>66071.5</v>
      </c>
    </row>
    <row r="331" spans="1:4">
      <c r="A331" s="123" t="s">
        <v>1236</v>
      </c>
      <c r="B331" s="123" t="s">
        <v>1502</v>
      </c>
      <c r="C331" s="182" t="s">
        <v>104</v>
      </c>
      <c r="D331" s="309">
        <f>'4. AHS LANDSKAP'!G5701</f>
        <v>88071.5</v>
      </c>
    </row>
    <row r="332" spans="1:4">
      <c r="A332" s="123" t="s">
        <v>1237</v>
      </c>
      <c r="B332" s="123" t="s">
        <v>1503</v>
      </c>
      <c r="C332" s="182" t="s">
        <v>104</v>
      </c>
      <c r="D332" s="309">
        <f>'4. AHS LANDSKAP'!G5717</f>
        <v>66036.63</v>
      </c>
    </row>
    <row r="333" spans="1:4">
      <c r="A333" s="123" t="s">
        <v>1238</v>
      </c>
      <c r="B333" s="123" t="s">
        <v>1504</v>
      </c>
      <c r="C333" s="182" t="s">
        <v>104</v>
      </c>
      <c r="D333" s="309">
        <f>'4. AHS LANDSKAP'!G5733</f>
        <v>88036.63</v>
      </c>
    </row>
    <row r="334" spans="1:4">
      <c r="A334" s="123" t="s">
        <v>1239</v>
      </c>
      <c r="B334" s="123" t="s">
        <v>1505</v>
      </c>
      <c r="C334" s="182" t="s">
        <v>104</v>
      </c>
      <c r="D334" s="309">
        <f>'4. AHS LANDSKAP'!G5749</f>
        <v>110277.2</v>
      </c>
    </row>
    <row r="335" spans="1:4">
      <c r="A335" s="123" t="s">
        <v>1240</v>
      </c>
      <c r="B335" s="123" t="s">
        <v>1506</v>
      </c>
      <c r="C335" s="182" t="s">
        <v>104</v>
      </c>
      <c r="D335" s="309">
        <f>'4. AHS LANDSKAP'!G5765</f>
        <v>66066</v>
      </c>
    </row>
    <row r="336" spans="1:4">
      <c r="A336" s="123" t="s">
        <v>1241</v>
      </c>
      <c r="B336" s="123" t="s">
        <v>1507</v>
      </c>
      <c r="C336" s="182" t="s">
        <v>104</v>
      </c>
      <c r="D336" s="309">
        <f>'4. AHS LANDSKAP'!G5781</f>
        <v>88066</v>
      </c>
    </row>
    <row r="337" spans="1:4">
      <c r="A337" s="123" t="s">
        <v>1242</v>
      </c>
      <c r="B337" s="123" t="s">
        <v>1508</v>
      </c>
      <c r="C337" s="182" t="s">
        <v>104</v>
      </c>
      <c r="D337" s="309">
        <f>'4. AHS LANDSKAP'!G5797</f>
        <v>66031.13</v>
      </c>
    </row>
    <row r="338" spans="1:4">
      <c r="A338" s="123" t="s">
        <v>1243</v>
      </c>
      <c r="B338" s="123" t="s">
        <v>1509</v>
      </c>
      <c r="C338" s="182" t="s">
        <v>104</v>
      </c>
      <c r="D338" s="309">
        <f>'4. AHS LANDSKAP'!G5813</f>
        <v>88031.13</v>
      </c>
    </row>
    <row r="339" spans="1:4">
      <c r="A339" s="123"/>
      <c r="B339" s="123"/>
      <c r="C339" s="182"/>
      <c r="D339" s="309"/>
    </row>
    <row r="340" spans="1:4">
      <c r="A340" s="125" t="s">
        <v>1244</v>
      </c>
      <c r="B340" s="125" t="s">
        <v>1510</v>
      </c>
      <c r="C340" s="120"/>
      <c r="D340" s="309"/>
    </row>
    <row r="341" spans="1:4">
      <c r="A341" s="123" t="s">
        <v>1245</v>
      </c>
      <c r="B341" s="123" t="s">
        <v>1511</v>
      </c>
      <c r="C341" s="182" t="s">
        <v>104</v>
      </c>
      <c r="D341" s="309">
        <f>'4. AHS LANDSKAP'!G5830</f>
        <v>55061.599999999999</v>
      </c>
    </row>
    <row r="342" spans="1:4">
      <c r="A342" s="123" t="s">
        <v>1246</v>
      </c>
      <c r="B342" s="123" t="s">
        <v>1512</v>
      </c>
      <c r="C342" s="182" t="s">
        <v>104</v>
      </c>
      <c r="D342" s="309">
        <f>'4. AHS LANDSKAP'!G5846</f>
        <v>55078.1</v>
      </c>
    </row>
    <row r="343" spans="1:4">
      <c r="A343" s="123" t="s">
        <v>1247</v>
      </c>
      <c r="B343" s="123" t="s">
        <v>1513</v>
      </c>
      <c r="C343" s="182" t="s">
        <v>104</v>
      </c>
      <c r="D343" s="309">
        <f>'4. AHS LANDSKAP'!G5862</f>
        <v>55146.3</v>
      </c>
    </row>
    <row r="344" spans="1:4">
      <c r="A344" s="123"/>
      <c r="B344" s="123"/>
      <c r="C344" s="182"/>
      <c r="D344" s="309"/>
    </row>
    <row r="345" spans="1:4">
      <c r="A345" s="125" t="s">
        <v>1248</v>
      </c>
      <c r="B345" s="125" t="s">
        <v>1471</v>
      </c>
      <c r="C345" s="120"/>
      <c r="D345" s="309"/>
    </row>
    <row r="346" spans="1:4">
      <c r="A346" s="123" t="s">
        <v>1249</v>
      </c>
      <c r="B346" s="123" t="s">
        <v>1472</v>
      </c>
      <c r="C346" s="182" t="s">
        <v>104</v>
      </c>
      <c r="D346" s="309">
        <f>'4. AHS LANDSKAP'!G5879</f>
        <v>110067.1</v>
      </c>
    </row>
    <row r="347" spans="1:4">
      <c r="A347" s="123" t="s">
        <v>1250</v>
      </c>
      <c r="B347" s="123" t="s">
        <v>1473</v>
      </c>
      <c r="C347" s="182" t="s">
        <v>104</v>
      </c>
      <c r="D347" s="309">
        <f>'4. AHS LANDSKAP'!G5895</f>
        <v>110083.6</v>
      </c>
    </row>
    <row r="348" spans="1:4">
      <c r="A348" s="123" t="s">
        <v>1251</v>
      </c>
      <c r="B348" s="123" t="s">
        <v>1474</v>
      </c>
      <c r="C348" s="182" t="s">
        <v>104</v>
      </c>
      <c r="D348" s="309">
        <f>'4. AHS LANDSKAP'!G5911</f>
        <v>110151.8</v>
      </c>
    </row>
    <row r="349" spans="1:4">
      <c r="A349" s="123" t="s">
        <v>1252</v>
      </c>
      <c r="B349" s="123" t="s">
        <v>1475</v>
      </c>
      <c r="C349" s="182" t="s">
        <v>104</v>
      </c>
      <c r="D349" s="309">
        <f>'4. AHS LANDSKAP'!G5927</f>
        <v>110061.6</v>
      </c>
    </row>
    <row r="350" spans="1:4">
      <c r="A350" s="123" t="s">
        <v>1253</v>
      </c>
      <c r="B350" s="123" t="s">
        <v>1476</v>
      </c>
      <c r="C350" s="182" t="s">
        <v>104</v>
      </c>
      <c r="D350" s="309">
        <f>'4. AHS LANDSKAP'!G5943</f>
        <v>110078.1</v>
      </c>
    </row>
    <row r="351" spans="1:4">
      <c r="A351" s="123" t="s">
        <v>1254</v>
      </c>
      <c r="B351" s="123" t="s">
        <v>1477</v>
      </c>
      <c r="C351" s="182" t="s">
        <v>104</v>
      </c>
      <c r="D351" s="309">
        <f>'4. AHS LANDSKAP'!G5959</f>
        <v>110146.3</v>
      </c>
    </row>
    <row r="352" spans="1:4">
      <c r="A352" s="123"/>
      <c r="B352" s="123"/>
      <c r="C352" s="182"/>
      <c r="D352" s="309"/>
    </row>
    <row r="353" spans="1:4">
      <c r="A353" s="125" t="s">
        <v>1255</v>
      </c>
      <c r="B353" s="125" t="s">
        <v>1467</v>
      </c>
      <c r="C353" s="120"/>
      <c r="D353" s="309"/>
    </row>
    <row r="354" spans="1:4">
      <c r="A354" s="125" t="s">
        <v>1256</v>
      </c>
      <c r="B354" s="125" t="s">
        <v>1468</v>
      </c>
      <c r="C354" s="120"/>
      <c r="D354" s="309"/>
    </row>
    <row r="355" spans="1:4">
      <c r="A355" s="123" t="s">
        <v>1257</v>
      </c>
      <c r="B355" s="123" t="s">
        <v>1469</v>
      </c>
      <c r="C355" s="182" t="s">
        <v>104</v>
      </c>
      <c r="D355" s="309">
        <f>'4. AHS LANDSKAP'!G5977</f>
        <v>55046.2</v>
      </c>
    </row>
    <row r="356" spans="1:4">
      <c r="A356" s="123" t="s">
        <v>1258</v>
      </c>
      <c r="B356" s="123" t="s">
        <v>1470</v>
      </c>
      <c r="C356" s="182" t="s">
        <v>104</v>
      </c>
      <c r="D356" s="309">
        <f>'4. AHS LANDSKAP'!G5993</f>
        <v>55031.130000000005</v>
      </c>
    </row>
    <row r="357" spans="1:4">
      <c r="A357" s="123"/>
      <c r="B357" s="123"/>
      <c r="C357" s="182"/>
      <c r="D357" s="309"/>
    </row>
    <row r="358" spans="1:4">
      <c r="A358" s="125" t="s">
        <v>1259</v>
      </c>
      <c r="B358" s="125" t="s">
        <v>1464</v>
      </c>
      <c r="C358" s="120"/>
      <c r="D358" s="309"/>
    </row>
    <row r="359" spans="1:4">
      <c r="A359" s="123" t="s">
        <v>1260</v>
      </c>
      <c r="B359" s="123" t="s">
        <v>1465</v>
      </c>
      <c r="C359" s="120" t="s">
        <v>86</v>
      </c>
      <c r="D359" s="309">
        <f>'4. AHS LANDSKAP'!G6009</f>
        <v>2093.85</v>
      </c>
    </row>
    <row r="360" spans="1:4">
      <c r="A360" s="123" t="s">
        <v>1261</v>
      </c>
      <c r="B360" s="123" t="s">
        <v>1466</v>
      </c>
      <c r="C360" s="182" t="s">
        <v>104</v>
      </c>
      <c r="D360" s="309">
        <f>'4. AHS LANDSKAP'!G6024</f>
        <v>188.1</v>
      </c>
    </row>
    <row r="361" spans="1:4">
      <c r="A361" s="123"/>
      <c r="B361" s="123"/>
      <c r="C361" s="182"/>
      <c r="D361" s="309"/>
    </row>
    <row r="362" spans="1:4">
      <c r="A362" s="126" t="s">
        <v>668</v>
      </c>
      <c r="B362" s="126" t="s">
        <v>669</v>
      </c>
      <c r="C362" s="120"/>
      <c r="D362" s="309"/>
    </row>
    <row r="363" spans="1:4">
      <c r="A363" s="127" t="s">
        <v>1262</v>
      </c>
      <c r="B363" s="127" t="s">
        <v>671</v>
      </c>
      <c r="C363" s="120" t="s">
        <v>86</v>
      </c>
      <c r="D363" s="309">
        <f>'4. AHS LANDSKAP'!G6042</f>
        <v>55731.632000000005</v>
      </c>
    </row>
    <row r="364" spans="1:4">
      <c r="A364" s="127" t="s">
        <v>1272</v>
      </c>
      <c r="B364" s="123" t="s">
        <v>1461</v>
      </c>
      <c r="C364" s="182" t="s">
        <v>104</v>
      </c>
      <c r="D364" s="309">
        <f>'4. AHS LANDSKAP'!G6059</f>
        <v>55068.112000000008</v>
      </c>
    </row>
    <row r="365" spans="1:4">
      <c r="A365" s="127" t="s">
        <v>1273</v>
      </c>
      <c r="B365" s="123" t="s">
        <v>1462</v>
      </c>
      <c r="C365" s="182" t="s">
        <v>104</v>
      </c>
      <c r="D365" s="309">
        <f>'4. AHS LANDSKAP'!G6076</f>
        <v>55032.252</v>
      </c>
    </row>
    <row r="366" spans="1:4">
      <c r="A366" s="127" t="s">
        <v>1274</v>
      </c>
      <c r="B366" s="123" t="s">
        <v>1463</v>
      </c>
      <c r="C366" s="120" t="s">
        <v>86</v>
      </c>
      <c r="D366" s="309">
        <f>'4. AHS LANDSKAP'!G6093</f>
        <v>57222</v>
      </c>
    </row>
    <row r="367" spans="1:4">
      <c r="A367" s="127" t="s">
        <v>861</v>
      </c>
      <c r="B367" s="123" t="s">
        <v>449</v>
      </c>
      <c r="C367" s="120" t="s">
        <v>86</v>
      </c>
      <c r="D367" s="309">
        <f>'4. AHS LANDSKAP'!G6110</f>
        <v>55220</v>
      </c>
    </row>
    <row r="368" spans="1:4">
      <c r="A368" s="123"/>
      <c r="B368" s="123"/>
      <c r="C368" s="120"/>
      <c r="D368" s="309"/>
    </row>
    <row r="369" spans="1:4">
      <c r="A369" s="125" t="s">
        <v>1271</v>
      </c>
      <c r="B369" s="125" t="s">
        <v>1460</v>
      </c>
      <c r="C369" s="182"/>
      <c r="D369" s="309"/>
    </row>
    <row r="370" spans="1:4">
      <c r="A370" s="123" t="s">
        <v>1263</v>
      </c>
      <c r="B370" s="123" t="s">
        <v>1459</v>
      </c>
      <c r="C370" s="120" t="s">
        <v>86</v>
      </c>
      <c r="D370" s="309">
        <f>'4. AHS LANDSKAP'!G6126</f>
        <v>5637.06</v>
      </c>
    </row>
    <row r="371" spans="1:4">
      <c r="A371" s="123" t="s">
        <v>1264</v>
      </c>
      <c r="B371" s="123" t="s">
        <v>1458</v>
      </c>
      <c r="C371" s="120" t="s">
        <v>86</v>
      </c>
      <c r="D371" s="309">
        <f>'4. AHS LANDSKAP'!G6141</f>
        <v>8650.4</v>
      </c>
    </row>
    <row r="372" spans="1:4">
      <c r="A372" s="123" t="s">
        <v>1265</v>
      </c>
      <c r="B372" s="123" t="s">
        <v>1457</v>
      </c>
      <c r="C372" s="120" t="s">
        <v>86</v>
      </c>
      <c r="D372" s="309">
        <f>'4. AHS LANDSKAP'!G6156</f>
        <v>15400</v>
      </c>
    </row>
    <row r="373" spans="1:4">
      <c r="A373" s="123" t="s">
        <v>1266</v>
      </c>
      <c r="B373" s="123" t="s">
        <v>1456</v>
      </c>
      <c r="C373" s="120" t="s">
        <v>86</v>
      </c>
      <c r="D373" s="309">
        <f>'4. AHS LANDSKAP'!G6172</f>
        <v>15015</v>
      </c>
    </row>
    <row r="374" spans="1:4">
      <c r="A374" s="123" t="s">
        <v>1267</v>
      </c>
      <c r="B374" s="123" t="s">
        <v>1455</v>
      </c>
      <c r="C374" s="182" t="s">
        <v>104</v>
      </c>
      <c r="D374" s="309">
        <f>'4. AHS LANDSKAP'!G6189</f>
        <v>1421.2</v>
      </c>
    </row>
    <row r="375" spans="1:4">
      <c r="A375" s="123" t="s">
        <v>1268</v>
      </c>
      <c r="B375" s="123" t="s">
        <v>1454</v>
      </c>
      <c r="C375" s="182" t="s">
        <v>104</v>
      </c>
      <c r="D375" s="309">
        <f>'4. AHS LANDSKAP'!G6205</f>
        <v>1386</v>
      </c>
    </row>
    <row r="376" spans="1:4">
      <c r="A376" s="123" t="s">
        <v>1269</v>
      </c>
      <c r="B376" s="123" t="s">
        <v>1453</v>
      </c>
      <c r="C376" s="182" t="s">
        <v>104</v>
      </c>
      <c r="D376" s="309">
        <f>'4. AHS LANDSKAP'!G6222</f>
        <v>79.42</v>
      </c>
    </row>
    <row r="377" spans="1:4">
      <c r="A377" s="123" t="s">
        <v>1270</v>
      </c>
      <c r="B377" s="123" t="s">
        <v>1452</v>
      </c>
      <c r="C377" s="182" t="s">
        <v>104</v>
      </c>
      <c r="D377" s="309">
        <f>'4. AHS LANDSKAP'!G6239</f>
        <v>41.8</v>
      </c>
    </row>
    <row r="378" spans="1:4">
      <c r="A378" s="123"/>
      <c r="B378" s="123"/>
      <c r="C378" s="182"/>
      <c r="D378" s="309"/>
    </row>
    <row r="379" spans="1:4">
      <c r="A379" s="125" t="s">
        <v>1275</v>
      </c>
      <c r="B379" s="125" t="s">
        <v>1448</v>
      </c>
      <c r="C379" s="120"/>
      <c r="D379" s="309"/>
    </row>
    <row r="380" spans="1:4">
      <c r="A380" s="123" t="s">
        <v>1276</v>
      </c>
      <c r="B380" s="123" t="s">
        <v>1449</v>
      </c>
      <c r="C380" s="120" t="s">
        <v>86</v>
      </c>
      <c r="D380" s="309">
        <f>'4. AHS LANDSKAP'!G6257</f>
        <v>33742.5</v>
      </c>
    </row>
    <row r="381" spans="1:4">
      <c r="A381" s="123" t="s">
        <v>1277</v>
      </c>
      <c r="B381" s="123" t="s">
        <v>1450</v>
      </c>
      <c r="C381" s="182" t="s">
        <v>104</v>
      </c>
      <c r="D381" s="309">
        <f>'4. AHS LANDSKAP'!G6274</f>
        <v>33078.980000000003</v>
      </c>
    </row>
    <row r="382" spans="1:4">
      <c r="A382" s="123" t="s">
        <v>1278</v>
      </c>
      <c r="B382" s="123" t="s">
        <v>1451</v>
      </c>
      <c r="C382" s="182" t="s">
        <v>104</v>
      </c>
      <c r="D382" s="309">
        <f>'4. AHS LANDSKAP'!G6291</f>
        <v>33043.120000000003</v>
      </c>
    </row>
    <row r="383" spans="1:4">
      <c r="A383" s="123"/>
      <c r="B383" s="123"/>
      <c r="C383" s="182"/>
      <c r="D383" s="309"/>
    </row>
    <row r="384" spans="1:4">
      <c r="A384" s="125" t="s">
        <v>1280</v>
      </c>
      <c r="B384" s="125" t="s">
        <v>1291</v>
      </c>
      <c r="C384" s="120"/>
      <c r="D384" s="309"/>
    </row>
    <row r="385" spans="1:4">
      <c r="A385" s="123" t="s">
        <v>1279</v>
      </c>
      <c r="B385" s="123" t="s">
        <v>1292</v>
      </c>
      <c r="C385" s="182" t="s">
        <v>104</v>
      </c>
      <c r="D385" s="309">
        <f>'4. AHS LANDSKAP'!G6308</f>
        <v>57.75</v>
      </c>
    </row>
    <row r="386" spans="1:4">
      <c r="A386" s="123"/>
      <c r="B386" s="123"/>
      <c r="C386" s="182"/>
      <c r="D386" s="309"/>
    </row>
    <row r="387" spans="1:4">
      <c r="A387" s="125" t="s">
        <v>1281</v>
      </c>
      <c r="B387" s="125" t="s">
        <v>1288</v>
      </c>
      <c r="C387" s="182"/>
      <c r="D387" s="309"/>
    </row>
    <row r="388" spans="1:4">
      <c r="A388" s="123" t="s">
        <v>1282</v>
      </c>
      <c r="B388" s="123" t="s">
        <v>1289</v>
      </c>
      <c r="C388" s="182" t="s">
        <v>104</v>
      </c>
      <c r="D388" s="309">
        <f>'4. AHS LANDSKAP'!G6325</f>
        <v>2299</v>
      </c>
    </row>
    <row r="389" spans="1:4">
      <c r="A389" s="123" t="s">
        <v>1283</v>
      </c>
      <c r="B389" s="123" t="s">
        <v>1290</v>
      </c>
      <c r="C389" s="182" t="s">
        <v>104</v>
      </c>
      <c r="D389" s="309">
        <f>'4. AHS LANDSKAP'!G6339</f>
        <v>1386</v>
      </c>
    </row>
    <row r="390" spans="1:4">
      <c r="A390" s="123"/>
      <c r="B390" s="123"/>
      <c r="C390" s="182"/>
      <c r="D390" s="309"/>
    </row>
    <row r="391" spans="1:4">
      <c r="A391" s="125" t="s">
        <v>1284</v>
      </c>
      <c r="B391" s="125" t="s">
        <v>1286</v>
      </c>
      <c r="C391" s="120"/>
      <c r="D391" s="309"/>
    </row>
    <row r="392" spans="1:4">
      <c r="A392" s="123" t="s">
        <v>1285</v>
      </c>
      <c r="B392" s="123" t="s">
        <v>1287</v>
      </c>
      <c r="C392" s="120" t="s">
        <v>86</v>
      </c>
      <c r="D392" s="309">
        <f>'4. AHS LANDSKAP'!G6361</f>
        <v>68013</v>
      </c>
    </row>
    <row r="393" spans="1:4">
      <c r="A393" s="310"/>
      <c r="B393" s="311"/>
      <c r="C393" s="312"/>
      <c r="D393" s="313"/>
    </row>
    <row r="395" spans="1:4" ht="15.75">
      <c r="A395" s="244"/>
      <c r="B395" s="246" t="s">
        <v>910</v>
      </c>
    </row>
    <row r="396" spans="1:4" ht="15.75">
      <c r="A396" s="245"/>
      <c r="B396" s="246" t="s">
        <v>909</v>
      </c>
    </row>
  </sheetData>
  <mergeCells count="2">
    <mergeCell ref="A1:D1"/>
    <mergeCell ref="A2:D2"/>
  </mergeCells>
  <pageMargins left="0.7" right="0.7" top="0.75" bottom="0.75" header="0.3" footer="0.3"/>
  <pageSetup paperSize="9" scale="50" orientation="portrait" r:id="rId1"/>
  <legacyDrawing r:id="rId2"/>
</worksheet>
</file>

<file path=xl/worksheets/sheet3.xml><?xml version="1.0" encoding="utf-8"?>
<worksheet xmlns="http://schemas.openxmlformats.org/spreadsheetml/2006/main" xmlns:r="http://schemas.openxmlformats.org/officeDocument/2006/relationships">
  <sheetPr codeName="Sheet3"/>
  <dimension ref="A1:G6361"/>
  <sheetViews>
    <sheetView view="pageBreakPreview" topLeftCell="A3195" zoomScale="87" zoomScaleNormal="70" zoomScaleSheetLayoutView="87" workbookViewId="0">
      <selection activeCell="B3226" sqref="B3226"/>
    </sheetView>
  </sheetViews>
  <sheetFormatPr defaultRowHeight="15"/>
  <cols>
    <col min="1" max="1" width="9.5703125" style="16" customWidth="1"/>
    <col min="2" max="2" width="30.42578125" style="4" customWidth="1"/>
    <col min="3" max="3" width="7.85546875" style="16" customWidth="1"/>
    <col min="4" max="4" width="14.140625" style="16" customWidth="1"/>
    <col min="5" max="5" width="14" style="16" customWidth="1"/>
    <col min="6" max="6" width="12.7109375" style="4" bestFit="1" customWidth="1"/>
    <col min="7" max="7" width="17.28515625" style="4" bestFit="1" customWidth="1"/>
    <col min="8" max="8" width="8.85546875" customWidth="1"/>
  </cols>
  <sheetData>
    <row r="1" spans="1:7" ht="15.75">
      <c r="A1" s="89" t="s">
        <v>422</v>
      </c>
    </row>
    <row r="2" spans="1:7">
      <c r="A2" t="s">
        <v>423</v>
      </c>
    </row>
    <row r="3" spans="1:7">
      <c r="A3" t="s">
        <v>424</v>
      </c>
    </row>
    <row r="4" spans="1:7" ht="30">
      <c r="A4" s="79" t="s">
        <v>0</v>
      </c>
      <c r="B4" s="79" t="s">
        <v>1</v>
      </c>
      <c r="C4" s="79" t="s">
        <v>207</v>
      </c>
      <c r="D4" s="79" t="s">
        <v>3</v>
      </c>
      <c r="E4" s="79" t="s">
        <v>2</v>
      </c>
      <c r="F4" s="79" t="s">
        <v>417</v>
      </c>
      <c r="G4" s="79" t="s">
        <v>418</v>
      </c>
    </row>
    <row r="5" spans="1:7">
      <c r="A5" s="8" t="s">
        <v>4</v>
      </c>
      <c r="B5" s="1" t="s">
        <v>5</v>
      </c>
      <c r="C5" s="8"/>
      <c r="D5" s="9"/>
      <c r="E5" s="19"/>
      <c r="F5" s="2"/>
      <c r="G5" s="2"/>
    </row>
    <row r="6" spans="1:7">
      <c r="A6" s="8">
        <v>1</v>
      </c>
      <c r="B6" s="1" t="s">
        <v>6</v>
      </c>
      <c r="C6" s="8" t="s">
        <v>7</v>
      </c>
      <c r="D6" s="9" t="s">
        <v>8</v>
      </c>
      <c r="E6" s="10" t="s">
        <v>9</v>
      </c>
      <c r="F6" s="83">
        <f>VLOOKUP(B6,'HSD UPAH,BAHAN,ALAT'!$C$6:F304,4,FALSE)</f>
        <v>100000</v>
      </c>
      <c r="G6" s="84">
        <f>E6*F6</f>
        <v>1430</v>
      </c>
    </row>
    <row r="7" spans="1:7">
      <c r="A7" s="8">
        <v>2</v>
      </c>
      <c r="B7" s="1" t="s">
        <v>10</v>
      </c>
      <c r="C7" s="8" t="s">
        <v>11</v>
      </c>
      <c r="D7" s="9" t="s">
        <v>8</v>
      </c>
      <c r="E7" s="10" t="s">
        <v>12</v>
      </c>
      <c r="F7" s="83">
        <f>VLOOKUP(B7,'HSD UPAH,BAHAN,ALAT'!$C$6:F304,4,FALSE)</f>
        <v>120000</v>
      </c>
      <c r="G7" s="84">
        <f t="shared" ref="G7:G8" si="0">E7*F7</f>
        <v>576</v>
      </c>
    </row>
    <row r="8" spans="1:7">
      <c r="A8" s="8">
        <v>3</v>
      </c>
      <c r="B8" s="1" t="s">
        <v>13</v>
      </c>
      <c r="C8" s="8" t="s">
        <v>14</v>
      </c>
      <c r="D8" s="9" t="s">
        <v>8</v>
      </c>
      <c r="E8" s="10" t="s">
        <v>15</v>
      </c>
      <c r="F8" s="83">
        <f>VLOOKUP(B8,'HSD UPAH,BAHAN,ALAT'!$C$6:F304,4,FALSE)</f>
        <v>100000</v>
      </c>
      <c r="G8" s="84">
        <f t="shared" si="0"/>
        <v>160</v>
      </c>
    </row>
    <row r="9" spans="1:7">
      <c r="A9" s="261" t="s">
        <v>420</v>
      </c>
      <c r="B9" s="261"/>
      <c r="C9" s="261"/>
      <c r="D9" s="261"/>
      <c r="E9" s="261"/>
      <c r="F9" s="261"/>
      <c r="G9" s="85">
        <f>SUM(G5:G8)</f>
        <v>2166</v>
      </c>
    </row>
    <row r="10" spans="1:7">
      <c r="A10" s="8" t="s">
        <v>16</v>
      </c>
      <c r="B10" s="1" t="s">
        <v>17</v>
      </c>
      <c r="C10" s="8"/>
      <c r="D10" s="9"/>
      <c r="E10" s="19"/>
      <c r="F10" s="2"/>
      <c r="G10" s="2"/>
    </row>
    <row r="11" spans="1:7" ht="30">
      <c r="A11" s="17" t="s">
        <v>208</v>
      </c>
      <c r="B11" s="5" t="s">
        <v>228</v>
      </c>
      <c r="C11" s="8"/>
      <c r="D11" s="12" t="s">
        <v>86</v>
      </c>
      <c r="E11" s="7" t="s">
        <v>87</v>
      </c>
      <c r="F11" s="83">
        <f>VLOOKUP(B11,'HSD UPAH,BAHAN,ALAT'!$C$6:F318,4,FALSE)</f>
        <v>10000</v>
      </c>
      <c r="G11" s="84">
        <f t="shared" ref="G11:G19" si="1">E11*F11</f>
        <v>10500</v>
      </c>
    </row>
    <row r="12" spans="1:7">
      <c r="A12" s="8">
        <v>2</v>
      </c>
      <c r="B12" s="1" t="s">
        <v>18</v>
      </c>
      <c r="C12" s="8"/>
      <c r="D12" s="9" t="s">
        <v>19</v>
      </c>
      <c r="E12" s="10" t="s">
        <v>20</v>
      </c>
      <c r="F12" s="83">
        <f>VLOOKUP(B12,'HSD UPAH,BAHAN,ALAT'!$C$6:F319,4,FALSE)</f>
        <v>10000</v>
      </c>
      <c r="G12" s="84">
        <f t="shared" si="1"/>
        <v>50</v>
      </c>
    </row>
    <row r="13" spans="1:7">
      <c r="A13" s="8">
        <v>3</v>
      </c>
      <c r="B13" s="1" t="s">
        <v>21</v>
      </c>
      <c r="C13" s="8"/>
      <c r="D13" s="9"/>
      <c r="E13" s="19"/>
      <c r="F13" s="83"/>
      <c r="G13" s="84">
        <f t="shared" si="1"/>
        <v>0</v>
      </c>
    </row>
    <row r="14" spans="1:7">
      <c r="A14" s="8" t="s">
        <v>22</v>
      </c>
      <c r="B14" s="1" t="s">
        <v>23</v>
      </c>
      <c r="C14" s="8"/>
      <c r="D14" s="9" t="s">
        <v>24</v>
      </c>
      <c r="E14" s="10" t="s">
        <v>25</v>
      </c>
      <c r="F14" s="83">
        <f>VLOOKUP(B14,'HSD UPAH,BAHAN,ALAT'!$C$6:F321,4,FALSE)</f>
        <v>10000</v>
      </c>
      <c r="G14" s="84">
        <f t="shared" si="1"/>
        <v>60000</v>
      </c>
    </row>
    <row r="15" spans="1:7">
      <c r="A15" s="17" t="s">
        <v>30</v>
      </c>
      <c r="B15" s="1" t="s">
        <v>209</v>
      </c>
      <c r="C15" s="8"/>
      <c r="D15" s="12" t="s">
        <v>24</v>
      </c>
      <c r="E15" s="7" t="s">
        <v>57</v>
      </c>
      <c r="F15" s="83">
        <f>VLOOKUP(B15,'HSD UPAH,BAHAN,ALAT'!$C$6:F322,4,FALSE)</f>
        <v>10000</v>
      </c>
      <c r="G15" s="84">
        <f t="shared" si="1"/>
        <v>100000</v>
      </c>
    </row>
    <row r="16" spans="1:7">
      <c r="A16" s="8">
        <v>4</v>
      </c>
      <c r="B16" s="1" t="s">
        <v>26</v>
      </c>
      <c r="C16" s="8"/>
      <c r="D16" s="9"/>
      <c r="E16" s="19"/>
      <c r="F16" s="83"/>
      <c r="G16" s="84">
        <f t="shared" si="1"/>
        <v>0</v>
      </c>
    </row>
    <row r="17" spans="1:7">
      <c r="A17" s="8" t="s">
        <v>22</v>
      </c>
      <c r="B17" s="1" t="s">
        <v>27</v>
      </c>
      <c r="C17" s="8"/>
      <c r="D17" s="9" t="s">
        <v>28</v>
      </c>
      <c r="E17" s="10" t="s">
        <v>29</v>
      </c>
      <c r="F17" s="83">
        <f>VLOOKUP(B17,'HSD UPAH,BAHAN,ALAT'!$C$6:F324,4,FALSE)</f>
        <v>10000</v>
      </c>
      <c r="G17" s="84">
        <f t="shared" si="1"/>
        <v>146</v>
      </c>
    </row>
    <row r="18" spans="1:7">
      <c r="A18" s="8" t="s">
        <v>30</v>
      </c>
      <c r="B18" s="1" t="s">
        <v>31</v>
      </c>
      <c r="C18" s="8"/>
      <c r="D18" s="9" t="s">
        <v>28</v>
      </c>
      <c r="E18" s="10" t="s">
        <v>32</v>
      </c>
      <c r="F18" s="83">
        <f>VLOOKUP(B18,'HSD UPAH,BAHAN,ALAT'!$C$6:F325,4,FALSE)</f>
        <v>10000</v>
      </c>
      <c r="G18" s="84">
        <f t="shared" si="1"/>
        <v>39</v>
      </c>
    </row>
    <row r="19" spans="1:7">
      <c r="A19" s="8" t="s">
        <v>33</v>
      </c>
      <c r="B19" s="1" t="s">
        <v>34</v>
      </c>
      <c r="C19" s="8"/>
      <c r="D19" s="9" t="s">
        <v>28</v>
      </c>
      <c r="E19" s="10" t="s">
        <v>35</v>
      </c>
      <c r="F19" s="83">
        <f>VLOOKUP(B19,'HSD UPAH,BAHAN,ALAT'!$C$6:F326,4,FALSE)</f>
        <v>10000</v>
      </c>
      <c r="G19" s="84">
        <f t="shared" si="1"/>
        <v>10</v>
      </c>
    </row>
    <row r="20" spans="1:7">
      <c r="A20" s="261" t="s">
        <v>421</v>
      </c>
      <c r="B20" s="261"/>
      <c r="C20" s="261"/>
      <c r="D20" s="261"/>
      <c r="E20" s="261"/>
      <c r="F20" s="261"/>
      <c r="G20" s="85">
        <f>SUM(G11:G19)</f>
        <v>170745</v>
      </c>
    </row>
    <row r="21" spans="1:7">
      <c r="A21" s="8" t="s">
        <v>36</v>
      </c>
      <c r="B21" s="1" t="s">
        <v>37</v>
      </c>
      <c r="C21" s="8"/>
      <c r="D21" s="9"/>
      <c r="E21" s="19"/>
      <c r="F21" s="2"/>
      <c r="G21" s="2"/>
    </row>
    <row r="22" spans="1:7">
      <c r="A22" s="263" t="s">
        <v>419</v>
      </c>
      <c r="B22" s="263"/>
      <c r="C22" s="263"/>
      <c r="D22" s="263"/>
      <c r="E22" s="263"/>
      <c r="F22" s="263"/>
      <c r="G22" s="80">
        <f>SUM(G21)</f>
        <v>0</v>
      </c>
    </row>
    <row r="23" spans="1:7">
      <c r="A23" s="81" t="s">
        <v>38</v>
      </c>
      <c r="B23" s="262" t="s">
        <v>39</v>
      </c>
      <c r="C23" s="262"/>
      <c r="D23" s="262"/>
      <c r="E23" s="262"/>
      <c r="F23" s="262"/>
      <c r="G23" s="80">
        <f>SUM(G5:G22)/2</f>
        <v>172911</v>
      </c>
    </row>
    <row r="24" spans="1:7">
      <c r="A24" s="81" t="s">
        <v>40</v>
      </c>
      <c r="B24" s="262" t="s">
        <v>180</v>
      </c>
      <c r="C24" s="262"/>
      <c r="D24" s="262"/>
      <c r="E24" s="262"/>
      <c r="F24" s="82">
        <v>0.1</v>
      </c>
      <c r="G24" s="80">
        <f>G23*F24</f>
        <v>17291.100000000002</v>
      </c>
    </row>
    <row r="25" spans="1:7">
      <c r="A25" s="81" t="s">
        <v>41</v>
      </c>
      <c r="B25" s="262" t="s">
        <v>42</v>
      </c>
      <c r="C25" s="262"/>
      <c r="D25" s="262"/>
      <c r="E25" s="262"/>
      <c r="F25" s="262"/>
      <c r="G25" s="80">
        <f>G23+G24</f>
        <v>190202.1</v>
      </c>
    </row>
    <row r="26" spans="1:7">
      <c r="A26" s="94" t="s">
        <v>425</v>
      </c>
      <c r="B26" s="91"/>
      <c r="C26" s="91"/>
      <c r="D26" s="91"/>
      <c r="E26" s="91"/>
      <c r="F26" s="91"/>
      <c r="G26" s="92"/>
    </row>
    <row r="27" spans="1:7">
      <c r="A27" s="94"/>
      <c r="B27" s="91"/>
      <c r="C27" s="91"/>
      <c r="D27" s="91"/>
      <c r="E27" s="91"/>
      <c r="F27" s="91"/>
      <c r="G27" s="92"/>
    </row>
    <row r="28" spans="1:7">
      <c r="A28" s="4" t="s">
        <v>426</v>
      </c>
      <c r="B28" s="91"/>
      <c r="C28" s="91"/>
      <c r="D28" s="91"/>
      <c r="E28" s="91"/>
      <c r="F28" s="91"/>
      <c r="G28" s="92"/>
    </row>
    <row r="29" spans="1:7">
      <c r="A29" s="98" t="s">
        <v>497</v>
      </c>
      <c r="B29" s="91"/>
      <c r="C29" s="91"/>
      <c r="D29" s="91"/>
      <c r="E29" s="91"/>
      <c r="F29" s="91"/>
      <c r="G29" s="92"/>
    </row>
    <row r="30" spans="1:7" ht="30">
      <c r="A30" s="79" t="s">
        <v>0</v>
      </c>
      <c r="B30" s="79" t="s">
        <v>1</v>
      </c>
      <c r="C30" s="79" t="s">
        <v>207</v>
      </c>
      <c r="D30" s="79" t="s">
        <v>3</v>
      </c>
      <c r="E30" s="79" t="s">
        <v>2</v>
      </c>
      <c r="F30" s="79" t="s">
        <v>417</v>
      </c>
      <c r="G30" s="79" t="s">
        <v>418</v>
      </c>
    </row>
    <row r="31" spans="1:7">
      <c r="A31" s="8" t="s">
        <v>4</v>
      </c>
      <c r="B31" s="1" t="s">
        <v>5</v>
      </c>
      <c r="C31" s="8"/>
      <c r="D31" s="9"/>
      <c r="E31" s="19"/>
      <c r="F31" s="2"/>
      <c r="G31" s="2"/>
    </row>
    <row r="32" spans="1:7">
      <c r="A32" s="8">
        <v>1</v>
      </c>
      <c r="B32" s="1" t="s">
        <v>6</v>
      </c>
      <c r="C32" s="8" t="s">
        <v>7</v>
      </c>
      <c r="D32" s="9" t="s">
        <v>8</v>
      </c>
      <c r="E32" s="10" t="s">
        <v>9</v>
      </c>
      <c r="F32" s="83">
        <f>VLOOKUP(B32,'HSD UPAH,BAHAN,ALAT'!$C$6:F335,4,FALSE)</f>
        <v>100000</v>
      </c>
      <c r="G32" s="84">
        <f t="shared" ref="G32:G34" si="2">E32*F32</f>
        <v>1430</v>
      </c>
    </row>
    <row r="33" spans="1:7">
      <c r="A33" s="8">
        <v>2</v>
      </c>
      <c r="B33" s="1" t="s">
        <v>10</v>
      </c>
      <c r="C33" s="8" t="s">
        <v>11</v>
      </c>
      <c r="D33" s="9" t="s">
        <v>8</v>
      </c>
      <c r="E33" s="10" t="s">
        <v>12</v>
      </c>
      <c r="F33" s="83">
        <f>VLOOKUP(B33,'HSD UPAH,BAHAN,ALAT'!$C$6:F336,4,FALSE)</f>
        <v>120000</v>
      </c>
      <c r="G33" s="84">
        <f t="shared" si="2"/>
        <v>576</v>
      </c>
    </row>
    <row r="34" spans="1:7">
      <c r="A34" s="8">
        <v>3</v>
      </c>
      <c r="B34" s="1" t="s">
        <v>13</v>
      </c>
      <c r="C34" s="8" t="s">
        <v>14</v>
      </c>
      <c r="D34" s="9" t="s">
        <v>8</v>
      </c>
      <c r="E34" s="10" t="s">
        <v>15</v>
      </c>
      <c r="F34" s="83">
        <f>VLOOKUP(B34,'HSD UPAH,BAHAN,ALAT'!$C$6:F337,4,FALSE)</f>
        <v>100000</v>
      </c>
      <c r="G34" s="84">
        <f t="shared" si="2"/>
        <v>160</v>
      </c>
    </row>
    <row r="35" spans="1:7">
      <c r="A35" s="261" t="s">
        <v>420</v>
      </c>
      <c r="B35" s="261"/>
      <c r="C35" s="261"/>
      <c r="D35" s="261"/>
      <c r="E35" s="261"/>
      <c r="F35" s="261"/>
      <c r="G35" s="85">
        <f>SUM(G31:G34)</f>
        <v>2166</v>
      </c>
    </row>
    <row r="36" spans="1:7">
      <c r="A36" s="8" t="s">
        <v>16</v>
      </c>
      <c r="B36" s="1" t="s">
        <v>17</v>
      </c>
      <c r="C36" s="8"/>
      <c r="D36" s="9"/>
      <c r="E36" s="19"/>
      <c r="F36" s="2"/>
      <c r="G36" s="2"/>
    </row>
    <row r="37" spans="1:7" ht="45">
      <c r="A37" s="17" t="s">
        <v>208</v>
      </c>
      <c r="B37" s="5" t="s">
        <v>229</v>
      </c>
      <c r="C37" s="8"/>
      <c r="D37" s="12" t="s">
        <v>86</v>
      </c>
      <c r="E37" s="7" t="s">
        <v>87</v>
      </c>
      <c r="F37" s="83">
        <f>VLOOKUP(B37,'HSD UPAH,BAHAN,ALAT'!$C$6:F340,4,FALSE)</f>
        <v>10000</v>
      </c>
      <c r="G37" s="84">
        <f t="shared" ref="G37:G45" si="3">E37*F37</f>
        <v>10500</v>
      </c>
    </row>
    <row r="38" spans="1:7">
      <c r="A38" s="8">
        <v>2</v>
      </c>
      <c r="B38" s="1" t="s">
        <v>18</v>
      </c>
      <c r="C38" s="8"/>
      <c r="D38" s="9" t="s">
        <v>19</v>
      </c>
      <c r="E38" s="10" t="s">
        <v>20</v>
      </c>
      <c r="F38" s="83">
        <f>VLOOKUP(B38,'HSD UPAH,BAHAN,ALAT'!$C$6:F341,4,FALSE)</f>
        <v>10000</v>
      </c>
      <c r="G38" s="84">
        <f t="shared" si="3"/>
        <v>50</v>
      </c>
    </row>
    <row r="39" spans="1:7">
      <c r="A39" s="8">
        <v>3</v>
      </c>
      <c r="B39" s="1" t="s">
        <v>21</v>
      </c>
      <c r="C39" s="8"/>
      <c r="D39" s="9"/>
      <c r="E39" s="19"/>
      <c r="F39" s="83"/>
      <c r="G39" s="84">
        <f t="shared" si="3"/>
        <v>0</v>
      </c>
    </row>
    <row r="40" spans="1:7">
      <c r="A40" s="8" t="s">
        <v>22</v>
      </c>
      <c r="B40" s="1" t="s">
        <v>23</v>
      </c>
      <c r="C40" s="8"/>
      <c r="D40" s="9" t="s">
        <v>24</v>
      </c>
      <c r="E40" s="10" t="s">
        <v>25</v>
      </c>
      <c r="F40" s="83">
        <f>VLOOKUP(B40,'HSD UPAH,BAHAN,ALAT'!$C$6:F343,4,FALSE)</f>
        <v>10000</v>
      </c>
      <c r="G40" s="84">
        <f t="shared" si="3"/>
        <v>60000</v>
      </c>
    </row>
    <row r="41" spans="1:7" ht="30">
      <c r="A41" s="17" t="s">
        <v>30</v>
      </c>
      <c r="B41" s="5" t="s">
        <v>210</v>
      </c>
      <c r="C41" s="8"/>
      <c r="D41" s="12" t="s">
        <v>24</v>
      </c>
      <c r="E41" s="7" t="s">
        <v>57</v>
      </c>
      <c r="F41" s="83">
        <f>VLOOKUP(B41,'HSD UPAH,BAHAN,ALAT'!$C$6:F344,4,FALSE)</f>
        <v>10000</v>
      </c>
      <c r="G41" s="84">
        <f t="shared" si="3"/>
        <v>100000</v>
      </c>
    </row>
    <row r="42" spans="1:7">
      <c r="A42" s="8">
        <v>4</v>
      </c>
      <c r="B42" s="1" t="s">
        <v>26</v>
      </c>
      <c r="C42" s="8"/>
      <c r="D42" s="9"/>
      <c r="E42" s="19"/>
      <c r="F42" s="83"/>
      <c r="G42" s="84">
        <f t="shared" si="3"/>
        <v>0</v>
      </c>
    </row>
    <row r="43" spans="1:7">
      <c r="A43" s="8" t="s">
        <v>22</v>
      </c>
      <c r="B43" s="1" t="s">
        <v>27</v>
      </c>
      <c r="C43" s="8"/>
      <c r="D43" s="9" t="s">
        <v>28</v>
      </c>
      <c r="E43" s="10" t="s">
        <v>29</v>
      </c>
      <c r="F43" s="83">
        <f>VLOOKUP(B43,'HSD UPAH,BAHAN,ALAT'!$C$6:F346,4,FALSE)</f>
        <v>10000</v>
      </c>
      <c r="G43" s="84">
        <f t="shared" si="3"/>
        <v>146</v>
      </c>
    </row>
    <row r="44" spans="1:7">
      <c r="A44" s="8" t="s">
        <v>30</v>
      </c>
      <c r="B44" s="1" t="s">
        <v>31</v>
      </c>
      <c r="C44" s="8"/>
      <c r="D44" s="9" t="s">
        <v>28</v>
      </c>
      <c r="E44" s="10" t="s">
        <v>32</v>
      </c>
      <c r="F44" s="83">
        <f>VLOOKUP(B44,'HSD UPAH,BAHAN,ALAT'!$C$6:F347,4,FALSE)</f>
        <v>10000</v>
      </c>
      <c r="G44" s="84">
        <f t="shared" si="3"/>
        <v>39</v>
      </c>
    </row>
    <row r="45" spans="1:7">
      <c r="A45" s="8" t="s">
        <v>33</v>
      </c>
      <c r="B45" s="1" t="s">
        <v>34</v>
      </c>
      <c r="C45" s="8"/>
      <c r="D45" s="9" t="s">
        <v>28</v>
      </c>
      <c r="E45" s="10" t="s">
        <v>35</v>
      </c>
      <c r="F45" s="83">
        <f>VLOOKUP(B45,'HSD UPAH,BAHAN,ALAT'!$C$6:F348,4,FALSE)</f>
        <v>10000</v>
      </c>
      <c r="G45" s="84">
        <f t="shared" si="3"/>
        <v>10</v>
      </c>
    </row>
    <row r="46" spans="1:7">
      <c r="A46" s="261" t="s">
        <v>421</v>
      </c>
      <c r="B46" s="261"/>
      <c r="C46" s="261"/>
      <c r="D46" s="261"/>
      <c r="E46" s="261"/>
      <c r="F46" s="261"/>
      <c r="G46" s="85">
        <f>SUM(G37:G45)</f>
        <v>170745</v>
      </c>
    </row>
    <row r="47" spans="1:7">
      <c r="A47" s="8" t="s">
        <v>36</v>
      </c>
      <c r="B47" s="1" t="s">
        <v>37</v>
      </c>
      <c r="C47" s="8"/>
      <c r="D47" s="9"/>
      <c r="E47" s="19"/>
      <c r="F47" s="2"/>
      <c r="G47" s="2"/>
    </row>
    <row r="48" spans="1:7">
      <c r="A48" s="263" t="s">
        <v>419</v>
      </c>
      <c r="B48" s="263"/>
      <c r="C48" s="263"/>
      <c r="D48" s="263"/>
      <c r="E48" s="263"/>
      <c r="F48" s="263"/>
      <c r="G48" s="80">
        <f>SUM(G47)</f>
        <v>0</v>
      </c>
    </row>
    <row r="49" spans="1:7">
      <c r="A49" s="81" t="s">
        <v>38</v>
      </c>
      <c r="B49" s="262" t="s">
        <v>39</v>
      </c>
      <c r="C49" s="262"/>
      <c r="D49" s="262"/>
      <c r="E49" s="262"/>
      <c r="F49" s="262"/>
      <c r="G49" s="80">
        <f>SUM(G31:G48)/2</f>
        <v>172911</v>
      </c>
    </row>
    <row r="50" spans="1:7">
      <c r="A50" s="81" t="s">
        <v>40</v>
      </c>
      <c r="B50" s="262" t="s">
        <v>180</v>
      </c>
      <c r="C50" s="262"/>
      <c r="D50" s="262"/>
      <c r="E50" s="262"/>
      <c r="F50" s="82">
        <v>0.1</v>
      </c>
      <c r="G50" s="80">
        <f>G49*F50</f>
        <v>17291.100000000002</v>
      </c>
    </row>
    <row r="51" spans="1:7">
      <c r="A51" s="81" t="s">
        <v>41</v>
      </c>
      <c r="B51" s="262" t="s">
        <v>42</v>
      </c>
      <c r="C51" s="262"/>
      <c r="D51" s="262"/>
      <c r="E51" s="262"/>
      <c r="F51" s="262"/>
      <c r="G51" s="80">
        <f>G49+G50</f>
        <v>190202.1</v>
      </c>
    </row>
    <row r="52" spans="1:7">
      <c r="A52" s="90"/>
      <c r="B52" s="91"/>
      <c r="C52" s="91"/>
      <c r="D52" s="91"/>
      <c r="E52" s="91"/>
      <c r="F52" s="91"/>
      <c r="G52" s="92"/>
    </row>
    <row r="53" spans="1:7">
      <c r="A53" s="4" t="s">
        <v>427</v>
      </c>
      <c r="B53" s="91"/>
      <c r="C53" s="91"/>
      <c r="D53" s="91"/>
      <c r="E53" s="91"/>
      <c r="F53" s="91"/>
      <c r="G53" s="92"/>
    </row>
    <row r="54" spans="1:7">
      <c r="A54" s="98" t="s">
        <v>507</v>
      </c>
      <c r="B54" s="91"/>
      <c r="C54" s="91"/>
      <c r="D54" s="91"/>
      <c r="E54" s="91"/>
      <c r="F54" s="91"/>
      <c r="G54" s="92"/>
    </row>
    <row r="55" spans="1:7" ht="30">
      <c r="A55" s="79" t="s">
        <v>0</v>
      </c>
      <c r="B55" s="79" t="s">
        <v>1</v>
      </c>
      <c r="C55" s="79" t="s">
        <v>207</v>
      </c>
      <c r="D55" s="79" t="s">
        <v>3</v>
      </c>
      <c r="E55" s="79" t="s">
        <v>2</v>
      </c>
      <c r="F55" s="79" t="s">
        <v>417</v>
      </c>
      <c r="G55" s="79" t="s">
        <v>418</v>
      </c>
    </row>
    <row r="56" spans="1:7">
      <c r="A56" s="8" t="s">
        <v>4</v>
      </c>
      <c r="B56" s="1" t="s">
        <v>5</v>
      </c>
      <c r="C56" s="8"/>
      <c r="D56" s="9"/>
      <c r="E56" s="19"/>
      <c r="F56" s="2"/>
      <c r="G56" s="2"/>
    </row>
    <row r="57" spans="1:7">
      <c r="A57" s="8">
        <v>1</v>
      </c>
      <c r="B57" s="1" t="s">
        <v>6</v>
      </c>
      <c r="C57" s="8" t="s">
        <v>7</v>
      </c>
      <c r="D57" s="9" t="s">
        <v>8</v>
      </c>
      <c r="E57" s="10" t="s">
        <v>9</v>
      </c>
      <c r="F57" s="83">
        <f>VLOOKUP(B57,'HSD UPAH,BAHAN,ALAT'!$C$6:F357,4,FALSE)</f>
        <v>100000</v>
      </c>
      <c r="G57" s="84">
        <f t="shared" ref="G57:G59" si="4">E57*F57</f>
        <v>1430</v>
      </c>
    </row>
    <row r="58" spans="1:7">
      <c r="A58" s="8">
        <v>2</v>
      </c>
      <c r="B58" s="1" t="s">
        <v>10</v>
      </c>
      <c r="C58" s="8" t="s">
        <v>11</v>
      </c>
      <c r="D58" s="9" t="s">
        <v>8</v>
      </c>
      <c r="E58" s="10" t="s">
        <v>12</v>
      </c>
      <c r="F58" s="83">
        <f>VLOOKUP(B58,'HSD UPAH,BAHAN,ALAT'!$C$6:F358,4,FALSE)</f>
        <v>120000</v>
      </c>
      <c r="G58" s="84">
        <f t="shared" si="4"/>
        <v>576</v>
      </c>
    </row>
    <row r="59" spans="1:7">
      <c r="A59" s="8">
        <v>3</v>
      </c>
      <c r="B59" s="1" t="s">
        <v>13</v>
      </c>
      <c r="C59" s="8" t="s">
        <v>14</v>
      </c>
      <c r="D59" s="9" t="s">
        <v>8</v>
      </c>
      <c r="E59" s="10" t="s">
        <v>15</v>
      </c>
      <c r="F59" s="83">
        <f>VLOOKUP(B59,'HSD UPAH,BAHAN,ALAT'!$C$6:F359,4,FALSE)</f>
        <v>100000</v>
      </c>
      <c r="G59" s="84">
        <f t="shared" si="4"/>
        <v>160</v>
      </c>
    </row>
    <row r="60" spans="1:7">
      <c r="A60" s="261" t="s">
        <v>420</v>
      </c>
      <c r="B60" s="261"/>
      <c r="C60" s="261"/>
      <c r="D60" s="261"/>
      <c r="E60" s="261"/>
      <c r="F60" s="261"/>
      <c r="G60" s="85">
        <f>SUM(G56:G59)</f>
        <v>2166</v>
      </c>
    </row>
    <row r="61" spans="1:7">
      <c r="A61" s="8" t="s">
        <v>16</v>
      </c>
      <c r="B61" s="1" t="s">
        <v>17</v>
      </c>
      <c r="C61" s="8"/>
      <c r="D61" s="9"/>
      <c r="E61" s="19"/>
      <c r="F61" s="2"/>
      <c r="G61" s="2"/>
    </row>
    <row r="62" spans="1:7" ht="45">
      <c r="A62" s="17" t="s">
        <v>208</v>
      </c>
      <c r="B62" s="5" t="s">
        <v>230</v>
      </c>
      <c r="C62" s="8"/>
      <c r="D62" s="12" t="s">
        <v>86</v>
      </c>
      <c r="E62" s="7" t="s">
        <v>87</v>
      </c>
      <c r="F62" s="83">
        <f>VLOOKUP(B62,'HSD UPAH,BAHAN,ALAT'!$C$6:F362,4,FALSE)</f>
        <v>10000</v>
      </c>
      <c r="G62" s="84">
        <f t="shared" ref="G62:G70" si="5">E62*F62</f>
        <v>10500</v>
      </c>
    </row>
    <row r="63" spans="1:7">
      <c r="A63" s="8">
        <v>2</v>
      </c>
      <c r="B63" s="1" t="s">
        <v>18</v>
      </c>
      <c r="C63" s="8"/>
      <c r="D63" s="9" t="s">
        <v>19</v>
      </c>
      <c r="E63" s="10" t="s">
        <v>20</v>
      </c>
      <c r="F63" s="83">
        <f>VLOOKUP(B63,'HSD UPAH,BAHAN,ALAT'!$C$6:F363,4,FALSE)</f>
        <v>10000</v>
      </c>
      <c r="G63" s="84">
        <f t="shared" si="5"/>
        <v>50</v>
      </c>
    </row>
    <row r="64" spans="1:7">
      <c r="A64" s="8">
        <v>3</v>
      </c>
      <c r="B64" s="1" t="s">
        <v>21</v>
      </c>
      <c r="C64" s="8"/>
      <c r="D64" s="9"/>
      <c r="E64" s="19"/>
      <c r="F64" s="83"/>
      <c r="G64" s="84">
        <f t="shared" si="5"/>
        <v>0</v>
      </c>
    </row>
    <row r="65" spans="1:7">
      <c r="A65" s="8" t="s">
        <v>22</v>
      </c>
      <c r="B65" s="1" t="s">
        <v>23</v>
      </c>
      <c r="C65" s="8"/>
      <c r="D65" s="9" t="s">
        <v>24</v>
      </c>
      <c r="E65" s="10" t="s">
        <v>25</v>
      </c>
      <c r="F65" s="83">
        <f>VLOOKUP(B65,'HSD UPAH,BAHAN,ALAT'!$C$6:F365,4,FALSE)</f>
        <v>10000</v>
      </c>
      <c r="G65" s="84">
        <f t="shared" si="5"/>
        <v>60000</v>
      </c>
    </row>
    <row r="66" spans="1:7" ht="30">
      <c r="A66" s="17" t="s">
        <v>30</v>
      </c>
      <c r="B66" s="5" t="s">
        <v>210</v>
      </c>
      <c r="C66" s="8"/>
      <c r="D66" s="12" t="s">
        <v>24</v>
      </c>
      <c r="E66" s="7" t="s">
        <v>57</v>
      </c>
      <c r="F66" s="83">
        <f>VLOOKUP(B66,'HSD UPAH,BAHAN,ALAT'!$C$6:F366,4,FALSE)</f>
        <v>10000</v>
      </c>
      <c r="G66" s="84">
        <f t="shared" si="5"/>
        <v>100000</v>
      </c>
    </row>
    <row r="67" spans="1:7">
      <c r="A67" s="8">
        <v>4</v>
      </c>
      <c r="B67" s="1" t="s">
        <v>26</v>
      </c>
      <c r="C67" s="8"/>
      <c r="D67" s="9"/>
      <c r="E67" s="19"/>
      <c r="F67" s="83"/>
      <c r="G67" s="84">
        <f t="shared" si="5"/>
        <v>0</v>
      </c>
    </row>
    <row r="68" spans="1:7">
      <c r="A68" s="8" t="s">
        <v>22</v>
      </c>
      <c r="B68" s="1" t="s">
        <v>27</v>
      </c>
      <c r="C68" s="8"/>
      <c r="D68" s="9" t="s">
        <v>28</v>
      </c>
      <c r="E68" s="10" t="s">
        <v>29</v>
      </c>
      <c r="F68" s="83">
        <f>VLOOKUP(B68,'HSD UPAH,BAHAN,ALAT'!$C$6:F368,4,FALSE)</f>
        <v>10000</v>
      </c>
      <c r="G68" s="84">
        <f t="shared" si="5"/>
        <v>146</v>
      </c>
    </row>
    <row r="69" spans="1:7">
      <c r="A69" s="8" t="s">
        <v>30</v>
      </c>
      <c r="B69" s="1" t="s">
        <v>31</v>
      </c>
      <c r="C69" s="8"/>
      <c r="D69" s="9" t="s">
        <v>28</v>
      </c>
      <c r="E69" s="10" t="s">
        <v>32</v>
      </c>
      <c r="F69" s="83">
        <f>VLOOKUP(B69,'HSD UPAH,BAHAN,ALAT'!$C$6:F369,4,FALSE)</f>
        <v>10000</v>
      </c>
      <c r="G69" s="84">
        <f t="shared" si="5"/>
        <v>39</v>
      </c>
    </row>
    <row r="70" spans="1:7">
      <c r="A70" s="8" t="s">
        <v>33</v>
      </c>
      <c r="B70" s="1" t="s">
        <v>34</v>
      </c>
      <c r="C70" s="8"/>
      <c r="D70" s="9" t="s">
        <v>28</v>
      </c>
      <c r="E70" s="10" t="s">
        <v>35</v>
      </c>
      <c r="F70" s="83">
        <f>VLOOKUP(B70,'HSD UPAH,BAHAN,ALAT'!$C$6:F370,4,FALSE)</f>
        <v>10000</v>
      </c>
      <c r="G70" s="84">
        <f t="shared" si="5"/>
        <v>10</v>
      </c>
    </row>
    <row r="71" spans="1:7">
      <c r="A71" s="261" t="s">
        <v>421</v>
      </c>
      <c r="B71" s="261"/>
      <c r="C71" s="261"/>
      <c r="D71" s="261"/>
      <c r="E71" s="261"/>
      <c r="F71" s="261"/>
      <c r="G71" s="85">
        <f>SUM(G62:G70)</f>
        <v>170745</v>
      </c>
    </row>
    <row r="72" spans="1:7">
      <c r="A72" s="8" t="s">
        <v>36</v>
      </c>
      <c r="B72" s="1" t="s">
        <v>37</v>
      </c>
      <c r="C72" s="8"/>
      <c r="D72" s="9"/>
      <c r="E72" s="19"/>
      <c r="F72" s="2"/>
      <c r="G72" s="2"/>
    </row>
    <row r="73" spans="1:7">
      <c r="A73" s="263" t="s">
        <v>419</v>
      </c>
      <c r="B73" s="263"/>
      <c r="C73" s="263"/>
      <c r="D73" s="263"/>
      <c r="E73" s="263"/>
      <c r="F73" s="263"/>
      <c r="G73" s="80">
        <f>SUM(G72)</f>
        <v>0</v>
      </c>
    </row>
    <row r="74" spans="1:7">
      <c r="A74" s="81" t="s">
        <v>38</v>
      </c>
      <c r="B74" s="262" t="s">
        <v>39</v>
      </c>
      <c r="C74" s="262"/>
      <c r="D74" s="262"/>
      <c r="E74" s="262"/>
      <c r="F74" s="262"/>
      <c r="G74" s="80">
        <f>SUM(G56:G73)/2</f>
        <v>172911</v>
      </c>
    </row>
    <row r="75" spans="1:7">
      <c r="A75" s="81" t="s">
        <v>40</v>
      </c>
      <c r="B75" s="262" t="s">
        <v>180</v>
      </c>
      <c r="C75" s="262"/>
      <c r="D75" s="262"/>
      <c r="E75" s="262"/>
      <c r="F75" s="82">
        <v>0.1</v>
      </c>
      <c r="G75" s="80">
        <f>G74*F75</f>
        <v>17291.100000000002</v>
      </c>
    </row>
    <row r="76" spans="1:7">
      <c r="A76" s="81" t="s">
        <v>41</v>
      </c>
      <c r="B76" s="262" t="s">
        <v>42</v>
      </c>
      <c r="C76" s="262"/>
      <c r="D76" s="262"/>
      <c r="E76" s="262"/>
      <c r="F76" s="262"/>
      <c r="G76" s="80">
        <f>G74+G75</f>
        <v>190202.1</v>
      </c>
    </row>
    <row r="77" spans="1:7">
      <c r="A77" s="90"/>
      <c r="B77" s="91"/>
      <c r="C77" s="91"/>
      <c r="D77" s="91"/>
      <c r="E77" s="91"/>
      <c r="F77" s="91"/>
      <c r="G77" s="92"/>
    </row>
    <row r="78" spans="1:7">
      <c r="A78" s="4" t="s">
        <v>498</v>
      </c>
      <c r="B78" s="91"/>
      <c r="C78" s="91"/>
      <c r="D78" s="91"/>
      <c r="E78" s="91"/>
      <c r="F78" s="91"/>
      <c r="G78" s="92"/>
    </row>
    <row r="79" spans="1:7">
      <c r="A79" s="98" t="s">
        <v>508</v>
      </c>
      <c r="B79" s="91"/>
      <c r="C79" s="91"/>
      <c r="D79" s="91"/>
      <c r="E79" s="91"/>
      <c r="F79" s="91"/>
      <c r="G79" s="92"/>
    </row>
    <row r="80" spans="1:7" ht="30">
      <c r="A80" s="79" t="s">
        <v>0</v>
      </c>
      <c r="B80" s="79" t="s">
        <v>1</v>
      </c>
      <c r="C80" s="79" t="s">
        <v>207</v>
      </c>
      <c r="D80" s="79" t="s">
        <v>3</v>
      </c>
      <c r="E80" s="79" t="s">
        <v>2</v>
      </c>
      <c r="F80" s="79" t="s">
        <v>417</v>
      </c>
      <c r="G80" s="79" t="s">
        <v>418</v>
      </c>
    </row>
    <row r="81" spans="1:7">
      <c r="A81" s="8" t="s">
        <v>4</v>
      </c>
      <c r="B81" s="1" t="s">
        <v>5</v>
      </c>
      <c r="C81" s="8"/>
      <c r="D81" s="9"/>
      <c r="E81" s="19"/>
      <c r="F81" s="2"/>
      <c r="G81" s="2"/>
    </row>
    <row r="82" spans="1:7">
      <c r="A82" s="8">
        <v>1</v>
      </c>
      <c r="B82" s="1" t="s">
        <v>6</v>
      </c>
      <c r="C82" s="8" t="s">
        <v>7</v>
      </c>
      <c r="D82" s="9" t="s">
        <v>8</v>
      </c>
      <c r="E82" s="10" t="s">
        <v>9</v>
      </c>
      <c r="F82" s="83">
        <f>VLOOKUP(B82,'HSD UPAH,BAHAN,ALAT'!$C$6:F379,4,FALSE)</f>
        <v>100000</v>
      </c>
      <c r="G82" s="84">
        <f t="shared" ref="G82:G84" si="6">E82*F82</f>
        <v>1430</v>
      </c>
    </row>
    <row r="83" spans="1:7">
      <c r="A83" s="8">
        <v>2</v>
      </c>
      <c r="B83" s="1" t="s">
        <v>10</v>
      </c>
      <c r="C83" s="8" t="s">
        <v>11</v>
      </c>
      <c r="D83" s="9" t="s">
        <v>8</v>
      </c>
      <c r="E83" s="10" t="s">
        <v>12</v>
      </c>
      <c r="F83" s="83">
        <f>VLOOKUP(B83,'HSD UPAH,BAHAN,ALAT'!$C$6:F380,4,FALSE)</f>
        <v>120000</v>
      </c>
      <c r="G83" s="84">
        <f t="shared" si="6"/>
        <v>576</v>
      </c>
    </row>
    <row r="84" spans="1:7">
      <c r="A84" s="8">
        <v>3</v>
      </c>
      <c r="B84" s="1" t="s">
        <v>13</v>
      </c>
      <c r="C84" s="8" t="s">
        <v>14</v>
      </c>
      <c r="D84" s="9" t="s">
        <v>8</v>
      </c>
      <c r="E84" s="10" t="s">
        <v>15</v>
      </c>
      <c r="F84" s="83">
        <f>VLOOKUP(B84,'HSD UPAH,BAHAN,ALAT'!$C$6:F381,4,FALSE)</f>
        <v>100000</v>
      </c>
      <c r="G84" s="84">
        <f t="shared" si="6"/>
        <v>160</v>
      </c>
    </row>
    <row r="85" spans="1:7">
      <c r="A85" s="261" t="s">
        <v>420</v>
      </c>
      <c r="B85" s="261"/>
      <c r="C85" s="261"/>
      <c r="D85" s="261"/>
      <c r="E85" s="261"/>
      <c r="F85" s="261"/>
      <c r="G85" s="85">
        <f>SUM(G81:G84)</f>
        <v>2166</v>
      </c>
    </row>
    <row r="86" spans="1:7">
      <c r="A86" s="8" t="s">
        <v>16</v>
      </c>
      <c r="B86" s="1" t="s">
        <v>17</v>
      </c>
      <c r="C86" s="8"/>
      <c r="D86" s="9"/>
      <c r="E86" s="19"/>
      <c r="F86" s="2"/>
      <c r="G86" s="2"/>
    </row>
    <row r="87" spans="1:7" ht="45">
      <c r="A87" s="17" t="s">
        <v>208</v>
      </c>
      <c r="B87" s="5" t="s">
        <v>231</v>
      </c>
      <c r="C87" s="8"/>
      <c r="D87" s="12" t="s">
        <v>86</v>
      </c>
      <c r="E87" s="7" t="s">
        <v>87</v>
      </c>
      <c r="F87" s="83">
        <f>VLOOKUP(B87,'HSD UPAH,BAHAN,ALAT'!$C$6:F384,4,FALSE)</f>
        <v>10000</v>
      </c>
      <c r="G87" s="84">
        <f t="shared" ref="G87:G95" si="7">E87*F87</f>
        <v>10500</v>
      </c>
    </row>
    <row r="88" spans="1:7">
      <c r="A88" s="8">
        <v>2</v>
      </c>
      <c r="B88" s="1" t="s">
        <v>18</v>
      </c>
      <c r="C88" s="8"/>
      <c r="D88" s="9" t="s">
        <v>19</v>
      </c>
      <c r="E88" s="10" t="s">
        <v>20</v>
      </c>
      <c r="F88" s="83">
        <f>VLOOKUP(B88,'HSD UPAH,BAHAN,ALAT'!$C$6:F385,4,FALSE)</f>
        <v>10000</v>
      </c>
      <c r="G88" s="84">
        <f t="shared" si="7"/>
        <v>50</v>
      </c>
    </row>
    <row r="89" spans="1:7">
      <c r="A89" s="8">
        <v>3</v>
      </c>
      <c r="B89" s="1" t="s">
        <v>21</v>
      </c>
      <c r="C89" s="8"/>
      <c r="D89" s="9"/>
      <c r="E89" s="19"/>
      <c r="F89" s="83"/>
      <c r="G89" s="84">
        <f t="shared" si="7"/>
        <v>0</v>
      </c>
    </row>
    <row r="90" spans="1:7">
      <c r="A90" s="8" t="s">
        <v>22</v>
      </c>
      <c r="B90" s="1" t="s">
        <v>23</v>
      </c>
      <c r="C90" s="8"/>
      <c r="D90" s="9" t="s">
        <v>24</v>
      </c>
      <c r="E90" s="10" t="s">
        <v>25</v>
      </c>
      <c r="F90" s="83">
        <f>VLOOKUP(B90,'HSD UPAH,BAHAN,ALAT'!$C$6:F387,4,FALSE)</f>
        <v>10000</v>
      </c>
      <c r="G90" s="84">
        <f t="shared" si="7"/>
        <v>60000</v>
      </c>
    </row>
    <row r="91" spans="1:7" ht="30">
      <c r="A91" s="17" t="s">
        <v>30</v>
      </c>
      <c r="B91" s="5" t="s">
        <v>210</v>
      </c>
      <c r="C91" s="8"/>
      <c r="D91" s="12" t="s">
        <v>24</v>
      </c>
      <c r="E91" s="7" t="s">
        <v>57</v>
      </c>
      <c r="F91" s="83">
        <f>VLOOKUP(B91,'HSD UPAH,BAHAN,ALAT'!$C$6:F388,4,FALSE)</f>
        <v>10000</v>
      </c>
      <c r="G91" s="84">
        <f t="shared" si="7"/>
        <v>100000</v>
      </c>
    </row>
    <row r="92" spans="1:7">
      <c r="A92" s="8">
        <v>4</v>
      </c>
      <c r="B92" s="1" t="s">
        <v>26</v>
      </c>
      <c r="C92" s="8"/>
      <c r="D92" s="9"/>
      <c r="E92" s="19"/>
      <c r="F92" s="83"/>
      <c r="G92" s="84">
        <f t="shared" si="7"/>
        <v>0</v>
      </c>
    </row>
    <row r="93" spans="1:7">
      <c r="A93" s="8" t="s">
        <v>22</v>
      </c>
      <c r="B93" s="1" t="s">
        <v>27</v>
      </c>
      <c r="C93" s="8"/>
      <c r="D93" s="9" t="s">
        <v>28</v>
      </c>
      <c r="E93" s="10" t="s">
        <v>29</v>
      </c>
      <c r="F93" s="83">
        <f>VLOOKUP(B93,'HSD UPAH,BAHAN,ALAT'!$C$6:F390,4,FALSE)</f>
        <v>10000</v>
      </c>
      <c r="G93" s="84">
        <f t="shared" si="7"/>
        <v>146</v>
      </c>
    </row>
    <row r="94" spans="1:7">
      <c r="A94" s="8" t="s">
        <v>30</v>
      </c>
      <c r="B94" s="1" t="s">
        <v>31</v>
      </c>
      <c r="C94" s="8"/>
      <c r="D94" s="9" t="s">
        <v>28</v>
      </c>
      <c r="E94" s="10" t="s">
        <v>32</v>
      </c>
      <c r="F94" s="83">
        <f>VLOOKUP(B94,'HSD UPAH,BAHAN,ALAT'!$C$6:F391,4,FALSE)</f>
        <v>10000</v>
      </c>
      <c r="G94" s="84">
        <f t="shared" si="7"/>
        <v>39</v>
      </c>
    </row>
    <row r="95" spans="1:7">
      <c r="A95" s="8" t="s">
        <v>33</v>
      </c>
      <c r="B95" s="1" t="s">
        <v>34</v>
      </c>
      <c r="C95" s="8"/>
      <c r="D95" s="9" t="s">
        <v>28</v>
      </c>
      <c r="E95" s="10" t="s">
        <v>35</v>
      </c>
      <c r="F95" s="83">
        <f>VLOOKUP(B95,'HSD UPAH,BAHAN,ALAT'!$C$6:F392,4,FALSE)</f>
        <v>10000</v>
      </c>
      <c r="G95" s="84">
        <f t="shared" si="7"/>
        <v>10</v>
      </c>
    </row>
    <row r="96" spans="1:7">
      <c r="A96" s="261" t="s">
        <v>421</v>
      </c>
      <c r="B96" s="261"/>
      <c r="C96" s="261"/>
      <c r="D96" s="261"/>
      <c r="E96" s="261"/>
      <c r="F96" s="261"/>
      <c r="G96" s="85">
        <f>SUM(G87:G95)</f>
        <v>170745</v>
      </c>
    </row>
    <row r="97" spans="1:7">
      <c r="A97" s="8" t="s">
        <v>36</v>
      </c>
      <c r="B97" s="1" t="s">
        <v>37</v>
      </c>
      <c r="C97" s="8"/>
      <c r="D97" s="9"/>
      <c r="E97" s="19"/>
      <c r="F97" s="2"/>
      <c r="G97" s="2"/>
    </row>
    <row r="98" spans="1:7">
      <c r="A98" s="263" t="s">
        <v>419</v>
      </c>
      <c r="B98" s="263"/>
      <c r="C98" s="263"/>
      <c r="D98" s="263"/>
      <c r="E98" s="263"/>
      <c r="F98" s="263"/>
      <c r="G98" s="80">
        <f>SUM(G97)</f>
        <v>0</v>
      </c>
    </row>
    <row r="99" spans="1:7">
      <c r="A99" s="81" t="s">
        <v>38</v>
      </c>
      <c r="B99" s="262" t="s">
        <v>39</v>
      </c>
      <c r="C99" s="262"/>
      <c r="D99" s="262"/>
      <c r="E99" s="262"/>
      <c r="F99" s="262"/>
      <c r="G99" s="80">
        <f>SUM(G81:G98)/2</f>
        <v>172911</v>
      </c>
    </row>
    <row r="100" spans="1:7">
      <c r="A100" s="81" t="s">
        <v>40</v>
      </c>
      <c r="B100" s="262" t="s">
        <v>180</v>
      </c>
      <c r="C100" s="262"/>
      <c r="D100" s="262"/>
      <c r="E100" s="262"/>
      <c r="F100" s="82">
        <v>0.1</v>
      </c>
      <c r="G100" s="80">
        <f>G99*F100</f>
        <v>17291.100000000002</v>
      </c>
    </row>
    <row r="101" spans="1:7">
      <c r="A101" s="81" t="s">
        <v>41</v>
      </c>
      <c r="B101" s="262" t="s">
        <v>42</v>
      </c>
      <c r="C101" s="262"/>
      <c r="D101" s="262"/>
      <c r="E101" s="262"/>
      <c r="F101" s="262"/>
      <c r="G101" s="80">
        <f>G99+G100</f>
        <v>190202.1</v>
      </c>
    </row>
    <row r="102" spans="1:7">
      <c r="A102" s="90"/>
      <c r="B102" s="91"/>
      <c r="C102" s="91"/>
      <c r="D102" s="91"/>
      <c r="E102" s="91"/>
      <c r="F102" s="91"/>
      <c r="G102" s="92"/>
    </row>
    <row r="103" spans="1:7">
      <c r="A103" s="4" t="s">
        <v>499</v>
      </c>
      <c r="B103" s="91"/>
      <c r="C103" s="91"/>
      <c r="D103" s="91"/>
      <c r="E103" s="91"/>
      <c r="F103" s="91"/>
      <c r="G103" s="92"/>
    </row>
    <row r="104" spans="1:7">
      <c r="A104" s="98" t="s">
        <v>500</v>
      </c>
      <c r="B104" s="91"/>
      <c r="C104" s="91"/>
      <c r="D104" s="91"/>
      <c r="E104" s="91"/>
      <c r="F104" s="91"/>
      <c r="G104" s="92"/>
    </row>
    <row r="105" spans="1:7" ht="30">
      <c r="A105" s="79" t="s">
        <v>0</v>
      </c>
      <c r="B105" s="79" t="s">
        <v>1</v>
      </c>
      <c r="C105" s="79" t="s">
        <v>207</v>
      </c>
      <c r="D105" s="79" t="s">
        <v>3</v>
      </c>
      <c r="E105" s="79" t="s">
        <v>2</v>
      </c>
      <c r="F105" s="79" t="s">
        <v>417</v>
      </c>
      <c r="G105" s="79" t="s">
        <v>418</v>
      </c>
    </row>
    <row r="106" spans="1:7">
      <c r="A106" s="8" t="s">
        <v>4</v>
      </c>
      <c r="B106" s="1" t="s">
        <v>5</v>
      </c>
      <c r="C106" s="8"/>
      <c r="D106" s="9"/>
      <c r="E106" s="19"/>
      <c r="F106" s="2"/>
      <c r="G106" s="2"/>
    </row>
    <row r="107" spans="1:7">
      <c r="A107" s="8">
        <v>1</v>
      </c>
      <c r="B107" s="1" t="s">
        <v>6</v>
      </c>
      <c r="C107" s="8" t="s">
        <v>7</v>
      </c>
      <c r="D107" s="9" t="s">
        <v>8</v>
      </c>
      <c r="E107" s="10" t="s">
        <v>9</v>
      </c>
      <c r="F107" s="83">
        <f>VLOOKUP(B107,'HSD UPAH,BAHAN,ALAT'!$C$6:F401,4,FALSE)</f>
        <v>100000</v>
      </c>
      <c r="G107" s="84">
        <f t="shared" ref="G107:G109" si="8">E107*F107</f>
        <v>1430</v>
      </c>
    </row>
    <row r="108" spans="1:7">
      <c r="A108" s="8">
        <v>2</v>
      </c>
      <c r="B108" s="1" t="s">
        <v>10</v>
      </c>
      <c r="C108" s="8" t="s">
        <v>11</v>
      </c>
      <c r="D108" s="9" t="s">
        <v>8</v>
      </c>
      <c r="E108" s="10" t="s">
        <v>12</v>
      </c>
      <c r="F108" s="83">
        <f>VLOOKUP(B108,'HSD UPAH,BAHAN,ALAT'!$C$6:F402,4,FALSE)</f>
        <v>120000</v>
      </c>
      <c r="G108" s="84">
        <f t="shared" si="8"/>
        <v>576</v>
      </c>
    </row>
    <row r="109" spans="1:7">
      <c r="A109" s="8">
        <v>3</v>
      </c>
      <c r="B109" s="1" t="s">
        <v>13</v>
      </c>
      <c r="C109" s="8" t="s">
        <v>14</v>
      </c>
      <c r="D109" s="9" t="s">
        <v>8</v>
      </c>
      <c r="E109" s="10" t="s">
        <v>15</v>
      </c>
      <c r="F109" s="83">
        <f>VLOOKUP(B109,'HSD UPAH,BAHAN,ALAT'!$C$6:F403,4,FALSE)</f>
        <v>100000</v>
      </c>
      <c r="G109" s="84">
        <f t="shared" si="8"/>
        <v>160</v>
      </c>
    </row>
    <row r="110" spans="1:7">
      <c r="A110" s="261" t="s">
        <v>420</v>
      </c>
      <c r="B110" s="261"/>
      <c r="C110" s="261"/>
      <c r="D110" s="261"/>
      <c r="E110" s="261"/>
      <c r="F110" s="261"/>
      <c r="G110" s="85">
        <f>SUM(G106:G109)</f>
        <v>2166</v>
      </c>
    </row>
    <row r="111" spans="1:7">
      <c r="A111" s="8" t="s">
        <v>16</v>
      </c>
      <c r="B111" s="1" t="s">
        <v>17</v>
      </c>
      <c r="C111" s="8"/>
      <c r="D111" s="9"/>
      <c r="E111" s="19"/>
      <c r="F111" s="2"/>
      <c r="G111" s="2"/>
    </row>
    <row r="112" spans="1:7" ht="30">
      <c r="A112" s="17" t="s">
        <v>208</v>
      </c>
      <c r="B112" s="5" t="s">
        <v>232</v>
      </c>
      <c r="C112" s="8"/>
      <c r="D112" s="12" t="s">
        <v>86</v>
      </c>
      <c r="E112" s="7" t="s">
        <v>87</v>
      </c>
      <c r="F112" s="83">
        <f>VLOOKUP(B112,'HSD UPAH,BAHAN,ALAT'!$C$6:F406,4,FALSE)</f>
        <v>10000</v>
      </c>
      <c r="G112" s="84">
        <f t="shared" ref="G112:G120" si="9">E112*F112</f>
        <v>10500</v>
      </c>
    </row>
    <row r="113" spans="1:7">
      <c r="A113" s="8">
        <v>2</v>
      </c>
      <c r="B113" s="1" t="s">
        <v>18</v>
      </c>
      <c r="C113" s="8"/>
      <c r="D113" s="9" t="s">
        <v>19</v>
      </c>
      <c r="E113" s="10" t="s">
        <v>20</v>
      </c>
      <c r="F113" s="83">
        <f>VLOOKUP(B113,'HSD UPAH,BAHAN,ALAT'!$C$6:F407,4,FALSE)</f>
        <v>10000</v>
      </c>
      <c r="G113" s="84">
        <f t="shared" si="9"/>
        <v>50</v>
      </c>
    </row>
    <row r="114" spans="1:7">
      <c r="A114" s="8">
        <v>3</v>
      </c>
      <c r="B114" s="1" t="s">
        <v>21</v>
      </c>
      <c r="C114" s="8"/>
      <c r="D114" s="9"/>
      <c r="E114" s="19"/>
      <c r="F114" s="83"/>
      <c r="G114" s="84">
        <f t="shared" si="9"/>
        <v>0</v>
      </c>
    </row>
    <row r="115" spans="1:7">
      <c r="A115" s="8" t="s">
        <v>22</v>
      </c>
      <c r="B115" s="1" t="s">
        <v>23</v>
      </c>
      <c r="C115" s="8"/>
      <c r="D115" s="9" t="s">
        <v>24</v>
      </c>
      <c r="E115" s="10" t="s">
        <v>25</v>
      </c>
      <c r="F115" s="83">
        <f>VLOOKUP(B115,'HSD UPAH,BAHAN,ALAT'!$C$6:F409,4,FALSE)</f>
        <v>10000</v>
      </c>
      <c r="G115" s="84">
        <f t="shared" si="9"/>
        <v>60000</v>
      </c>
    </row>
    <row r="116" spans="1:7">
      <c r="A116" s="17" t="s">
        <v>30</v>
      </c>
      <c r="B116" s="1" t="s">
        <v>209</v>
      </c>
      <c r="C116" s="8"/>
      <c r="D116" s="12" t="s">
        <v>24</v>
      </c>
      <c r="E116" s="7" t="s">
        <v>57</v>
      </c>
      <c r="F116" s="83">
        <f>VLOOKUP(B116,'HSD UPAH,BAHAN,ALAT'!$C$6:F410,4,FALSE)</f>
        <v>10000</v>
      </c>
      <c r="G116" s="84">
        <f t="shared" si="9"/>
        <v>100000</v>
      </c>
    </row>
    <row r="117" spans="1:7">
      <c r="A117" s="8">
        <v>4</v>
      </c>
      <c r="B117" s="1" t="s">
        <v>26</v>
      </c>
      <c r="C117" s="8"/>
      <c r="D117" s="9"/>
      <c r="E117" s="19"/>
      <c r="F117" s="83"/>
      <c r="G117" s="84">
        <f t="shared" si="9"/>
        <v>0</v>
      </c>
    </row>
    <row r="118" spans="1:7">
      <c r="A118" s="8" t="s">
        <v>22</v>
      </c>
      <c r="B118" s="1" t="s">
        <v>27</v>
      </c>
      <c r="C118" s="8"/>
      <c r="D118" s="9" t="s">
        <v>28</v>
      </c>
      <c r="E118" s="10" t="s">
        <v>29</v>
      </c>
      <c r="F118" s="83">
        <f>VLOOKUP(B118,'HSD UPAH,BAHAN,ALAT'!$C$6:F412,4,FALSE)</f>
        <v>10000</v>
      </c>
      <c r="G118" s="84">
        <f t="shared" si="9"/>
        <v>146</v>
      </c>
    </row>
    <row r="119" spans="1:7">
      <c r="A119" s="8" t="s">
        <v>30</v>
      </c>
      <c r="B119" s="1" t="s">
        <v>31</v>
      </c>
      <c r="C119" s="8"/>
      <c r="D119" s="9" t="s">
        <v>28</v>
      </c>
      <c r="E119" s="10" t="s">
        <v>32</v>
      </c>
      <c r="F119" s="83">
        <f>VLOOKUP(B119,'HSD UPAH,BAHAN,ALAT'!$C$6:F413,4,FALSE)</f>
        <v>10000</v>
      </c>
      <c r="G119" s="84">
        <f t="shared" si="9"/>
        <v>39</v>
      </c>
    </row>
    <row r="120" spans="1:7">
      <c r="A120" s="8" t="s">
        <v>33</v>
      </c>
      <c r="B120" s="1" t="s">
        <v>34</v>
      </c>
      <c r="C120" s="8"/>
      <c r="D120" s="9" t="s">
        <v>28</v>
      </c>
      <c r="E120" s="10" t="s">
        <v>35</v>
      </c>
      <c r="F120" s="83">
        <f>VLOOKUP(B120,'HSD UPAH,BAHAN,ALAT'!$C$6:F414,4,FALSE)</f>
        <v>10000</v>
      </c>
      <c r="G120" s="84">
        <f t="shared" si="9"/>
        <v>10</v>
      </c>
    </row>
    <row r="121" spans="1:7">
      <c r="A121" s="261" t="s">
        <v>421</v>
      </c>
      <c r="B121" s="261"/>
      <c r="C121" s="261"/>
      <c r="D121" s="261"/>
      <c r="E121" s="261"/>
      <c r="F121" s="261"/>
      <c r="G121" s="85">
        <f>SUM(G112:G120)</f>
        <v>170745</v>
      </c>
    </row>
    <row r="122" spans="1:7">
      <c r="A122" s="8" t="s">
        <v>36</v>
      </c>
      <c r="B122" s="1" t="s">
        <v>37</v>
      </c>
      <c r="C122" s="8"/>
      <c r="D122" s="9"/>
      <c r="E122" s="19"/>
      <c r="F122" s="2"/>
      <c r="G122" s="2"/>
    </row>
    <row r="123" spans="1:7">
      <c r="A123" s="263" t="s">
        <v>419</v>
      </c>
      <c r="B123" s="263"/>
      <c r="C123" s="263"/>
      <c r="D123" s="263"/>
      <c r="E123" s="263"/>
      <c r="F123" s="263"/>
      <c r="G123" s="80">
        <f>SUM(G122)</f>
        <v>0</v>
      </c>
    </row>
    <row r="124" spans="1:7">
      <c r="A124" s="81" t="s">
        <v>38</v>
      </c>
      <c r="B124" s="262" t="s">
        <v>39</v>
      </c>
      <c r="C124" s="262"/>
      <c r="D124" s="262"/>
      <c r="E124" s="262"/>
      <c r="F124" s="262"/>
      <c r="G124" s="80">
        <f>SUM(G106:G123)/2</f>
        <v>172911</v>
      </c>
    </row>
    <row r="125" spans="1:7">
      <c r="A125" s="81" t="s">
        <v>40</v>
      </c>
      <c r="B125" s="262" t="s">
        <v>180</v>
      </c>
      <c r="C125" s="262"/>
      <c r="D125" s="262"/>
      <c r="E125" s="262"/>
      <c r="F125" s="82">
        <v>0.1</v>
      </c>
      <c r="G125" s="80">
        <f>G124*F125</f>
        <v>17291.100000000002</v>
      </c>
    </row>
    <row r="126" spans="1:7">
      <c r="A126" s="81" t="s">
        <v>41</v>
      </c>
      <c r="B126" s="262" t="s">
        <v>42</v>
      </c>
      <c r="C126" s="262"/>
      <c r="D126" s="262"/>
      <c r="E126" s="262"/>
      <c r="F126" s="262"/>
      <c r="G126" s="80">
        <f>G124+G125</f>
        <v>190202.1</v>
      </c>
    </row>
    <row r="127" spans="1:7">
      <c r="A127" s="90"/>
      <c r="B127" s="91"/>
      <c r="C127" s="91"/>
      <c r="D127" s="91"/>
      <c r="E127" s="91"/>
      <c r="F127" s="91"/>
      <c r="G127" s="92"/>
    </row>
    <row r="128" spans="1:7">
      <c r="A128" s="97" t="s">
        <v>501</v>
      </c>
      <c r="B128" s="91"/>
      <c r="C128" s="91"/>
      <c r="D128" s="91"/>
      <c r="E128" s="91"/>
      <c r="F128" s="91"/>
      <c r="G128" s="92"/>
    </row>
    <row r="129" spans="1:7">
      <c r="A129" s="97" t="s">
        <v>502</v>
      </c>
      <c r="B129" s="91"/>
      <c r="C129" s="91"/>
      <c r="D129" s="91"/>
      <c r="E129" s="91"/>
      <c r="F129" s="91"/>
      <c r="G129" s="92"/>
    </row>
    <row r="130" spans="1:7" ht="30">
      <c r="A130" s="79" t="s">
        <v>0</v>
      </c>
      <c r="B130" s="79" t="s">
        <v>1</v>
      </c>
      <c r="C130" s="79" t="s">
        <v>207</v>
      </c>
      <c r="D130" s="79" t="s">
        <v>3</v>
      </c>
      <c r="E130" s="79" t="s">
        <v>2</v>
      </c>
      <c r="F130" s="79" t="s">
        <v>417</v>
      </c>
      <c r="G130" s="79" t="s">
        <v>418</v>
      </c>
    </row>
    <row r="131" spans="1:7">
      <c r="A131" s="8" t="s">
        <v>4</v>
      </c>
      <c r="B131" s="1" t="s">
        <v>5</v>
      </c>
      <c r="C131" s="8"/>
      <c r="D131" s="9"/>
      <c r="E131" s="19"/>
      <c r="F131" s="2"/>
      <c r="G131" s="2"/>
    </row>
    <row r="132" spans="1:7">
      <c r="A132" s="8">
        <v>1</v>
      </c>
      <c r="B132" s="1" t="s">
        <v>6</v>
      </c>
      <c r="C132" s="8" t="s">
        <v>7</v>
      </c>
      <c r="D132" s="9" t="s">
        <v>8</v>
      </c>
      <c r="E132" s="10" t="s">
        <v>9</v>
      </c>
      <c r="F132" s="83">
        <f>VLOOKUP(B132,'HSD UPAH,BAHAN,ALAT'!$C$6:F423,4,FALSE)</f>
        <v>100000</v>
      </c>
      <c r="G132" s="84">
        <f t="shared" ref="G132:G134" si="10">E132*F132</f>
        <v>1430</v>
      </c>
    </row>
    <row r="133" spans="1:7">
      <c r="A133" s="8">
        <v>2</v>
      </c>
      <c r="B133" s="1" t="s">
        <v>10</v>
      </c>
      <c r="C133" s="8" t="s">
        <v>11</v>
      </c>
      <c r="D133" s="9" t="s">
        <v>8</v>
      </c>
      <c r="E133" s="10" t="s">
        <v>12</v>
      </c>
      <c r="F133" s="83">
        <f>VLOOKUP(B133,'HSD UPAH,BAHAN,ALAT'!$C$6:F424,4,FALSE)</f>
        <v>120000</v>
      </c>
      <c r="G133" s="84">
        <f t="shared" si="10"/>
        <v>576</v>
      </c>
    </row>
    <row r="134" spans="1:7">
      <c r="A134" s="8">
        <v>3</v>
      </c>
      <c r="B134" s="1" t="s">
        <v>13</v>
      </c>
      <c r="C134" s="8" t="s">
        <v>14</v>
      </c>
      <c r="D134" s="9" t="s">
        <v>8</v>
      </c>
      <c r="E134" s="10" t="s">
        <v>15</v>
      </c>
      <c r="F134" s="83">
        <f>VLOOKUP(B134,'HSD UPAH,BAHAN,ALAT'!$C$6:F425,4,FALSE)</f>
        <v>100000</v>
      </c>
      <c r="G134" s="84">
        <f t="shared" si="10"/>
        <v>160</v>
      </c>
    </row>
    <row r="135" spans="1:7">
      <c r="A135" s="261" t="s">
        <v>420</v>
      </c>
      <c r="B135" s="261"/>
      <c r="C135" s="261"/>
      <c r="D135" s="261"/>
      <c r="E135" s="261"/>
      <c r="F135" s="261"/>
      <c r="G135" s="85">
        <f>SUM(G131:G134)</f>
        <v>2166</v>
      </c>
    </row>
    <row r="136" spans="1:7">
      <c r="A136" s="8" t="s">
        <v>16</v>
      </c>
      <c r="B136" s="1" t="s">
        <v>17</v>
      </c>
      <c r="C136" s="8"/>
      <c r="D136" s="9"/>
      <c r="E136" s="19"/>
      <c r="F136" s="2"/>
      <c r="G136" s="2"/>
    </row>
    <row r="137" spans="1:7" ht="45">
      <c r="A137" s="17" t="s">
        <v>208</v>
      </c>
      <c r="B137" s="5" t="s">
        <v>233</v>
      </c>
      <c r="C137" s="8"/>
      <c r="D137" s="12" t="s">
        <v>86</v>
      </c>
      <c r="E137" s="7" t="s">
        <v>87</v>
      </c>
      <c r="F137" s="83">
        <f>VLOOKUP(B137,'HSD UPAH,BAHAN,ALAT'!$C$6:F428,4,FALSE)</f>
        <v>10000</v>
      </c>
      <c r="G137" s="84">
        <f t="shared" ref="G137:G145" si="11">E137*F137</f>
        <v>10500</v>
      </c>
    </row>
    <row r="138" spans="1:7">
      <c r="A138" s="8">
        <v>2</v>
      </c>
      <c r="B138" s="1" t="s">
        <v>18</v>
      </c>
      <c r="C138" s="8"/>
      <c r="D138" s="9" t="s">
        <v>19</v>
      </c>
      <c r="E138" s="10" t="s">
        <v>20</v>
      </c>
      <c r="F138" s="83">
        <f>VLOOKUP(B138,'HSD UPAH,BAHAN,ALAT'!$C$6:F429,4,FALSE)</f>
        <v>10000</v>
      </c>
      <c r="G138" s="84">
        <f t="shared" si="11"/>
        <v>50</v>
      </c>
    </row>
    <row r="139" spans="1:7">
      <c r="A139" s="8">
        <v>3</v>
      </c>
      <c r="B139" s="1" t="s">
        <v>21</v>
      </c>
      <c r="C139" s="8"/>
      <c r="D139" s="9"/>
      <c r="E139" s="19"/>
      <c r="F139" s="83"/>
      <c r="G139" s="84">
        <f t="shared" si="11"/>
        <v>0</v>
      </c>
    </row>
    <row r="140" spans="1:7">
      <c r="A140" s="8" t="s">
        <v>22</v>
      </c>
      <c r="B140" s="1" t="s">
        <v>23</v>
      </c>
      <c r="C140" s="8"/>
      <c r="D140" s="9" t="s">
        <v>24</v>
      </c>
      <c r="E140" s="10" t="s">
        <v>25</v>
      </c>
      <c r="F140" s="83">
        <f>VLOOKUP(B140,'HSD UPAH,BAHAN,ALAT'!$C$6:F431,4,FALSE)</f>
        <v>10000</v>
      </c>
      <c r="G140" s="84">
        <f t="shared" si="11"/>
        <v>60000</v>
      </c>
    </row>
    <row r="141" spans="1:7" ht="30">
      <c r="A141" s="17" t="s">
        <v>30</v>
      </c>
      <c r="B141" s="5" t="s">
        <v>210</v>
      </c>
      <c r="C141" s="8"/>
      <c r="D141" s="12" t="s">
        <v>24</v>
      </c>
      <c r="E141" s="7" t="s">
        <v>57</v>
      </c>
      <c r="F141" s="83">
        <f>VLOOKUP(B141,'HSD UPAH,BAHAN,ALAT'!$C$6:F432,4,FALSE)</f>
        <v>10000</v>
      </c>
      <c r="G141" s="84">
        <f t="shared" si="11"/>
        <v>100000</v>
      </c>
    </row>
    <row r="142" spans="1:7">
      <c r="A142" s="8">
        <v>4</v>
      </c>
      <c r="B142" s="1" t="s">
        <v>26</v>
      </c>
      <c r="C142" s="8"/>
      <c r="D142" s="9"/>
      <c r="E142" s="19"/>
      <c r="F142" s="83"/>
      <c r="G142" s="84">
        <f t="shared" si="11"/>
        <v>0</v>
      </c>
    </row>
    <row r="143" spans="1:7">
      <c r="A143" s="8" t="s">
        <v>22</v>
      </c>
      <c r="B143" s="1" t="s">
        <v>27</v>
      </c>
      <c r="C143" s="8"/>
      <c r="D143" s="9" t="s">
        <v>28</v>
      </c>
      <c r="E143" s="10" t="s">
        <v>29</v>
      </c>
      <c r="F143" s="83">
        <f>VLOOKUP(B143,'HSD UPAH,BAHAN,ALAT'!$C$6:F434,4,FALSE)</f>
        <v>10000</v>
      </c>
      <c r="G143" s="84">
        <f t="shared" si="11"/>
        <v>146</v>
      </c>
    </row>
    <row r="144" spans="1:7">
      <c r="A144" s="8" t="s">
        <v>30</v>
      </c>
      <c r="B144" s="1" t="s">
        <v>31</v>
      </c>
      <c r="C144" s="8"/>
      <c r="D144" s="9" t="s">
        <v>28</v>
      </c>
      <c r="E144" s="10" t="s">
        <v>32</v>
      </c>
      <c r="F144" s="83">
        <f>VLOOKUP(B144,'HSD UPAH,BAHAN,ALAT'!$C$6:F435,4,FALSE)</f>
        <v>10000</v>
      </c>
      <c r="G144" s="84">
        <f t="shared" si="11"/>
        <v>39</v>
      </c>
    </row>
    <row r="145" spans="1:7">
      <c r="A145" s="8" t="s">
        <v>33</v>
      </c>
      <c r="B145" s="1" t="s">
        <v>34</v>
      </c>
      <c r="C145" s="8"/>
      <c r="D145" s="9" t="s">
        <v>28</v>
      </c>
      <c r="E145" s="10" t="s">
        <v>35</v>
      </c>
      <c r="F145" s="83">
        <f>VLOOKUP(B145,'HSD UPAH,BAHAN,ALAT'!$C$6:F436,4,FALSE)</f>
        <v>10000</v>
      </c>
      <c r="G145" s="84">
        <f t="shared" si="11"/>
        <v>10</v>
      </c>
    </row>
    <row r="146" spans="1:7">
      <c r="A146" s="261" t="s">
        <v>421</v>
      </c>
      <c r="B146" s="261"/>
      <c r="C146" s="261"/>
      <c r="D146" s="261"/>
      <c r="E146" s="261"/>
      <c r="F146" s="261"/>
      <c r="G146" s="85">
        <f>SUM(G137:G145)</f>
        <v>170745</v>
      </c>
    </row>
    <row r="147" spans="1:7">
      <c r="A147" s="8" t="s">
        <v>36</v>
      </c>
      <c r="B147" s="1" t="s">
        <v>37</v>
      </c>
      <c r="C147" s="8"/>
      <c r="D147" s="9"/>
      <c r="E147" s="19"/>
      <c r="F147" s="2"/>
      <c r="G147" s="2"/>
    </row>
    <row r="148" spans="1:7">
      <c r="A148" s="263" t="s">
        <v>419</v>
      </c>
      <c r="B148" s="263"/>
      <c r="C148" s="263"/>
      <c r="D148" s="263"/>
      <c r="E148" s="263"/>
      <c r="F148" s="263"/>
      <c r="G148" s="80">
        <f>SUM(G147)</f>
        <v>0</v>
      </c>
    </row>
    <row r="149" spans="1:7">
      <c r="A149" s="81" t="s">
        <v>38</v>
      </c>
      <c r="B149" s="262" t="s">
        <v>39</v>
      </c>
      <c r="C149" s="262"/>
      <c r="D149" s="262"/>
      <c r="E149" s="262"/>
      <c r="F149" s="262"/>
      <c r="G149" s="80">
        <f>SUM(G131:G148)/2</f>
        <v>172911</v>
      </c>
    </row>
    <row r="150" spans="1:7">
      <c r="A150" s="81" t="s">
        <v>40</v>
      </c>
      <c r="B150" s="262" t="s">
        <v>180</v>
      </c>
      <c r="C150" s="262"/>
      <c r="D150" s="262"/>
      <c r="E150" s="262"/>
      <c r="F150" s="82">
        <v>0.1</v>
      </c>
      <c r="G150" s="80">
        <f>G149*F150</f>
        <v>17291.100000000002</v>
      </c>
    </row>
    <row r="151" spans="1:7">
      <c r="A151" s="81" t="s">
        <v>41</v>
      </c>
      <c r="B151" s="262" t="s">
        <v>42</v>
      </c>
      <c r="C151" s="262"/>
      <c r="D151" s="262"/>
      <c r="E151" s="262"/>
      <c r="F151" s="262"/>
      <c r="G151" s="80">
        <f>G149+G150</f>
        <v>190202.1</v>
      </c>
    </row>
    <row r="152" spans="1:7">
      <c r="A152" s="90"/>
      <c r="B152" s="91"/>
      <c r="C152" s="91"/>
      <c r="D152" s="91"/>
      <c r="E152" s="91"/>
      <c r="F152" s="91"/>
      <c r="G152" s="92"/>
    </row>
    <row r="153" spans="1:7">
      <c r="A153" s="4" t="s">
        <v>509</v>
      </c>
      <c r="B153" s="91"/>
      <c r="C153" s="91"/>
      <c r="D153" s="91"/>
      <c r="E153" s="91"/>
      <c r="F153" s="91"/>
      <c r="G153" s="92"/>
    </row>
    <row r="154" spans="1:7" ht="30">
      <c r="A154" s="79" t="s">
        <v>0</v>
      </c>
      <c r="B154" s="79" t="s">
        <v>1</v>
      </c>
      <c r="C154" s="79" t="s">
        <v>207</v>
      </c>
      <c r="D154" s="79" t="s">
        <v>3</v>
      </c>
      <c r="E154" s="79" t="s">
        <v>2</v>
      </c>
      <c r="F154" s="79" t="s">
        <v>417</v>
      </c>
      <c r="G154" s="79" t="s">
        <v>418</v>
      </c>
    </row>
    <row r="155" spans="1:7">
      <c r="A155" s="8" t="s">
        <v>4</v>
      </c>
      <c r="B155" s="1" t="s">
        <v>5</v>
      </c>
      <c r="C155" s="8"/>
      <c r="D155" s="9"/>
      <c r="E155" s="19"/>
      <c r="F155" s="2"/>
      <c r="G155" s="2"/>
    </row>
    <row r="156" spans="1:7">
      <c r="A156" s="8">
        <v>1</v>
      </c>
      <c r="B156" s="1" t="s">
        <v>6</v>
      </c>
      <c r="C156" s="8" t="s">
        <v>7</v>
      </c>
      <c r="D156" s="9" t="s">
        <v>8</v>
      </c>
      <c r="E156" s="10" t="s">
        <v>9</v>
      </c>
      <c r="F156" s="83">
        <f>VLOOKUP(B156,'HSD UPAH,BAHAN,ALAT'!$C$6:F445,4,FALSE)</f>
        <v>100000</v>
      </c>
      <c r="G156" s="84">
        <f t="shared" ref="G156:G158" si="12">E156*F156</f>
        <v>1430</v>
      </c>
    </row>
    <row r="157" spans="1:7">
      <c r="A157" s="8">
        <v>2</v>
      </c>
      <c r="B157" s="1" t="s">
        <v>10</v>
      </c>
      <c r="C157" s="8" t="s">
        <v>11</v>
      </c>
      <c r="D157" s="9" t="s">
        <v>8</v>
      </c>
      <c r="E157" s="10" t="s">
        <v>12</v>
      </c>
      <c r="F157" s="83">
        <f>VLOOKUP(B157,'HSD UPAH,BAHAN,ALAT'!$C$6:F446,4,FALSE)</f>
        <v>120000</v>
      </c>
      <c r="G157" s="84">
        <f t="shared" si="12"/>
        <v>576</v>
      </c>
    </row>
    <row r="158" spans="1:7">
      <c r="A158" s="8">
        <v>3</v>
      </c>
      <c r="B158" s="1" t="s">
        <v>13</v>
      </c>
      <c r="C158" s="8" t="s">
        <v>14</v>
      </c>
      <c r="D158" s="9" t="s">
        <v>8</v>
      </c>
      <c r="E158" s="10" t="s">
        <v>15</v>
      </c>
      <c r="F158" s="83">
        <f>VLOOKUP(B158,'HSD UPAH,BAHAN,ALAT'!$C$6:F447,4,FALSE)</f>
        <v>100000</v>
      </c>
      <c r="G158" s="84">
        <f t="shared" si="12"/>
        <v>160</v>
      </c>
    </row>
    <row r="159" spans="1:7">
      <c r="A159" s="261" t="s">
        <v>420</v>
      </c>
      <c r="B159" s="261"/>
      <c r="C159" s="261"/>
      <c r="D159" s="261"/>
      <c r="E159" s="261"/>
      <c r="F159" s="261"/>
      <c r="G159" s="85">
        <f>SUM(G155:G158)</f>
        <v>2166</v>
      </c>
    </row>
    <row r="160" spans="1:7">
      <c r="A160" s="8" t="s">
        <v>16</v>
      </c>
      <c r="B160" s="1" t="s">
        <v>17</v>
      </c>
      <c r="C160" s="8"/>
      <c r="D160" s="9"/>
      <c r="E160" s="19"/>
      <c r="F160" s="2"/>
      <c r="G160" s="2"/>
    </row>
    <row r="161" spans="1:7" ht="30">
      <c r="A161" s="17" t="s">
        <v>208</v>
      </c>
      <c r="B161" s="5" t="s">
        <v>234</v>
      </c>
      <c r="C161" s="8"/>
      <c r="D161" s="12" t="s">
        <v>86</v>
      </c>
      <c r="E161" s="7" t="s">
        <v>87</v>
      </c>
      <c r="F161" s="83">
        <f>VLOOKUP(B161,'HSD UPAH,BAHAN,ALAT'!$C$6:F450,4,FALSE)</f>
        <v>10000</v>
      </c>
      <c r="G161" s="84">
        <f t="shared" ref="G161:G169" si="13">E161*F161</f>
        <v>10500</v>
      </c>
    </row>
    <row r="162" spans="1:7">
      <c r="A162" s="8">
        <v>2</v>
      </c>
      <c r="B162" s="1" t="s">
        <v>18</v>
      </c>
      <c r="C162" s="8"/>
      <c r="D162" s="9" t="s">
        <v>19</v>
      </c>
      <c r="E162" s="10" t="s">
        <v>20</v>
      </c>
      <c r="F162" s="83">
        <f>VLOOKUP(B162,'HSD UPAH,BAHAN,ALAT'!$C$6:F451,4,FALSE)</f>
        <v>10000</v>
      </c>
      <c r="G162" s="84">
        <f t="shared" si="13"/>
        <v>50</v>
      </c>
    </row>
    <row r="163" spans="1:7">
      <c r="A163" s="8">
        <v>3</v>
      </c>
      <c r="B163" s="1" t="s">
        <v>21</v>
      </c>
      <c r="C163" s="8"/>
      <c r="D163" s="9"/>
      <c r="E163" s="19"/>
      <c r="F163" s="83"/>
      <c r="G163" s="84">
        <f t="shared" si="13"/>
        <v>0</v>
      </c>
    </row>
    <row r="164" spans="1:7">
      <c r="A164" s="8" t="s">
        <v>22</v>
      </c>
      <c r="B164" s="1" t="s">
        <v>23</v>
      </c>
      <c r="C164" s="8"/>
      <c r="D164" s="9" t="s">
        <v>24</v>
      </c>
      <c r="E164" s="10" t="s">
        <v>25</v>
      </c>
      <c r="F164" s="83">
        <f>VLOOKUP(B164,'HSD UPAH,BAHAN,ALAT'!$C$6:F453,4,FALSE)</f>
        <v>10000</v>
      </c>
      <c r="G164" s="84">
        <f t="shared" si="13"/>
        <v>60000</v>
      </c>
    </row>
    <row r="165" spans="1:7" ht="30">
      <c r="A165" s="17" t="s">
        <v>30</v>
      </c>
      <c r="B165" s="5" t="s">
        <v>210</v>
      </c>
      <c r="C165" s="8"/>
      <c r="D165" s="12" t="s">
        <v>24</v>
      </c>
      <c r="E165" s="7" t="s">
        <v>57</v>
      </c>
      <c r="F165" s="83">
        <f>VLOOKUP(B165,'HSD UPAH,BAHAN,ALAT'!$C$6:F454,4,FALSE)</f>
        <v>10000</v>
      </c>
      <c r="G165" s="84">
        <f t="shared" si="13"/>
        <v>100000</v>
      </c>
    </row>
    <row r="166" spans="1:7">
      <c r="A166" s="8">
        <v>4</v>
      </c>
      <c r="B166" s="1" t="s">
        <v>26</v>
      </c>
      <c r="C166" s="8"/>
      <c r="D166" s="9"/>
      <c r="E166" s="19"/>
      <c r="F166" s="83"/>
      <c r="G166" s="84">
        <f t="shared" si="13"/>
        <v>0</v>
      </c>
    </row>
    <row r="167" spans="1:7">
      <c r="A167" s="8" t="s">
        <v>22</v>
      </c>
      <c r="B167" s="1" t="s">
        <v>27</v>
      </c>
      <c r="C167" s="8"/>
      <c r="D167" s="9" t="s">
        <v>28</v>
      </c>
      <c r="E167" s="10" t="s">
        <v>29</v>
      </c>
      <c r="F167" s="83">
        <f>VLOOKUP(B167,'HSD UPAH,BAHAN,ALAT'!$C$6:F456,4,FALSE)</f>
        <v>10000</v>
      </c>
      <c r="G167" s="84">
        <f t="shared" si="13"/>
        <v>146</v>
      </c>
    </row>
    <row r="168" spans="1:7">
      <c r="A168" s="8" t="s">
        <v>30</v>
      </c>
      <c r="B168" s="1" t="s">
        <v>31</v>
      </c>
      <c r="C168" s="8"/>
      <c r="D168" s="9" t="s">
        <v>28</v>
      </c>
      <c r="E168" s="10" t="s">
        <v>32</v>
      </c>
      <c r="F168" s="83">
        <f>VLOOKUP(B168,'HSD UPAH,BAHAN,ALAT'!$C$6:F457,4,FALSE)</f>
        <v>10000</v>
      </c>
      <c r="G168" s="84">
        <f t="shared" si="13"/>
        <v>39</v>
      </c>
    </row>
    <row r="169" spans="1:7">
      <c r="A169" s="8" t="s">
        <v>33</v>
      </c>
      <c r="B169" s="1" t="s">
        <v>34</v>
      </c>
      <c r="C169" s="8"/>
      <c r="D169" s="9" t="s">
        <v>28</v>
      </c>
      <c r="E169" s="10" t="s">
        <v>35</v>
      </c>
      <c r="F169" s="83">
        <f>VLOOKUP(B169,'HSD UPAH,BAHAN,ALAT'!$C$6:F458,4,FALSE)</f>
        <v>10000</v>
      </c>
      <c r="G169" s="84">
        <f t="shared" si="13"/>
        <v>10</v>
      </c>
    </row>
    <row r="170" spans="1:7">
      <c r="A170" s="261" t="s">
        <v>421</v>
      </c>
      <c r="B170" s="261"/>
      <c r="C170" s="261"/>
      <c r="D170" s="261"/>
      <c r="E170" s="261"/>
      <c r="F170" s="261"/>
      <c r="G170" s="85">
        <f>SUM(G161:G169)</f>
        <v>170745</v>
      </c>
    </row>
    <row r="171" spans="1:7">
      <c r="A171" s="8" t="s">
        <v>36</v>
      </c>
      <c r="B171" s="1" t="s">
        <v>37</v>
      </c>
      <c r="C171" s="8"/>
      <c r="D171" s="9"/>
      <c r="E171" s="19"/>
      <c r="F171" s="2"/>
      <c r="G171" s="2"/>
    </row>
    <row r="172" spans="1:7">
      <c r="A172" s="263" t="s">
        <v>419</v>
      </c>
      <c r="B172" s="263"/>
      <c r="C172" s="263"/>
      <c r="D172" s="263"/>
      <c r="E172" s="263"/>
      <c r="F172" s="263"/>
      <c r="G172" s="80">
        <f>SUM(G171)</f>
        <v>0</v>
      </c>
    </row>
    <row r="173" spans="1:7">
      <c r="A173" s="81" t="s">
        <v>38</v>
      </c>
      <c r="B173" s="262" t="s">
        <v>39</v>
      </c>
      <c r="C173" s="262"/>
      <c r="D173" s="262"/>
      <c r="E173" s="262"/>
      <c r="F173" s="262"/>
      <c r="G173" s="80">
        <f>SUM(G155:G172)/2</f>
        <v>172911</v>
      </c>
    </row>
    <row r="174" spans="1:7">
      <c r="A174" s="81" t="s">
        <v>40</v>
      </c>
      <c r="B174" s="262" t="s">
        <v>180</v>
      </c>
      <c r="C174" s="262"/>
      <c r="D174" s="262"/>
      <c r="E174" s="262"/>
      <c r="F174" s="82">
        <v>0.1</v>
      </c>
      <c r="G174" s="80">
        <f>G173*F174</f>
        <v>17291.100000000002</v>
      </c>
    </row>
    <row r="175" spans="1:7">
      <c r="A175" s="81" t="s">
        <v>41</v>
      </c>
      <c r="B175" s="262" t="s">
        <v>42</v>
      </c>
      <c r="C175" s="262"/>
      <c r="D175" s="262"/>
      <c r="E175" s="262"/>
      <c r="F175" s="262"/>
      <c r="G175" s="80">
        <f>G173+G174</f>
        <v>190202.1</v>
      </c>
    </row>
    <row r="176" spans="1:7">
      <c r="A176" s="90"/>
      <c r="B176" s="91"/>
      <c r="C176" s="91"/>
      <c r="D176" s="91"/>
      <c r="E176" s="91"/>
      <c r="F176" s="91"/>
      <c r="G176" s="92"/>
    </row>
    <row r="177" spans="1:7">
      <c r="A177" s="4" t="s">
        <v>510</v>
      </c>
      <c r="B177" s="91"/>
      <c r="C177" s="91"/>
      <c r="D177" s="91"/>
      <c r="E177" s="91"/>
      <c r="F177" s="91"/>
      <c r="G177" s="92"/>
    </row>
    <row r="178" spans="1:7" ht="30">
      <c r="A178" s="79" t="s">
        <v>0</v>
      </c>
      <c r="B178" s="79" t="s">
        <v>1</v>
      </c>
      <c r="C178" s="79" t="s">
        <v>207</v>
      </c>
      <c r="D178" s="79" t="s">
        <v>3</v>
      </c>
      <c r="E178" s="79" t="s">
        <v>2</v>
      </c>
      <c r="F178" s="79" t="s">
        <v>417</v>
      </c>
      <c r="G178" s="79" t="s">
        <v>418</v>
      </c>
    </row>
    <row r="179" spans="1:7">
      <c r="A179" s="8" t="s">
        <v>4</v>
      </c>
      <c r="B179" s="1" t="s">
        <v>5</v>
      </c>
      <c r="C179" s="8"/>
      <c r="D179" s="9"/>
      <c r="E179" s="19"/>
      <c r="F179" s="2"/>
      <c r="G179" s="2"/>
    </row>
    <row r="180" spans="1:7">
      <c r="A180" s="8">
        <v>1</v>
      </c>
      <c r="B180" s="1" t="s">
        <v>6</v>
      </c>
      <c r="C180" s="8" t="s">
        <v>7</v>
      </c>
      <c r="D180" s="9" t="s">
        <v>8</v>
      </c>
      <c r="E180" s="10" t="s">
        <v>9</v>
      </c>
      <c r="F180" s="83">
        <f>VLOOKUP(B180,'HSD UPAH,BAHAN,ALAT'!$C$6:F467,4,FALSE)</f>
        <v>100000</v>
      </c>
      <c r="G180" s="84">
        <f t="shared" ref="G180:G182" si="14">E180*F180</f>
        <v>1430</v>
      </c>
    </row>
    <row r="181" spans="1:7">
      <c r="A181" s="8">
        <v>2</v>
      </c>
      <c r="B181" s="1" t="s">
        <v>10</v>
      </c>
      <c r="C181" s="8" t="s">
        <v>11</v>
      </c>
      <c r="D181" s="9" t="s">
        <v>8</v>
      </c>
      <c r="E181" s="10" t="s">
        <v>12</v>
      </c>
      <c r="F181" s="83">
        <f>VLOOKUP(B181,'HSD UPAH,BAHAN,ALAT'!$C$6:F468,4,FALSE)</f>
        <v>120000</v>
      </c>
      <c r="G181" s="84">
        <f t="shared" si="14"/>
        <v>576</v>
      </c>
    </row>
    <row r="182" spans="1:7">
      <c r="A182" s="8">
        <v>3</v>
      </c>
      <c r="B182" s="1" t="s">
        <v>13</v>
      </c>
      <c r="C182" s="8" t="s">
        <v>14</v>
      </c>
      <c r="D182" s="9" t="s">
        <v>8</v>
      </c>
      <c r="E182" s="10" t="s">
        <v>15</v>
      </c>
      <c r="F182" s="83">
        <f>VLOOKUP(B182,'HSD UPAH,BAHAN,ALAT'!$C$6:F469,4,FALSE)</f>
        <v>100000</v>
      </c>
      <c r="G182" s="84">
        <f t="shared" si="14"/>
        <v>160</v>
      </c>
    </row>
    <row r="183" spans="1:7">
      <c r="A183" s="261" t="s">
        <v>420</v>
      </c>
      <c r="B183" s="261"/>
      <c r="C183" s="261"/>
      <c r="D183" s="261"/>
      <c r="E183" s="261"/>
      <c r="F183" s="261"/>
      <c r="G183" s="85">
        <f>SUM(G179:G182)</f>
        <v>2166</v>
      </c>
    </row>
    <row r="184" spans="1:7">
      <c r="A184" s="8" t="s">
        <v>16</v>
      </c>
      <c r="B184" s="1" t="s">
        <v>17</v>
      </c>
      <c r="C184" s="8"/>
      <c r="D184" s="9"/>
      <c r="E184" s="19"/>
      <c r="F184" s="2"/>
      <c r="G184" s="2"/>
    </row>
    <row r="185" spans="1:7" ht="45">
      <c r="A185" s="17" t="s">
        <v>208</v>
      </c>
      <c r="B185" s="5" t="s">
        <v>235</v>
      </c>
      <c r="C185" s="8"/>
      <c r="D185" s="12" t="s">
        <v>86</v>
      </c>
      <c r="E185" s="7" t="s">
        <v>87</v>
      </c>
      <c r="F185" s="83">
        <f>VLOOKUP(B185,'HSD UPAH,BAHAN,ALAT'!$C$6:F472,4,FALSE)</f>
        <v>10000</v>
      </c>
      <c r="G185" s="84">
        <f t="shared" ref="G185:G193" si="15">E185*F185</f>
        <v>10500</v>
      </c>
    </row>
    <row r="186" spans="1:7">
      <c r="A186" s="8">
        <v>2</v>
      </c>
      <c r="B186" s="1" t="s">
        <v>18</v>
      </c>
      <c r="C186" s="8"/>
      <c r="D186" s="9" t="s">
        <v>19</v>
      </c>
      <c r="E186" s="10" t="s">
        <v>20</v>
      </c>
      <c r="F186" s="83">
        <f>VLOOKUP(B186,'HSD UPAH,BAHAN,ALAT'!$C$6:F473,4,FALSE)</f>
        <v>10000</v>
      </c>
      <c r="G186" s="84">
        <f t="shared" si="15"/>
        <v>50</v>
      </c>
    </row>
    <row r="187" spans="1:7">
      <c r="A187" s="8">
        <v>3</v>
      </c>
      <c r="B187" s="1" t="s">
        <v>21</v>
      </c>
      <c r="C187" s="8"/>
      <c r="D187" s="9"/>
      <c r="E187" s="19"/>
      <c r="F187" s="83"/>
      <c r="G187" s="84">
        <f t="shared" si="15"/>
        <v>0</v>
      </c>
    </row>
    <row r="188" spans="1:7">
      <c r="A188" s="8" t="s">
        <v>22</v>
      </c>
      <c r="B188" s="1" t="s">
        <v>23</v>
      </c>
      <c r="C188" s="8"/>
      <c r="D188" s="9" t="s">
        <v>24</v>
      </c>
      <c r="E188" s="10" t="s">
        <v>25</v>
      </c>
      <c r="F188" s="83">
        <f>VLOOKUP(B188,'HSD UPAH,BAHAN,ALAT'!$C$6:F475,4,FALSE)</f>
        <v>10000</v>
      </c>
      <c r="G188" s="84">
        <f t="shared" si="15"/>
        <v>60000</v>
      </c>
    </row>
    <row r="189" spans="1:7" ht="30">
      <c r="A189" s="17" t="s">
        <v>30</v>
      </c>
      <c r="B189" s="5" t="s">
        <v>210</v>
      </c>
      <c r="C189" s="8"/>
      <c r="D189" s="12" t="s">
        <v>24</v>
      </c>
      <c r="E189" s="7" t="s">
        <v>57</v>
      </c>
      <c r="F189" s="83">
        <f>VLOOKUP(B189,'HSD UPAH,BAHAN,ALAT'!$C$6:F476,4,FALSE)</f>
        <v>10000</v>
      </c>
      <c r="G189" s="84">
        <f t="shared" si="15"/>
        <v>100000</v>
      </c>
    </row>
    <row r="190" spans="1:7">
      <c r="A190" s="8">
        <v>4</v>
      </c>
      <c r="B190" s="1" t="s">
        <v>26</v>
      </c>
      <c r="C190" s="8"/>
      <c r="D190" s="9"/>
      <c r="E190" s="19"/>
      <c r="F190" s="83"/>
      <c r="G190" s="84">
        <f t="shared" si="15"/>
        <v>0</v>
      </c>
    </row>
    <row r="191" spans="1:7">
      <c r="A191" s="8" t="s">
        <v>22</v>
      </c>
      <c r="B191" s="1" t="s">
        <v>27</v>
      </c>
      <c r="C191" s="8"/>
      <c r="D191" s="9" t="s">
        <v>28</v>
      </c>
      <c r="E191" s="10" t="s">
        <v>29</v>
      </c>
      <c r="F191" s="83">
        <f>VLOOKUP(B191,'HSD UPAH,BAHAN,ALAT'!$C$6:F478,4,FALSE)</f>
        <v>10000</v>
      </c>
      <c r="G191" s="84">
        <f t="shared" si="15"/>
        <v>146</v>
      </c>
    </row>
    <row r="192" spans="1:7">
      <c r="A192" s="8" t="s">
        <v>30</v>
      </c>
      <c r="B192" s="1" t="s">
        <v>31</v>
      </c>
      <c r="C192" s="8"/>
      <c r="D192" s="9" t="s">
        <v>28</v>
      </c>
      <c r="E192" s="10" t="s">
        <v>32</v>
      </c>
      <c r="F192" s="83">
        <f>VLOOKUP(B192,'HSD UPAH,BAHAN,ALAT'!$C$6:F479,4,FALSE)</f>
        <v>10000</v>
      </c>
      <c r="G192" s="84">
        <f t="shared" si="15"/>
        <v>39</v>
      </c>
    </row>
    <row r="193" spans="1:7">
      <c r="A193" s="8" t="s">
        <v>33</v>
      </c>
      <c r="B193" s="1" t="s">
        <v>34</v>
      </c>
      <c r="C193" s="8"/>
      <c r="D193" s="9" t="s">
        <v>28</v>
      </c>
      <c r="E193" s="10" t="s">
        <v>35</v>
      </c>
      <c r="F193" s="83">
        <f>VLOOKUP(B193,'HSD UPAH,BAHAN,ALAT'!$C$6:F480,4,FALSE)</f>
        <v>10000</v>
      </c>
      <c r="G193" s="84">
        <f t="shared" si="15"/>
        <v>10</v>
      </c>
    </row>
    <row r="194" spans="1:7">
      <c r="A194" s="261" t="s">
        <v>421</v>
      </c>
      <c r="B194" s="261"/>
      <c r="C194" s="261"/>
      <c r="D194" s="261"/>
      <c r="E194" s="261"/>
      <c r="F194" s="261"/>
      <c r="G194" s="85">
        <f>SUM(G185:G193)</f>
        <v>170745</v>
      </c>
    </row>
    <row r="195" spans="1:7">
      <c r="A195" s="8" t="s">
        <v>36</v>
      </c>
      <c r="B195" s="1" t="s">
        <v>37</v>
      </c>
      <c r="C195" s="8"/>
      <c r="D195" s="9"/>
      <c r="E195" s="19"/>
      <c r="F195" s="2"/>
      <c r="G195" s="2"/>
    </row>
    <row r="196" spans="1:7">
      <c r="A196" s="263" t="s">
        <v>419</v>
      </c>
      <c r="B196" s="263"/>
      <c r="C196" s="263"/>
      <c r="D196" s="263"/>
      <c r="E196" s="263"/>
      <c r="F196" s="263"/>
      <c r="G196" s="80">
        <f>SUM(G195)</f>
        <v>0</v>
      </c>
    </row>
    <row r="197" spans="1:7">
      <c r="A197" s="81" t="s">
        <v>38</v>
      </c>
      <c r="B197" s="262" t="s">
        <v>39</v>
      </c>
      <c r="C197" s="262"/>
      <c r="D197" s="262"/>
      <c r="E197" s="262"/>
      <c r="F197" s="262"/>
      <c r="G197" s="80">
        <f>SUM(G179:G196)/2</f>
        <v>172911</v>
      </c>
    </row>
    <row r="198" spans="1:7">
      <c r="A198" s="81" t="s">
        <v>40</v>
      </c>
      <c r="B198" s="262" t="s">
        <v>180</v>
      </c>
      <c r="C198" s="262"/>
      <c r="D198" s="262"/>
      <c r="E198" s="262"/>
      <c r="F198" s="82">
        <v>0.1</v>
      </c>
      <c r="G198" s="80">
        <f>G197*F198</f>
        <v>17291.100000000002</v>
      </c>
    </row>
    <row r="199" spans="1:7">
      <c r="A199" s="81" t="s">
        <v>41</v>
      </c>
      <c r="B199" s="262" t="s">
        <v>42</v>
      </c>
      <c r="C199" s="262"/>
      <c r="D199" s="262"/>
      <c r="E199" s="262"/>
      <c r="F199" s="262"/>
      <c r="G199" s="80">
        <f>G197+G198</f>
        <v>190202.1</v>
      </c>
    </row>
    <row r="200" spans="1:7">
      <c r="A200" s="90"/>
      <c r="B200" s="91"/>
      <c r="C200" s="91"/>
      <c r="D200" s="91"/>
      <c r="E200" s="91"/>
      <c r="F200" s="91"/>
      <c r="G200" s="92"/>
    </row>
    <row r="201" spans="1:7">
      <c r="A201" s="4" t="s">
        <v>511</v>
      </c>
      <c r="B201" s="91"/>
      <c r="C201" s="91"/>
      <c r="D201" s="91"/>
      <c r="E201" s="91"/>
      <c r="F201" s="91"/>
      <c r="G201" s="92"/>
    </row>
    <row r="202" spans="1:7" ht="30">
      <c r="A202" s="79" t="s">
        <v>0</v>
      </c>
      <c r="B202" s="79" t="s">
        <v>1</v>
      </c>
      <c r="C202" s="79" t="s">
        <v>207</v>
      </c>
      <c r="D202" s="79" t="s">
        <v>3</v>
      </c>
      <c r="E202" s="79" t="s">
        <v>2</v>
      </c>
      <c r="F202" s="79" t="s">
        <v>417</v>
      </c>
      <c r="G202" s="79" t="s">
        <v>418</v>
      </c>
    </row>
    <row r="203" spans="1:7">
      <c r="A203" s="8" t="s">
        <v>4</v>
      </c>
      <c r="B203" s="1" t="s">
        <v>5</v>
      </c>
      <c r="C203" s="8"/>
      <c r="D203" s="9"/>
      <c r="E203" s="19"/>
      <c r="F203" s="2"/>
      <c r="G203" s="2"/>
    </row>
    <row r="204" spans="1:7">
      <c r="A204" s="8">
        <v>1</v>
      </c>
      <c r="B204" s="1" t="s">
        <v>6</v>
      </c>
      <c r="C204" s="8" t="s">
        <v>7</v>
      </c>
      <c r="D204" s="9" t="s">
        <v>8</v>
      </c>
      <c r="E204" s="10" t="s">
        <v>9</v>
      </c>
      <c r="F204" s="83">
        <f>VLOOKUP(B204,'HSD UPAH,BAHAN,ALAT'!$C$6:F489,4,FALSE)</f>
        <v>100000</v>
      </c>
      <c r="G204" s="84">
        <f t="shared" ref="G204:G206" si="16">E204*F204</f>
        <v>1430</v>
      </c>
    </row>
    <row r="205" spans="1:7">
      <c r="A205" s="8">
        <v>2</v>
      </c>
      <c r="B205" s="1" t="s">
        <v>10</v>
      </c>
      <c r="C205" s="8" t="s">
        <v>11</v>
      </c>
      <c r="D205" s="9" t="s">
        <v>8</v>
      </c>
      <c r="E205" s="10" t="s">
        <v>12</v>
      </c>
      <c r="F205" s="83">
        <f>VLOOKUP(B205,'HSD UPAH,BAHAN,ALAT'!$C$6:F490,4,FALSE)</f>
        <v>120000</v>
      </c>
      <c r="G205" s="84">
        <f t="shared" si="16"/>
        <v>576</v>
      </c>
    </row>
    <row r="206" spans="1:7">
      <c r="A206" s="8">
        <v>3</v>
      </c>
      <c r="B206" s="1" t="s">
        <v>13</v>
      </c>
      <c r="C206" s="8" t="s">
        <v>14</v>
      </c>
      <c r="D206" s="9" t="s">
        <v>8</v>
      </c>
      <c r="E206" s="10" t="s">
        <v>15</v>
      </c>
      <c r="F206" s="83">
        <f>VLOOKUP(B206,'HSD UPAH,BAHAN,ALAT'!$C$6:F491,4,FALSE)</f>
        <v>100000</v>
      </c>
      <c r="G206" s="84">
        <f t="shared" si="16"/>
        <v>160</v>
      </c>
    </row>
    <row r="207" spans="1:7">
      <c r="A207" s="261" t="s">
        <v>420</v>
      </c>
      <c r="B207" s="261"/>
      <c r="C207" s="261"/>
      <c r="D207" s="261"/>
      <c r="E207" s="261"/>
      <c r="F207" s="261"/>
      <c r="G207" s="85">
        <f>SUM(G203:G206)</f>
        <v>2166</v>
      </c>
    </row>
    <row r="208" spans="1:7">
      <c r="A208" s="8" t="s">
        <v>16</v>
      </c>
      <c r="B208" s="1" t="s">
        <v>17</v>
      </c>
      <c r="C208" s="8"/>
      <c r="D208" s="9"/>
      <c r="E208" s="19"/>
      <c r="F208" s="2"/>
      <c r="G208" s="2"/>
    </row>
    <row r="209" spans="1:7" ht="30">
      <c r="A209" s="17" t="s">
        <v>208</v>
      </c>
      <c r="B209" s="5" t="s">
        <v>236</v>
      </c>
      <c r="C209" s="8"/>
      <c r="D209" s="12" t="s">
        <v>86</v>
      </c>
      <c r="E209" s="7" t="s">
        <v>87</v>
      </c>
      <c r="F209" s="83">
        <f>VLOOKUP(B209,'HSD UPAH,BAHAN,ALAT'!$C$6:F494,4,FALSE)</f>
        <v>10000</v>
      </c>
      <c r="G209" s="84">
        <f t="shared" ref="G209:G217" si="17">E209*F209</f>
        <v>10500</v>
      </c>
    </row>
    <row r="210" spans="1:7">
      <c r="A210" s="8">
        <v>2</v>
      </c>
      <c r="B210" s="1" t="s">
        <v>18</v>
      </c>
      <c r="C210" s="8"/>
      <c r="D210" s="9" t="s">
        <v>19</v>
      </c>
      <c r="E210" s="10" t="s">
        <v>20</v>
      </c>
      <c r="F210" s="83">
        <f>VLOOKUP(B210,'HSD UPAH,BAHAN,ALAT'!$C$6:F495,4,FALSE)</f>
        <v>10000</v>
      </c>
      <c r="G210" s="84">
        <f t="shared" si="17"/>
        <v>50</v>
      </c>
    </row>
    <row r="211" spans="1:7">
      <c r="A211" s="8">
        <v>3</v>
      </c>
      <c r="B211" s="1" t="s">
        <v>21</v>
      </c>
      <c r="C211" s="8"/>
      <c r="D211" s="9"/>
      <c r="E211" s="19"/>
      <c r="F211" s="83"/>
      <c r="G211" s="84">
        <f t="shared" si="17"/>
        <v>0</v>
      </c>
    </row>
    <row r="212" spans="1:7">
      <c r="A212" s="8" t="s">
        <v>22</v>
      </c>
      <c r="B212" s="1" t="s">
        <v>23</v>
      </c>
      <c r="C212" s="8"/>
      <c r="D212" s="9" t="s">
        <v>24</v>
      </c>
      <c r="E212" s="10" t="s">
        <v>25</v>
      </c>
      <c r="F212" s="83">
        <f>VLOOKUP(B212,'HSD UPAH,BAHAN,ALAT'!$C$6:F497,4,FALSE)</f>
        <v>10000</v>
      </c>
      <c r="G212" s="84">
        <f t="shared" si="17"/>
        <v>60000</v>
      </c>
    </row>
    <row r="213" spans="1:7">
      <c r="A213" s="17" t="s">
        <v>30</v>
      </c>
      <c r="B213" s="1" t="s">
        <v>209</v>
      </c>
      <c r="C213" s="8"/>
      <c r="D213" s="12" t="s">
        <v>24</v>
      </c>
      <c r="E213" s="7" t="s">
        <v>57</v>
      </c>
      <c r="F213" s="83">
        <f>VLOOKUP(B213,'HSD UPAH,BAHAN,ALAT'!$C$6:F498,4,FALSE)</f>
        <v>10000</v>
      </c>
      <c r="G213" s="84">
        <f t="shared" si="17"/>
        <v>100000</v>
      </c>
    </row>
    <row r="214" spans="1:7">
      <c r="A214" s="8">
        <v>4</v>
      </c>
      <c r="B214" s="1" t="s">
        <v>26</v>
      </c>
      <c r="C214" s="8"/>
      <c r="D214" s="9"/>
      <c r="E214" s="19"/>
      <c r="F214" s="83"/>
      <c r="G214" s="84">
        <f t="shared" si="17"/>
        <v>0</v>
      </c>
    </row>
    <row r="215" spans="1:7">
      <c r="A215" s="8" t="s">
        <v>22</v>
      </c>
      <c r="B215" s="1" t="s">
        <v>27</v>
      </c>
      <c r="C215" s="8"/>
      <c r="D215" s="9" t="s">
        <v>28</v>
      </c>
      <c r="E215" s="10" t="s">
        <v>29</v>
      </c>
      <c r="F215" s="83">
        <f>VLOOKUP(B215,'HSD UPAH,BAHAN,ALAT'!$C$6:F500,4,FALSE)</f>
        <v>10000</v>
      </c>
      <c r="G215" s="84">
        <f t="shared" si="17"/>
        <v>146</v>
      </c>
    </row>
    <row r="216" spans="1:7">
      <c r="A216" s="8" t="s">
        <v>30</v>
      </c>
      <c r="B216" s="1" t="s">
        <v>31</v>
      </c>
      <c r="C216" s="8"/>
      <c r="D216" s="9" t="s">
        <v>28</v>
      </c>
      <c r="E216" s="10" t="s">
        <v>32</v>
      </c>
      <c r="F216" s="83">
        <f>VLOOKUP(B216,'HSD UPAH,BAHAN,ALAT'!$C$6:F501,4,FALSE)</f>
        <v>10000</v>
      </c>
      <c r="G216" s="84">
        <f t="shared" si="17"/>
        <v>39</v>
      </c>
    </row>
    <row r="217" spans="1:7">
      <c r="A217" s="8" t="s">
        <v>33</v>
      </c>
      <c r="B217" s="1" t="s">
        <v>34</v>
      </c>
      <c r="C217" s="8"/>
      <c r="D217" s="9" t="s">
        <v>28</v>
      </c>
      <c r="E217" s="10" t="s">
        <v>35</v>
      </c>
      <c r="F217" s="83">
        <f>VLOOKUP(B217,'HSD UPAH,BAHAN,ALAT'!$C$6:F502,4,FALSE)</f>
        <v>10000</v>
      </c>
      <c r="G217" s="84">
        <f t="shared" si="17"/>
        <v>10</v>
      </c>
    </row>
    <row r="218" spans="1:7">
      <c r="A218" s="261" t="s">
        <v>421</v>
      </c>
      <c r="B218" s="261"/>
      <c r="C218" s="261"/>
      <c r="D218" s="261"/>
      <c r="E218" s="261"/>
      <c r="F218" s="261"/>
      <c r="G218" s="85">
        <f>SUM(G209:G217)</f>
        <v>170745</v>
      </c>
    </row>
    <row r="219" spans="1:7">
      <c r="A219" s="8" t="s">
        <v>36</v>
      </c>
      <c r="B219" s="1" t="s">
        <v>37</v>
      </c>
      <c r="C219" s="8"/>
      <c r="D219" s="9"/>
      <c r="E219" s="19"/>
      <c r="F219" s="2"/>
      <c r="G219" s="2"/>
    </row>
    <row r="220" spans="1:7">
      <c r="A220" s="263" t="s">
        <v>419</v>
      </c>
      <c r="B220" s="263"/>
      <c r="C220" s="263"/>
      <c r="D220" s="263"/>
      <c r="E220" s="263"/>
      <c r="F220" s="263"/>
      <c r="G220" s="80">
        <f>SUM(G219)</f>
        <v>0</v>
      </c>
    </row>
    <row r="221" spans="1:7">
      <c r="A221" s="81" t="s">
        <v>38</v>
      </c>
      <c r="B221" s="262" t="s">
        <v>39</v>
      </c>
      <c r="C221" s="262"/>
      <c r="D221" s="262"/>
      <c r="E221" s="262"/>
      <c r="F221" s="262"/>
      <c r="G221" s="80">
        <f>SUM(G203:G220)/2</f>
        <v>172911</v>
      </c>
    </row>
    <row r="222" spans="1:7">
      <c r="A222" s="81" t="s">
        <v>40</v>
      </c>
      <c r="B222" s="262" t="s">
        <v>180</v>
      </c>
      <c r="C222" s="262"/>
      <c r="D222" s="262"/>
      <c r="E222" s="262"/>
      <c r="F222" s="82">
        <v>0.1</v>
      </c>
      <c r="G222" s="80">
        <f>G221*F222</f>
        <v>17291.100000000002</v>
      </c>
    </row>
    <row r="223" spans="1:7">
      <c r="A223" s="81" t="s">
        <v>41</v>
      </c>
      <c r="B223" s="262" t="s">
        <v>42</v>
      </c>
      <c r="C223" s="262"/>
      <c r="D223" s="262"/>
      <c r="E223" s="262"/>
      <c r="F223" s="262"/>
      <c r="G223" s="80">
        <f>G221+G222</f>
        <v>190202.1</v>
      </c>
    </row>
    <row r="224" spans="1:7">
      <c r="A224" s="90"/>
      <c r="B224" s="91"/>
      <c r="C224" s="91"/>
      <c r="D224" s="91"/>
      <c r="E224" s="91"/>
      <c r="F224" s="91"/>
      <c r="G224" s="92"/>
    </row>
    <row r="225" spans="1:7">
      <c r="A225" s="4" t="s">
        <v>512</v>
      </c>
      <c r="B225" s="91"/>
      <c r="C225" s="91"/>
      <c r="D225" s="91"/>
      <c r="E225" s="91"/>
      <c r="F225" s="91"/>
      <c r="G225" s="92"/>
    </row>
    <row r="226" spans="1:7" ht="30">
      <c r="A226" s="79" t="s">
        <v>0</v>
      </c>
      <c r="B226" s="79" t="s">
        <v>1</v>
      </c>
      <c r="C226" s="79" t="s">
        <v>207</v>
      </c>
      <c r="D226" s="79" t="s">
        <v>3</v>
      </c>
      <c r="E226" s="79" t="s">
        <v>2</v>
      </c>
      <c r="F226" s="79" t="s">
        <v>417</v>
      </c>
      <c r="G226" s="79" t="s">
        <v>418</v>
      </c>
    </row>
    <row r="227" spans="1:7">
      <c r="A227" s="8" t="s">
        <v>4</v>
      </c>
      <c r="B227" s="1" t="s">
        <v>5</v>
      </c>
      <c r="C227" s="8"/>
      <c r="D227" s="9"/>
      <c r="E227" s="19"/>
      <c r="F227" s="2"/>
      <c r="G227" s="2"/>
    </row>
    <row r="228" spans="1:7">
      <c r="A228" s="8">
        <v>1</v>
      </c>
      <c r="B228" s="1" t="s">
        <v>6</v>
      </c>
      <c r="C228" s="8" t="s">
        <v>7</v>
      </c>
      <c r="D228" s="9" t="s">
        <v>8</v>
      </c>
      <c r="E228" s="10" t="s">
        <v>9</v>
      </c>
      <c r="F228" s="83">
        <f>VLOOKUP(B228,'HSD UPAH,BAHAN,ALAT'!$C$6:F511,4,FALSE)</f>
        <v>100000</v>
      </c>
      <c r="G228" s="84">
        <f t="shared" ref="G228:G230" si="18">E228*F228</f>
        <v>1430</v>
      </c>
    </row>
    <row r="229" spans="1:7">
      <c r="A229" s="8">
        <v>2</v>
      </c>
      <c r="B229" s="1" t="s">
        <v>10</v>
      </c>
      <c r="C229" s="8" t="s">
        <v>11</v>
      </c>
      <c r="D229" s="9" t="s">
        <v>8</v>
      </c>
      <c r="E229" s="10" t="s">
        <v>12</v>
      </c>
      <c r="F229" s="83">
        <f>VLOOKUP(B229,'HSD UPAH,BAHAN,ALAT'!$C$6:F512,4,FALSE)</f>
        <v>120000</v>
      </c>
      <c r="G229" s="84">
        <f t="shared" si="18"/>
        <v>576</v>
      </c>
    </row>
    <row r="230" spans="1:7">
      <c r="A230" s="8">
        <v>3</v>
      </c>
      <c r="B230" s="1" t="s">
        <v>13</v>
      </c>
      <c r="C230" s="8" t="s">
        <v>14</v>
      </c>
      <c r="D230" s="9" t="s">
        <v>8</v>
      </c>
      <c r="E230" s="10" t="s">
        <v>15</v>
      </c>
      <c r="F230" s="83">
        <f>VLOOKUP(B230,'HSD UPAH,BAHAN,ALAT'!$C$6:F513,4,FALSE)</f>
        <v>100000</v>
      </c>
      <c r="G230" s="84">
        <f t="shared" si="18"/>
        <v>160</v>
      </c>
    </row>
    <row r="231" spans="1:7">
      <c r="A231" s="261" t="s">
        <v>420</v>
      </c>
      <c r="B231" s="261"/>
      <c r="C231" s="261"/>
      <c r="D231" s="261"/>
      <c r="E231" s="261"/>
      <c r="F231" s="261"/>
      <c r="G231" s="85">
        <f>SUM(G227:G230)</f>
        <v>2166</v>
      </c>
    </row>
    <row r="232" spans="1:7">
      <c r="A232" s="8" t="s">
        <v>16</v>
      </c>
      <c r="B232" s="1" t="s">
        <v>17</v>
      </c>
      <c r="C232" s="8"/>
      <c r="D232" s="9"/>
      <c r="E232" s="19"/>
      <c r="F232" s="2"/>
      <c r="G232" s="2"/>
    </row>
    <row r="233" spans="1:7" ht="30">
      <c r="A233" s="17" t="s">
        <v>208</v>
      </c>
      <c r="B233" s="5" t="s">
        <v>237</v>
      </c>
      <c r="C233" s="8"/>
      <c r="D233" s="12" t="s">
        <v>86</v>
      </c>
      <c r="E233" s="7" t="s">
        <v>87</v>
      </c>
      <c r="F233" s="83">
        <f>VLOOKUP(B233,'HSD UPAH,BAHAN,ALAT'!$C$6:F516,4,FALSE)</f>
        <v>10000</v>
      </c>
      <c r="G233" s="84">
        <f t="shared" ref="G233:G241" si="19">E233*F233</f>
        <v>10500</v>
      </c>
    </row>
    <row r="234" spans="1:7">
      <c r="A234" s="8">
        <v>2</v>
      </c>
      <c r="B234" s="1" t="s">
        <v>18</v>
      </c>
      <c r="C234" s="8"/>
      <c r="D234" s="9" t="s">
        <v>19</v>
      </c>
      <c r="E234" s="10" t="s">
        <v>20</v>
      </c>
      <c r="F234" s="83">
        <f>VLOOKUP(B234,'HSD UPAH,BAHAN,ALAT'!$C$6:F517,4,FALSE)</f>
        <v>10000</v>
      </c>
      <c r="G234" s="84">
        <f t="shared" si="19"/>
        <v>50</v>
      </c>
    </row>
    <row r="235" spans="1:7">
      <c r="A235" s="8">
        <v>3</v>
      </c>
      <c r="B235" s="1" t="s">
        <v>21</v>
      </c>
      <c r="C235" s="8"/>
      <c r="D235" s="9"/>
      <c r="E235" s="19"/>
      <c r="F235" s="83"/>
      <c r="G235" s="84">
        <f t="shared" si="19"/>
        <v>0</v>
      </c>
    </row>
    <row r="236" spans="1:7">
      <c r="A236" s="8" t="s">
        <v>22</v>
      </c>
      <c r="B236" s="1" t="s">
        <v>23</v>
      </c>
      <c r="C236" s="8"/>
      <c r="D236" s="9" t="s">
        <v>24</v>
      </c>
      <c r="E236" s="10" t="s">
        <v>25</v>
      </c>
      <c r="F236" s="83">
        <f>VLOOKUP(B236,'HSD UPAH,BAHAN,ALAT'!$C$6:F519,4,FALSE)</f>
        <v>10000</v>
      </c>
      <c r="G236" s="84">
        <f t="shared" si="19"/>
        <v>60000</v>
      </c>
    </row>
    <row r="237" spans="1:7" ht="30">
      <c r="A237" s="17" t="s">
        <v>30</v>
      </c>
      <c r="B237" s="5" t="s">
        <v>210</v>
      </c>
      <c r="C237" s="8"/>
      <c r="D237" s="12" t="s">
        <v>24</v>
      </c>
      <c r="E237" s="7" t="s">
        <v>57</v>
      </c>
      <c r="F237" s="83">
        <f>VLOOKUP(B237,'HSD UPAH,BAHAN,ALAT'!$C$6:F520,4,FALSE)</f>
        <v>10000</v>
      </c>
      <c r="G237" s="84">
        <f t="shared" si="19"/>
        <v>100000</v>
      </c>
    </row>
    <row r="238" spans="1:7">
      <c r="A238" s="8">
        <v>4</v>
      </c>
      <c r="B238" s="1" t="s">
        <v>26</v>
      </c>
      <c r="C238" s="8"/>
      <c r="D238" s="9"/>
      <c r="E238" s="19"/>
      <c r="F238" s="83"/>
      <c r="G238" s="84">
        <f t="shared" si="19"/>
        <v>0</v>
      </c>
    </row>
    <row r="239" spans="1:7">
      <c r="A239" s="8" t="s">
        <v>22</v>
      </c>
      <c r="B239" s="1" t="s">
        <v>27</v>
      </c>
      <c r="C239" s="8"/>
      <c r="D239" s="9" t="s">
        <v>28</v>
      </c>
      <c r="E239" s="10" t="s">
        <v>29</v>
      </c>
      <c r="F239" s="83">
        <f>VLOOKUP(B239,'HSD UPAH,BAHAN,ALAT'!$C$6:F522,4,FALSE)</f>
        <v>10000</v>
      </c>
      <c r="G239" s="84">
        <f t="shared" si="19"/>
        <v>146</v>
      </c>
    </row>
    <row r="240" spans="1:7">
      <c r="A240" s="8" t="s">
        <v>30</v>
      </c>
      <c r="B240" s="1" t="s">
        <v>31</v>
      </c>
      <c r="C240" s="8"/>
      <c r="D240" s="9" t="s">
        <v>28</v>
      </c>
      <c r="E240" s="10" t="s">
        <v>32</v>
      </c>
      <c r="F240" s="83">
        <f>VLOOKUP(B240,'HSD UPAH,BAHAN,ALAT'!$C$6:F523,4,FALSE)</f>
        <v>10000</v>
      </c>
      <c r="G240" s="84">
        <f t="shared" si="19"/>
        <v>39</v>
      </c>
    </row>
    <row r="241" spans="1:7">
      <c r="A241" s="8" t="s">
        <v>33</v>
      </c>
      <c r="B241" s="1" t="s">
        <v>34</v>
      </c>
      <c r="C241" s="8"/>
      <c r="D241" s="9" t="s">
        <v>28</v>
      </c>
      <c r="E241" s="10" t="s">
        <v>35</v>
      </c>
      <c r="F241" s="83">
        <f>VLOOKUP(B241,'HSD UPAH,BAHAN,ALAT'!$C$6:F524,4,FALSE)</f>
        <v>10000</v>
      </c>
      <c r="G241" s="84">
        <f t="shared" si="19"/>
        <v>10</v>
      </c>
    </row>
    <row r="242" spans="1:7">
      <c r="A242" s="261" t="s">
        <v>421</v>
      </c>
      <c r="B242" s="261"/>
      <c r="C242" s="261"/>
      <c r="D242" s="261"/>
      <c r="E242" s="261"/>
      <c r="F242" s="261"/>
      <c r="G242" s="85">
        <f>SUM(G233:G241)</f>
        <v>170745</v>
      </c>
    </row>
    <row r="243" spans="1:7">
      <c r="A243" s="8" t="s">
        <v>36</v>
      </c>
      <c r="B243" s="1" t="s">
        <v>37</v>
      </c>
      <c r="C243" s="8"/>
      <c r="D243" s="9"/>
      <c r="E243" s="19"/>
      <c r="F243" s="2"/>
      <c r="G243" s="2"/>
    </row>
    <row r="244" spans="1:7">
      <c r="A244" s="263" t="s">
        <v>419</v>
      </c>
      <c r="B244" s="263"/>
      <c r="C244" s="263"/>
      <c r="D244" s="263"/>
      <c r="E244" s="263"/>
      <c r="F244" s="263"/>
      <c r="G244" s="80">
        <f>SUM(G243)</f>
        <v>0</v>
      </c>
    </row>
    <row r="245" spans="1:7">
      <c r="A245" s="81" t="s">
        <v>38</v>
      </c>
      <c r="B245" s="262" t="s">
        <v>39</v>
      </c>
      <c r="C245" s="262"/>
      <c r="D245" s="262"/>
      <c r="E245" s="262"/>
      <c r="F245" s="262"/>
      <c r="G245" s="80">
        <f>SUM(G227:G244)/2</f>
        <v>172911</v>
      </c>
    </row>
    <row r="246" spans="1:7">
      <c r="A246" s="81" t="s">
        <v>40</v>
      </c>
      <c r="B246" s="262" t="s">
        <v>180</v>
      </c>
      <c r="C246" s="262"/>
      <c r="D246" s="262"/>
      <c r="E246" s="262"/>
      <c r="F246" s="82">
        <v>0.1</v>
      </c>
      <c r="G246" s="80">
        <f>G245*F246</f>
        <v>17291.100000000002</v>
      </c>
    </row>
    <row r="247" spans="1:7">
      <c r="A247" s="81" t="s">
        <v>41</v>
      </c>
      <c r="B247" s="262" t="s">
        <v>42</v>
      </c>
      <c r="C247" s="262"/>
      <c r="D247" s="262"/>
      <c r="E247" s="262"/>
      <c r="F247" s="262"/>
      <c r="G247" s="80">
        <f>G245+G246</f>
        <v>190202.1</v>
      </c>
    </row>
    <row r="248" spans="1:7">
      <c r="A248" s="90"/>
      <c r="B248" s="91"/>
      <c r="C248" s="91"/>
      <c r="D248" s="91"/>
      <c r="E248" s="91"/>
      <c r="F248" s="91"/>
      <c r="G248" s="92"/>
    </row>
    <row r="249" spans="1:7">
      <c r="A249" s="4" t="s">
        <v>513</v>
      </c>
      <c r="B249" s="91"/>
      <c r="C249" s="91"/>
      <c r="D249" s="91"/>
      <c r="E249" s="91"/>
      <c r="F249" s="91"/>
      <c r="G249" s="92"/>
    </row>
    <row r="250" spans="1:7" ht="30">
      <c r="A250" s="79" t="s">
        <v>0</v>
      </c>
      <c r="B250" s="79" t="s">
        <v>1</v>
      </c>
      <c r="C250" s="79" t="s">
        <v>207</v>
      </c>
      <c r="D250" s="79" t="s">
        <v>3</v>
      </c>
      <c r="E250" s="79" t="s">
        <v>2</v>
      </c>
      <c r="F250" s="79" t="s">
        <v>417</v>
      </c>
      <c r="G250" s="79" t="s">
        <v>418</v>
      </c>
    </row>
    <row r="251" spans="1:7">
      <c r="A251" s="8" t="s">
        <v>4</v>
      </c>
      <c r="B251" s="1" t="s">
        <v>5</v>
      </c>
      <c r="C251" s="8"/>
      <c r="D251" s="9"/>
      <c r="E251" s="19"/>
      <c r="F251" s="2"/>
      <c r="G251" s="2"/>
    </row>
    <row r="252" spans="1:7">
      <c r="A252" s="8">
        <v>1</v>
      </c>
      <c r="B252" s="1" t="s">
        <v>6</v>
      </c>
      <c r="C252" s="8" t="s">
        <v>7</v>
      </c>
      <c r="D252" s="9" t="s">
        <v>8</v>
      </c>
      <c r="E252" s="10" t="s">
        <v>9</v>
      </c>
      <c r="F252" s="83">
        <f>VLOOKUP(B252,'HSD UPAH,BAHAN,ALAT'!$C$6:F533,4,FALSE)</f>
        <v>100000</v>
      </c>
      <c r="G252" s="84">
        <f t="shared" ref="G252:G254" si="20">E252*F252</f>
        <v>1430</v>
      </c>
    </row>
    <row r="253" spans="1:7">
      <c r="A253" s="8">
        <v>2</v>
      </c>
      <c r="B253" s="1" t="s">
        <v>10</v>
      </c>
      <c r="C253" s="8" t="s">
        <v>11</v>
      </c>
      <c r="D253" s="9" t="s">
        <v>8</v>
      </c>
      <c r="E253" s="10" t="s">
        <v>12</v>
      </c>
      <c r="F253" s="83">
        <f>VLOOKUP(B253,'HSD UPAH,BAHAN,ALAT'!$C$6:F534,4,FALSE)</f>
        <v>120000</v>
      </c>
      <c r="G253" s="84">
        <f t="shared" si="20"/>
        <v>576</v>
      </c>
    </row>
    <row r="254" spans="1:7">
      <c r="A254" s="8">
        <v>3</v>
      </c>
      <c r="B254" s="1" t="s">
        <v>13</v>
      </c>
      <c r="C254" s="8" t="s">
        <v>14</v>
      </c>
      <c r="D254" s="9" t="s">
        <v>8</v>
      </c>
      <c r="E254" s="10" t="s">
        <v>15</v>
      </c>
      <c r="F254" s="83">
        <f>VLOOKUP(B254,'HSD UPAH,BAHAN,ALAT'!$C$6:F535,4,FALSE)</f>
        <v>100000</v>
      </c>
      <c r="G254" s="84">
        <f t="shared" si="20"/>
        <v>160</v>
      </c>
    </row>
    <row r="255" spans="1:7">
      <c r="A255" s="261" t="s">
        <v>420</v>
      </c>
      <c r="B255" s="261"/>
      <c r="C255" s="261"/>
      <c r="D255" s="261"/>
      <c r="E255" s="261"/>
      <c r="F255" s="261"/>
      <c r="G255" s="85">
        <f>SUM(G251:G254)</f>
        <v>2166</v>
      </c>
    </row>
    <row r="256" spans="1:7">
      <c r="A256" s="8" t="s">
        <v>16</v>
      </c>
      <c r="B256" s="1" t="s">
        <v>17</v>
      </c>
      <c r="C256" s="8"/>
      <c r="D256" s="9"/>
      <c r="E256" s="19"/>
      <c r="F256" s="2"/>
      <c r="G256" s="2"/>
    </row>
    <row r="257" spans="1:7" ht="30">
      <c r="A257" s="17" t="s">
        <v>208</v>
      </c>
      <c r="B257" s="5" t="s">
        <v>238</v>
      </c>
      <c r="C257" s="8"/>
      <c r="D257" s="12" t="s">
        <v>86</v>
      </c>
      <c r="E257" s="7" t="s">
        <v>87</v>
      </c>
      <c r="F257" s="83">
        <f>VLOOKUP(B257,'HSD UPAH,BAHAN,ALAT'!$C$6:F538,4,FALSE)</f>
        <v>10000</v>
      </c>
      <c r="G257" s="84">
        <f t="shared" ref="G257:G265" si="21">E257*F257</f>
        <v>10500</v>
      </c>
    </row>
    <row r="258" spans="1:7">
      <c r="A258" s="8">
        <v>2</v>
      </c>
      <c r="B258" s="1" t="s">
        <v>18</v>
      </c>
      <c r="C258" s="8"/>
      <c r="D258" s="9" t="s">
        <v>19</v>
      </c>
      <c r="E258" s="10" t="s">
        <v>20</v>
      </c>
      <c r="F258" s="83">
        <f>VLOOKUP(B258,'HSD UPAH,BAHAN,ALAT'!$C$6:F539,4,FALSE)</f>
        <v>10000</v>
      </c>
      <c r="G258" s="84">
        <f t="shared" si="21"/>
        <v>50</v>
      </c>
    </row>
    <row r="259" spans="1:7">
      <c r="A259" s="8">
        <v>3</v>
      </c>
      <c r="B259" s="1" t="s">
        <v>21</v>
      </c>
      <c r="C259" s="8"/>
      <c r="D259" s="9"/>
      <c r="E259" s="19"/>
      <c r="F259" s="83"/>
      <c r="G259" s="84">
        <f t="shared" si="21"/>
        <v>0</v>
      </c>
    </row>
    <row r="260" spans="1:7">
      <c r="A260" s="8" t="s">
        <v>22</v>
      </c>
      <c r="B260" s="1" t="s">
        <v>23</v>
      </c>
      <c r="C260" s="8"/>
      <c r="D260" s="9" t="s">
        <v>24</v>
      </c>
      <c r="E260" s="10" t="s">
        <v>25</v>
      </c>
      <c r="F260" s="83">
        <f>VLOOKUP(B260,'HSD UPAH,BAHAN,ALAT'!$C$6:F541,4,FALSE)</f>
        <v>10000</v>
      </c>
      <c r="G260" s="84">
        <f t="shared" si="21"/>
        <v>60000</v>
      </c>
    </row>
    <row r="261" spans="1:7" ht="30">
      <c r="A261" s="17" t="s">
        <v>30</v>
      </c>
      <c r="B261" s="5" t="s">
        <v>210</v>
      </c>
      <c r="C261" s="8"/>
      <c r="D261" s="12" t="s">
        <v>24</v>
      </c>
      <c r="E261" s="7" t="s">
        <v>57</v>
      </c>
      <c r="F261" s="83">
        <f>VLOOKUP(B261,'HSD UPAH,BAHAN,ALAT'!$C$6:F542,4,FALSE)</f>
        <v>10000</v>
      </c>
      <c r="G261" s="84">
        <f t="shared" si="21"/>
        <v>100000</v>
      </c>
    </row>
    <row r="262" spans="1:7">
      <c r="A262" s="8">
        <v>4</v>
      </c>
      <c r="B262" s="1" t="s">
        <v>26</v>
      </c>
      <c r="C262" s="8"/>
      <c r="D262" s="9"/>
      <c r="E262" s="19"/>
      <c r="F262" s="83"/>
      <c r="G262" s="84">
        <f t="shared" si="21"/>
        <v>0</v>
      </c>
    </row>
    <row r="263" spans="1:7">
      <c r="A263" s="8" t="s">
        <v>22</v>
      </c>
      <c r="B263" s="1" t="s">
        <v>27</v>
      </c>
      <c r="C263" s="8"/>
      <c r="D263" s="9" t="s">
        <v>28</v>
      </c>
      <c r="E263" s="10" t="s">
        <v>29</v>
      </c>
      <c r="F263" s="83">
        <f>VLOOKUP(B263,'HSD UPAH,BAHAN,ALAT'!$C$6:F544,4,FALSE)</f>
        <v>10000</v>
      </c>
      <c r="G263" s="84">
        <f t="shared" si="21"/>
        <v>146</v>
      </c>
    </row>
    <row r="264" spans="1:7">
      <c r="A264" s="8" t="s">
        <v>30</v>
      </c>
      <c r="B264" s="1" t="s">
        <v>31</v>
      </c>
      <c r="C264" s="8"/>
      <c r="D264" s="9" t="s">
        <v>28</v>
      </c>
      <c r="E264" s="10" t="s">
        <v>32</v>
      </c>
      <c r="F264" s="83">
        <f>VLOOKUP(B264,'HSD UPAH,BAHAN,ALAT'!$C$6:F545,4,FALSE)</f>
        <v>10000</v>
      </c>
      <c r="G264" s="84">
        <f t="shared" si="21"/>
        <v>39</v>
      </c>
    </row>
    <row r="265" spans="1:7">
      <c r="A265" s="8" t="s">
        <v>33</v>
      </c>
      <c r="B265" s="1" t="s">
        <v>34</v>
      </c>
      <c r="C265" s="8"/>
      <c r="D265" s="9" t="s">
        <v>28</v>
      </c>
      <c r="E265" s="10" t="s">
        <v>35</v>
      </c>
      <c r="F265" s="83">
        <f>VLOOKUP(B265,'HSD UPAH,BAHAN,ALAT'!$C$6:F546,4,FALSE)</f>
        <v>10000</v>
      </c>
      <c r="G265" s="84">
        <f t="shared" si="21"/>
        <v>10</v>
      </c>
    </row>
    <row r="266" spans="1:7">
      <c r="A266" s="261" t="s">
        <v>421</v>
      </c>
      <c r="B266" s="261"/>
      <c r="C266" s="261"/>
      <c r="D266" s="261"/>
      <c r="E266" s="261"/>
      <c r="F266" s="261"/>
      <c r="G266" s="85">
        <f>SUM(G257:G265)</f>
        <v>170745</v>
      </c>
    </row>
    <row r="267" spans="1:7">
      <c r="A267" s="8" t="s">
        <v>36</v>
      </c>
      <c r="B267" s="1" t="s">
        <v>37</v>
      </c>
      <c r="C267" s="8"/>
      <c r="D267" s="9"/>
      <c r="E267" s="19"/>
      <c r="F267" s="2"/>
      <c r="G267" s="2"/>
    </row>
    <row r="268" spans="1:7">
      <c r="A268" s="263" t="s">
        <v>419</v>
      </c>
      <c r="B268" s="263"/>
      <c r="C268" s="263"/>
      <c r="D268" s="263"/>
      <c r="E268" s="263"/>
      <c r="F268" s="263"/>
      <c r="G268" s="80">
        <f>SUM(G267)</f>
        <v>0</v>
      </c>
    </row>
    <row r="269" spans="1:7">
      <c r="A269" s="81" t="s">
        <v>38</v>
      </c>
      <c r="B269" s="262" t="s">
        <v>39</v>
      </c>
      <c r="C269" s="262"/>
      <c r="D269" s="262"/>
      <c r="E269" s="262"/>
      <c r="F269" s="262"/>
      <c r="G269" s="80">
        <f>SUM(G251:G268)/2</f>
        <v>172911</v>
      </c>
    </row>
    <row r="270" spans="1:7">
      <c r="A270" s="81" t="s">
        <v>40</v>
      </c>
      <c r="B270" s="262" t="s">
        <v>180</v>
      </c>
      <c r="C270" s="262"/>
      <c r="D270" s="262"/>
      <c r="E270" s="262"/>
      <c r="F270" s="82">
        <v>0.1</v>
      </c>
      <c r="G270" s="80">
        <f>G269*F270</f>
        <v>17291.100000000002</v>
      </c>
    </row>
    <row r="271" spans="1:7">
      <c r="A271" s="81" t="s">
        <v>41</v>
      </c>
      <c r="B271" s="262" t="s">
        <v>42</v>
      </c>
      <c r="C271" s="262"/>
      <c r="D271" s="262"/>
      <c r="E271" s="262"/>
      <c r="F271" s="262"/>
      <c r="G271" s="80">
        <f>G269+G270</f>
        <v>190202.1</v>
      </c>
    </row>
    <row r="272" spans="1:7">
      <c r="A272" s="90"/>
      <c r="B272" s="91"/>
      <c r="C272" s="91"/>
      <c r="D272" s="91"/>
      <c r="E272" s="91"/>
      <c r="F272" s="91"/>
      <c r="G272" s="92"/>
    </row>
    <row r="273" spans="1:7">
      <c r="A273" s="90"/>
      <c r="B273" s="91"/>
      <c r="C273" s="91"/>
      <c r="D273" s="91"/>
      <c r="E273" s="91"/>
      <c r="F273" s="91"/>
      <c r="G273" s="92"/>
    </row>
    <row r="274" spans="1:7">
      <c r="A274" s="4" t="s">
        <v>514</v>
      </c>
      <c r="B274" s="91"/>
      <c r="C274" s="91"/>
      <c r="D274" s="91"/>
      <c r="E274" s="91"/>
      <c r="F274" s="91"/>
      <c r="G274" s="92"/>
    </row>
    <row r="275" spans="1:7" ht="30">
      <c r="A275" s="79" t="s">
        <v>0</v>
      </c>
      <c r="B275" s="79" t="s">
        <v>1</v>
      </c>
      <c r="C275" s="79" t="s">
        <v>207</v>
      </c>
      <c r="D275" s="79" t="s">
        <v>3</v>
      </c>
      <c r="E275" s="79" t="s">
        <v>2</v>
      </c>
      <c r="F275" s="79" t="s">
        <v>417</v>
      </c>
      <c r="G275" s="79" t="s">
        <v>418</v>
      </c>
    </row>
    <row r="276" spans="1:7">
      <c r="A276" s="8" t="s">
        <v>4</v>
      </c>
      <c r="B276" s="1" t="s">
        <v>5</v>
      </c>
      <c r="C276" s="8"/>
      <c r="D276" s="9"/>
      <c r="E276" s="19"/>
      <c r="F276" s="2"/>
      <c r="G276" s="2"/>
    </row>
    <row r="277" spans="1:7">
      <c r="A277" s="8">
        <v>1</v>
      </c>
      <c r="B277" s="1" t="s">
        <v>6</v>
      </c>
      <c r="C277" s="8" t="s">
        <v>7</v>
      </c>
      <c r="D277" s="9" t="s">
        <v>8</v>
      </c>
      <c r="E277" s="10" t="s">
        <v>9</v>
      </c>
      <c r="F277" s="83">
        <f>VLOOKUP(B277,'HSD UPAH,BAHAN,ALAT'!$C$6:F555,4,FALSE)</f>
        <v>100000</v>
      </c>
      <c r="G277" s="84">
        <f t="shared" ref="G277:G279" si="22">E277*F277</f>
        <v>1430</v>
      </c>
    </row>
    <row r="278" spans="1:7">
      <c r="A278" s="8">
        <v>2</v>
      </c>
      <c r="B278" s="1" t="s">
        <v>10</v>
      </c>
      <c r="C278" s="8" t="s">
        <v>11</v>
      </c>
      <c r="D278" s="9" t="s">
        <v>8</v>
      </c>
      <c r="E278" s="10" t="s">
        <v>12</v>
      </c>
      <c r="F278" s="83">
        <f>VLOOKUP(B278,'HSD UPAH,BAHAN,ALAT'!$C$6:F556,4,FALSE)</f>
        <v>120000</v>
      </c>
      <c r="G278" s="84">
        <f t="shared" si="22"/>
        <v>576</v>
      </c>
    </row>
    <row r="279" spans="1:7">
      <c r="A279" s="8">
        <v>3</v>
      </c>
      <c r="B279" s="1" t="s">
        <v>13</v>
      </c>
      <c r="C279" s="8" t="s">
        <v>14</v>
      </c>
      <c r="D279" s="9" t="s">
        <v>8</v>
      </c>
      <c r="E279" s="10" t="s">
        <v>15</v>
      </c>
      <c r="F279" s="83">
        <f>VLOOKUP(B279,'HSD UPAH,BAHAN,ALAT'!$C$6:F557,4,FALSE)</f>
        <v>100000</v>
      </c>
      <c r="G279" s="84">
        <f t="shared" si="22"/>
        <v>160</v>
      </c>
    </row>
    <row r="280" spans="1:7">
      <c r="A280" s="261" t="s">
        <v>420</v>
      </c>
      <c r="B280" s="261"/>
      <c r="C280" s="261"/>
      <c r="D280" s="261"/>
      <c r="E280" s="261"/>
      <c r="F280" s="261"/>
      <c r="G280" s="85">
        <f>SUM(G276:G279)</f>
        <v>2166</v>
      </c>
    </row>
    <row r="281" spans="1:7">
      <c r="A281" s="8" t="s">
        <v>16</v>
      </c>
      <c r="B281" s="1" t="s">
        <v>17</v>
      </c>
      <c r="C281" s="8"/>
      <c r="D281" s="9"/>
      <c r="E281" s="19"/>
      <c r="F281" s="2"/>
      <c r="G281" s="2"/>
    </row>
    <row r="282" spans="1:7" ht="30">
      <c r="A282" s="17" t="s">
        <v>208</v>
      </c>
      <c r="B282" s="5" t="s">
        <v>239</v>
      </c>
      <c r="C282" s="8"/>
      <c r="D282" s="12" t="s">
        <v>86</v>
      </c>
      <c r="E282" s="7" t="s">
        <v>87</v>
      </c>
      <c r="F282" s="83">
        <f>VLOOKUP(B282,'HSD UPAH,BAHAN,ALAT'!$C$6:F560,4,FALSE)</f>
        <v>10000</v>
      </c>
      <c r="G282" s="84">
        <f t="shared" ref="G282:G290" si="23">E282*F282</f>
        <v>10500</v>
      </c>
    </row>
    <row r="283" spans="1:7">
      <c r="A283" s="8">
        <v>2</v>
      </c>
      <c r="B283" s="1" t="s">
        <v>18</v>
      </c>
      <c r="C283" s="8"/>
      <c r="D283" s="9" t="s">
        <v>19</v>
      </c>
      <c r="E283" s="10" t="s">
        <v>20</v>
      </c>
      <c r="F283" s="83">
        <f>VLOOKUP(B283,'HSD UPAH,BAHAN,ALAT'!$C$6:F561,4,FALSE)</f>
        <v>10000</v>
      </c>
      <c r="G283" s="84">
        <f t="shared" si="23"/>
        <v>50</v>
      </c>
    </row>
    <row r="284" spans="1:7">
      <c r="A284" s="8">
        <v>3</v>
      </c>
      <c r="B284" s="1" t="s">
        <v>21</v>
      </c>
      <c r="C284" s="8"/>
      <c r="D284" s="9"/>
      <c r="E284" s="19"/>
      <c r="F284" s="83"/>
      <c r="G284" s="84">
        <f t="shared" si="23"/>
        <v>0</v>
      </c>
    </row>
    <row r="285" spans="1:7">
      <c r="A285" s="8" t="s">
        <v>22</v>
      </c>
      <c r="B285" s="1" t="s">
        <v>23</v>
      </c>
      <c r="C285" s="8"/>
      <c r="D285" s="9" t="s">
        <v>24</v>
      </c>
      <c r="E285" s="10" t="s">
        <v>25</v>
      </c>
      <c r="F285" s="83">
        <f>VLOOKUP(B285,'HSD UPAH,BAHAN,ALAT'!$C$6:F563,4,FALSE)</f>
        <v>10000</v>
      </c>
      <c r="G285" s="84">
        <f t="shared" si="23"/>
        <v>60000</v>
      </c>
    </row>
    <row r="286" spans="1:7" ht="30">
      <c r="A286" s="17" t="s">
        <v>30</v>
      </c>
      <c r="B286" s="5" t="s">
        <v>210</v>
      </c>
      <c r="C286" s="8"/>
      <c r="D286" s="12" t="s">
        <v>24</v>
      </c>
      <c r="E286" s="7" t="s">
        <v>57</v>
      </c>
      <c r="F286" s="83">
        <f>VLOOKUP(B286,'HSD UPAH,BAHAN,ALAT'!$C$6:F564,4,FALSE)</f>
        <v>10000</v>
      </c>
      <c r="G286" s="84">
        <f t="shared" si="23"/>
        <v>100000</v>
      </c>
    </row>
    <row r="287" spans="1:7">
      <c r="A287" s="8">
        <v>4</v>
      </c>
      <c r="B287" s="1" t="s">
        <v>26</v>
      </c>
      <c r="C287" s="8"/>
      <c r="D287" s="9"/>
      <c r="E287" s="19"/>
      <c r="F287" s="83"/>
      <c r="G287" s="84">
        <f t="shared" si="23"/>
        <v>0</v>
      </c>
    </row>
    <row r="288" spans="1:7">
      <c r="A288" s="8" t="s">
        <v>22</v>
      </c>
      <c r="B288" s="1" t="s">
        <v>27</v>
      </c>
      <c r="C288" s="8"/>
      <c r="D288" s="9" t="s">
        <v>28</v>
      </c>
      <c r="E288" s="10" t="s">
        <v>29</v>
      </c>
      <c r="F288" s="83">
        <f>VLOOKUP(B288,'HSD UPAH,BAHAN,ALAT'!$C$6:F566,4,FALSE)</f>
        <v>10000</v>
      </c>
      <c r="G288" s="84">
        <f t="shared" si="23"/>
        <v>146</v>
      </c>
    </row>
    <row r="289" spans="1:7">
      <c r="A289" s="8" t="s">
        <v>30</v>
      </c>
      <c r="B289" s="1" t="s">
        <v>31</v>
      </c>
      <c r="C289" s="8"/>
      <c r="D289" s="9" t="s">
        <v>28</v>
      </c>
      <c r="E289" s="10" t="s">
        <v>32</v>
      </c>
      <c r="F289" s="83">
        <f>VLOOKUP(B289,'HSD UPAH,BAHAN,ALAT'!$C$6:F567,4,FALSE)</f>
        <v>10000</v>
      </c>
      <c r="G289" s="84">
        <f t="shared" si="23"/>
        <v>39</v>
      </c>
    </row>
    <row r="290" spans="1:7">
      <c r="A290" s="8" t="s">
        <v>33</v>
      </c>
      <c r="B290" s="1" t="s">
        <v>34</v>
      </c>
      <c r="C290" s="8"/>
      <c r="D290" s="9" t="s">
        <v>28</v>
      </c>
      <c r="E290" s="10" t="s">
        <v>35</v>
      </c>
      <c r="F290" s="83">
        <f>VLOOKUP(B290,'HSD UPAH,BAHAN,ALAT'!$C$6:F568,4,FALSE)</f>
        <v>10000</v>
      </c>
      <c r="G290" s="84">
        <f t="shared" si="23"/>
        <v>10</v>
      </c>
    </row>
    <row r="291" spans="1:7">
      <c r="A291" s="261" t="s">
        <v>421</v>
      </c>
      <c r="B291" s="261"/>
      <c r="C291" s="261"/>
      <c r="D291" s="261"/>
      <c r="E291" s="261"/>
      <c r="F291" s="261"/>
      <c r="G291" s="85">
        <f>SUM(G282:G290)</f>
        <v>170745</v>
      </c>
    </row>
    <row r="292" spans="1:7">
      <c r="A292" s="8" t="s">
        <v>36</v>
      </c>
      <c r="B292" s="1" t="s">
        <v>37</v>
      </c>
      <c r="C292" s="8"/>
      <c r="D292" s="9"/>
      <c r="E292" s="19"/>
      <c r="F292" s="2"/>
      <c r="G292" s="2"/>
    </row>
    <row r="293" spans="1:7">
      <c r="A293" s="263" t="s">
        <v>419</v>
      </c>
      <c r="B293" s="263"/>
      <c r="C293" s="263"/>
      <c r="D293" s="263"/>
      <c r="E293" s="263"/>
      <c r="F293" s="263"/>
      <c r="G293" s="80">
        <f>SUM(G292)</f>
        <v>0</v>
      </c>
    </row>
    <row r="294" spans="1:7">
      <c r="A294" s="81" t="s">
        <v>38</v>
      </c>
      <c r="B294" s="262" t="s">
        <v>39</v>
      </c>
      <c r="C294" s="262"/>
      <c r="D294" s="262"/>
      <c r="E294" s="262"/>
      <c r="F294" s="262"/>
      <c r="G294" s="80">
        <f>SUM(G276:G293)/2</f>
        <v>172911</v>
      </c>
    </row>
    <row r="295" spans="1:7">
      <c r="A295" s="81" t="s">
        <v>40</v>
      </c>
      <c r="B295" s="262" t="s">
        <v>180</v>
      </c>
      <c r="C295" s="262"/>
      <c r="D295" s="262"/>
      <c r="E295" s="262"/>
      <c r="F295" s="82">
        <v>0.1</v>
      </c>
      <c r="G295" s="80">
        <f>G294*F295</f>
        <v>17291.100000000002</v>
      </c>
    </row>
    <row r="296" spans="1:7">
      <c r="A296" s="81" t="s">
        <v>41</v>
      </c>
      <c r="B296" s="262" t="s">
        <v>42</v>
      </c>
      <c r="C296" s="262"/>
      <c r="D296" s="262"/>
      <c r="E296" s="262"/>
      <c r="F296" s="262"/>
      <c r="G296" s="80">
        <f>G294+G295</f>
        <v>190202.1</v>
      </c>
    </row>
    <row r="297" spans="1:7">
      <c r="A297" s="90"/>
      <c r="B297" s="91"/>
      <c r="C297" s="91"/>
      <c r="D297" s="91"/>
      <c r="E297" s="91"/>
      <c r="F297" s="91"/>
      <c r="G297" s="92"/>
    </row>
    <row r="298" spans="1:7">
      <c r="A298" s="4" t="s">
        <v>515</v>
      </c>
      <c r="B298" s="91"/>
      <c r="C298" s="91"/>
      <c r="D298" s="91"/>
      <c r="E298" s="91"/>
      <c r="F298" s="91"/>
      <c r="G298" s="92"/>
    </row>
    <row r="299" spans="1:7" ht="30">
      <c r="A299" s="79" t="s">
        <v>0</v>
      </c>
      <c r="B299" s="79" t="s">
        <v>1</v>
      </c>
      <c r="C299" s="79" t="s">
        <v>207</v>
      </c>
      <c r="D299" s="79" t="s">
        <v>3</v>
      </c>
      <c r="E299" s="79" t="s">
        <v>2</v>
      </c>
      <c r="F299" s="79" t="s">
        <v>417</v>
      </c>
      <c r="G299" s="79" t="s">
        <v>418</v>
      </c>
    </row>
    <row r="300" spans="1:7">
      <c r="A300" s="8" t="s">
        <v>4</v>
      </c>
      <c r="B300" s="1" t="s">
        <v>5</v>
      </c>
      <c r="C300" s="8"/>
      <c r="D300" s="9"/>
      <c r="E300" s="19"/>
      <c r="F300" s="2"/>
      <c r="G300" s="2"/>
    </row>
    <row r="301" spans="1:7">
      <c r="A301" s="8">
        <v>1</v>
      </c>
      <c r="B301" s="1" t="s">
        <v>6</v>
      </c>
      <c r="C301" s="8" t="s">
        <v>7</v>
      </c>
      <c r="D301" s="9" t="s">
        <v>8</v>
      </c>
      <c r="E301" s="10" t="s">
        <v>9</v>
      </c>
      <c r="F301" s="83">
        <f>VLOOKUP(B301,'HSD UPAH,BAHAN,ALAT'!$C$6:F577,4,FALSE)</f>
        <v>100000</v>
      </c>
      <c r="G301" s="84">
        <f t="shared" ref="G301:G303" si="24">E301*F301</f>
        <v>1430</v>
      </c>
    </row>
    <row r="302" spans="1:7">
      <c r="A302" s="8">
        <v>2</v>
      </c>
      <c r="B302" s="1" t="s">
        <v>10</v>
      </c>
      <c r="C302" s="8" t="s">
        <v>11</v>
      </c>
      <c r="D302" s="9" t="s">
        <v>8</v>
      </c>
      <c r="E302" s="10" t="s">
        <v>12</v>
      </c>
      <c r="F302" s="83">
        <f>VLOOKUP(B302,'HSD UPAH,BAHAN,ALAT'!$C$6:F578,4,FALSE)</f>
        <v>120000</v>
      </c>
      <c r="G302" s="84">
        <f t="shared" si="24"/>
        <v>576</v>
      </c>
    </row>
    <row r="303" spans="1:7">
      <c r="A303" s="8">
        <v>3</v>
      </c>
      <c r="B303" s="1" t="s">
        <v>13</v>
      </c>
      <c r="C303" s="8" t="s">
        <v>14</v>
      </c>
      <c r="D303" s="9" t="s">
        <v>8</v>
      </c>
      <c r="E303" s="10" t="s">
        <v>15</v>
      </c>
      <c r="F303" s="83">
        <f>VLOOKUP(B303,'HSD UPAH,BAHAN,ALAT'!$C$6:F579,4,FALSE)</f>
        <v>100000</v>
      </c>
      <c r="G303" s="84">
        <f t="shared" si="24"/>
        <v>160</v>
      </c>
    </row>
    <row r="304" spans="1:7">
      <c r="A304" s="261" t="s">
        <v>420</v>
      </c>
      <c r="B304" s="261"/>
      <c r="C304" s="261"/>
      <c r="D304" s="261"/>
      <c r="E304" s="261"/>
      <c r="F304" s="261"/>
      <c r="G304" s="85">
        <f>SUM(G300:G303)</f>
        <v>2166</v>
      </c>
    </row>
    <row r="305" spans="1:7">
      <c r="A305" s="8" t="s">
        <v>16</v>
      </c>
      <c r="B305" s="1" t="s">
        <v>17</v>
      </c>
      <c r="C305" s="8"/>
      <c r="D305" s="9"/>
      <c r="E305" s="19"/>
      <c r="F305" s="2"/>
      <c r="G305" s="2"/>
    </row>
    <row r="306" spans="1:7" ht="30">
      <c r="A306" s="17" t="s">
        <v>208</v>
      </c>
      <c r="B306" s="5" t="s">
        <v>240</v>
      </c>
      <c r="C306" s="8"/>
      <c r="D306" s="12" t="s">
        <v>86</v>
      </c>
      <c r="E306" s="7" t="s">
        <v>87</v>
      </c>
      <c r="F306" s="83">
        <f>VLOOKUP(B306,'HSD UPAH,BAHAN,ALAT'!$C$6:F582,4,FALSE)</f>
        <v>10000</v>
      </c>
      <c r="G306" s="84">
        <f t="shared" ref="G306:G314" si="25">E306*F306</f>
        <v>10500</v>
      </c>
    </row>
    <row r="307" spans="1:7">
      <c r="A307" s="8">
        <v>2</v>
      </c>
      <c r="B307" s="1" t="s">
        <v>18</v>
      </c>
      <c r="C307" s="8"/>
      <c r="D307" s="9" t="s">
        <v>19</v>
      </c>
      <c r="E307" s="10" t="s">
        <v>20</v>
      </c>
      <c r="F307" s="83">
        <f>VLOOKUP(B307,'HSD UPAH,BAHAN,ALAT'!$C$6:F583,4,FALSE)</f>
        <v>10000</v>
      </c>
      <c r="G307" s="84">
        <f t="shared" si="25"/>
        <v>50</v>
      </c>
    </row>
    <row r="308" spans="1:7">
      <c r="A308" s="8">
        <v>3</v>
      </c>
      <c r="B308" s="1" t="s">
        <v>21</v>
      </c>
      <c r="C308" s="8"/>
      <c r="D308" s="9"/>
      <c r="E308" s="19"/>
      <c r="F308" s="83"/>
      <c r="G308" s="84">
        <f t="shared" si="25"/>
        <v>0</v>
      </c>
    </row>
    <row r="309" spans="1:7">
      <c r="A309" s="8" t="s">
        <v>22</v>
      </c>
      <c r="B309" s="1" t="s">
        <v>23</v>
      </c>
      <c r="C309" s="8"/>
      <c r="D309" s="9" t="s">
        <v>24</v>
      </c>
      <c r="E309" s="10" t="s">
        <v>25</v>
      </c>
      <c r="F309" s="83">
        <f>VLOOKUP(B309,'HSD UPAH,BAHAN,ALAT'!$C$6:F585,4,FALSE)</f>
        <v>10000</v>
      </c>
      <c r="G309" s="84">
        <f t="shared" si="25"/>
        <v>60000</v>
      </c>
    </row>
    <row r="310" spans="1:7" ht="30">
      <c r="A310" s="17" t="s">
        <v>30</v>
      </c>
      <c r="B310" s="5" t="s">
        <v>210</v>
      </c>
      <c r="C310" s="8"/>
      <c r="D310" s="12" t="s">
        <v>24</v>
      </c>
      <c r="E310" s="7" t="s">
        <v>57</v>
      </c>
      <c r="F310" s="83">
        <f>VLOOKUP(B310,'HSD UPAH,BAHAN,ALAT'!$C$6:F586,4,FALSE)</f>
        <v>10000</v>
      </c>
      <c r="G310" s="84">
        <f t="shared" si="25"/>
        <v>100000</v>
      </c>
    </row>
    <row r="311" spans="1:7">
      <c r="A311" s="8">
        <v>4</v>
      </c>
      <c r="B311" s="1" t="s">
        <v>26</v>
      </c>
      <c r="C311" s="8"/>
      <c r="D311" s="9"/>
      <c r="E311" s="19"/>
      <c r="F311" s="83"/>
      <c r="G311" s="84">
        <f t="shared" si="25"/>
        <v>0</v>
      </c>
    </row>
    <row r="312" spans="1:7">
      <c r="A312" s="8" t="s">
        <v>22</v>
      </c>
      <c r="B312" s="1" t="s">
        <v>27</v>
      </c>
      <c r="C312" s="8"/>
      <c r="D312" s="9" t="s">
        <v>28</v>
      </c>
      <c r="E312" s="10" t="s">
        <v>29</v>
      </c>
      <c r="F312" s="83">
        <f>VLOOKUP(B312,'HSD UPAH,BAHAN,ALAT'!$C$6:F588,4,FALSE)</f>
        <v>10000</v>
      </c>
      <c r="G312" s="84">
        <f t="shared" si="25"/>
        <v>146</v>
      </c>
    </row>
    <row r="313" spans="1:7">
      <c r="A313" s="8" t="s">
        <v>30</v>
      </c>
      <c r="B313" s="1" t="s">
        <v>31</v>
      </c>
      <c r="C313" s="8"/>
      <c r="D313" s="9" t="s">
        <v>28</v>
      </c>
      <c r="E313" s="10" t="s">
        <v>32</v>
      </c>
      <c r="F313" s="83">
        <f>VLOOKUP(B313,'HSD UPAH,BAHAN,ALAT'!$C$6:F589,4,FALSE)</f>
        <v>10000</v>
      </c>
      <c r="G313" s="84">
        <f t="shared" si="25"/>
        <v>39</v>
      </c>
    </row>
    <row r="314" spans="1:7">
      <c r="A314" s="8" t="s">
        <v>33</v>
      </c>
      <c r="B314" s="1" t="s">
        <v>34</v>
      </c>
      <c r="C314" s="8"/>
      <c r="D314" s="9" t="s">
        <v>28</v>
      </c>
      <c r="E314" s="10" t="s">
        <v>35</v>
      </c>
      <c r="F314" s="83">
        <f>VLOOKUP(B314,'HSD UPAH,BAHAN,ALAT'!$C$6:F590,4,FALSE)</f>
        <v>10000</v>
      </c>
      <c r="G314" s="84">
        <f t="shared" si="25"/>
        <v>10</v>
      </c>
    </row>
    <row r="315" spans="1:7">
      <c r="A315" s="261" t="s">
        <v>421</v>
      </c>
      <c r="B315" s="261"/>
      <c r="C315" s="261"/>
      <c r="D315" s="261"/>
      <c r="E315" s="261"/>
      <c r="F315" s="261"/>
      <c r="G315" s="85">
        <f>SUM(G306:G314)</f>
        <v>170745</v>
      </c>
    </row>
    <row r="316" spans="1:7">
      <c r="A316" s="8" t="s">
        <v>36</v>
      </c>
      <c r="B316" s="1" t="s">
        <v>37</v>
      </c>
      <c r="C316" s="8"/>
      <c r="D316" s="9"/>
      <c r="E316" s="19"/>
      <c r="F316" s="2"/>
      <c r="G316" s="2"/>
    </row>
    <row r="317" spans="1:7">
      <c r="A317" s="263" t="s">
        <v>419</v>
      </c>
      <c r="B317" s="263"/>
      <c r="C317" s="263"/>
      <c r="D317" s="263"/>
      <c r="E317" s="263"/>
      <c r="F317" s="263"/>
      <c r="G317" s="80">
        <f>SUM(G316)</f>
        <v>0</v>
      </c>
    </row>
    <row r="318" spans="1:7">
      <c r="A318" s="81" t="s">
        <v>38</v>
      </c>
      <c r="B318" s="262" t="s">
        <v>39</v>
      </c>
      <c r="C318" s="262"/>
      <c r="D318" s="262"/>
      <c r="E318" s="262"/>
      <c r="F318" s="262"/>
      <c r="G318" s="80">
        <f>SUM(G300:G317)/2</f>
        <v>172911</v>
      </c>
    </row>
    <row r="319" spans="1:7">
      <c r="A319" s="81" t="s">
        <v>40</v>
      </c>
      <c r="B319" s="262" t="s">
        <v>180</v>
      </c>
      <c r="C319" s="262"/>
      <c r="D319" s="262"/>
      <c r="E319" s="262"/>
      <c r="F319" s="82">
        <v>0.1</v>
      </c>
      <c r="G319" s="80">
        <f>G318*F319</f>
        <v>17291.100000000002</v>
      </c>
    </row>
    <row r="320" spans="1:7">
      <c r="A320" s="81" t="s">
        <v>41</v>
      </c>
      <c r="B320" s="262" t="s">
        <v>42</v>
      </c>
      <c r="C320" s="262"/>
      <c r="D320" s="262"/>
      <c r="E320" s="262"/>
      <c r="F320" s="262"/>
      <c r="G320" s="80">
        <f>G318+G319</f>
        <v>190202.1</v>
      </c>
    </row>
    <row r="321" spans="1:7">
      <c r="A321" s="90"/>
      <c r="B321" s="91"/>
      <c r="C321" s="91"/>
      <c r="D321" s="91"/>
      <c r="E321" s="91"/>
      <c r="F321" s="91"/>
      <c r="G321" s="92"/>
    </row>
    <row r="322" spans="1:7">
      <c r="A322" s="4" t="s">
        <v>516</v>
      </c>
      <c r="B322" s="91"/>
      <c r="C322" s="91"/>
      <c r="D322" s="91"/>
      <c r="E322" s="91"/>
      <c r="F322" s="91"/>
      <c r="G322" s="92"/>
    </row>
    <row r="323" spans="1:7" ht="30">
      <c r="A323" s="79" t="s">
        <v>0</v>
      </c>
      <c r="B323" s="79" t="s">
        <v>1</v>
      </c>
      <c r="C323" s="79" t="s">
        <v>207</v>
      </c>
      <c r="D323" s="79" t="s">
        <v>3</v>
      </c>
      <c r="E323" s="79" t="s">
        <v>2</v>
      </c>
      <c r="F323" s="79" t="s">
        <v>417</v>
      </c>
      <c r="G323" s="79" t="s">
        <v>418</v>
      </c>
    </row>
    <row r="324" spans="1:7">
      <c r="A324" s="8" t="s">
        <v>4</v>
      </c>
      <c r="B324" s="1" t="s">
        <v>5</v>
      </c>
      <c r="C324" s="8"/>
      <c r="D324" s="9"/>
      <c r="E324" s="19"/>
      <c r="F324" s="2"/>
      <c r="G324" s="2"/>
    </row>
    <row r="325" spans="1:7">
      <c r="A325" s="8">
        <v>1</v>
      </c>
      <c r="B325" s="1" t="s">
        <v>6</v>
      </c>
      <c r="C325" s="8" t="s">
        <v>7</v>
      </c>
      <c r="D325" s="9" t="s">
        <v>8</v>
      </c>
      <c r="E325" s="10" t="s">
        <v>9</v>
      </c>
      <c r="F325" s="83">
        <f>VLOOKUP(B325,'HSD UPAH,BAHAN,ALAT'!$C$6:F599,4,FALSE)</f>
        <v>100000</v>
      </c>
      <c r="G325" s="84">
        <f t="shared" ref="G325:G327" si="26">E325*F325</f>
        <v>1430</v>
      </c>
    </row>
    <row r="326" spans="1:7">
      <c r="A326" s="8">
        <v>2</v>
      </c>
      <c r="B326" s="1" t="s">
        <v>10</v>
      </c>
      <c r="C326" s="8" t="s">
        <v>11</v>
      </c>
      <c r="D326" s="9" t="s">
        <v>8</v>
      </c>
      <c r="E326" s="10" t="s">
        <v>12</v>
      </c>
      <c r="F326" s="83">
        <f>VLOOKUP(B326,'HSD UPAH,BAHAN,ALAT'!$C$6:F600,4,FALSE)</f>
        <v>120000</v>
      </c>
      <c r="G326" s="84">
        <f t="shared" si="26"/>
        <v>576</v>
      </c>
    </row>
    <row r="327" spans="1:7">
      <c r="A327" s="8">
        <v>3</v>
      </c>
      <c r="B327" s="1" t="s">
        <v>13</v>
      </c>
      <c r="C327" s="8" t="s">
        <v>14</v>
      </c>
      <c r="D327" s="9" t="s">
        <v>8</v>
      </c>
      <c r="E327" s="10" t="s">
        <v>15</v>
      </c>
      <c r="F327" s="83">
        <f>VLOOKUP(B327,'HSD UPAH,BAHAN,ALAT'!$C$6:F601,4,FALSE)</f>
        <v>100000</v>
      </c>
      <c r="G327" s="84">
        <f t="shared" si="26"/>
        <v>160</v>
      </c>
    </row>
    <row r="328" spans="1:7">
      <c r="A328" s="261" t="s">
        <v>420</v>
      </c>
      <c r="B328" s="261"/>
      <c r="C328" s="261"/>
      <c r="D328" s="261"/>
      <c r="E328" s="261"/>
      <c r="F328" s="261"/>
      <c r="G328" s="85">
        <f>SUM(G324:G327)</f>
        <v>2166</v>
      </c>
    </row>
    <row r="329" spans="1:7">
      <c r="A329" s="8" t="s">
        <v>16</v>
      </c>
      <c r="B329" s="1" t="s">
        <v>17</v>
      </c>
      <c r="C329" s="8"/>
      <c r="D329" s="9"/>
      <c r="E329" s="19"/>
      <c r="F329" s="2"/>
      <c r="G329" s="2"/>
    </row>
    <row r="330" spans="1:7" ht="30">
      <c r="A330" s="17" t="s">
        <v>208</v>
      </c>
      <c r="B330" s="5" t="s">
        <v>241</v>
      </c>
      <c r="C330" s="8"/>
      <c r="D330" s="12" t="s">
        <v>86</v>
      </c>
      <c r="E330" s="7" t="s">
        <v>87</v>
      </c>
      <c r="F330" s="83">
        <f>VLOOKUP(B330,'HSD UPAH,BAHAN,ALAT'!$C$6:F604,4,FALSE)</f>
        <v>10000</v>
      </c>
      <c r="G330" s="84">
        <f t="shared" ref="G330:G338" si="27">E330*F330</f>
        <v>10500</v>
      </c>
    </row>
    <row r="331" spans="1:7">
      <c r="A331" s="8">
        <v>2</v>
      </c>
      <c r="B331" s="1" t="s">
        <v>18</v>
      </c>
      <c r="C331" s="8"/>
      <c r="D331" s="9" t="s">
        <v>19</v>
      </c>
      <c r="E331" s="10" t="s">
        <v>20</v>
      </c>
      <c r="F331" s="83">
        <f>VLOOKUP(B331,'HSD UPAH,BAHAN,ALAT'!$C$6:F605,4,FALSE)</f>
        <v>10000</v>
      </c>
      <c r="G331" s="84">
        <f t="shared" si="27"/>
        <v>50</v>
      </c>
    </row>
    <row r="332" spans="1:7">
      <c r="A332" s="8">
        <v>3</v>
      </c>
      <c r="B332" s="1" t="s">
        <v>21</v>
      </c>
      <c r="C332" s="8"/>
      <c r="D332" s="9"/>
      <c r="E332" s="19"/>
      <c r="F332" s="83"/>
      <c r="G332" s="84">
        <f t="shared" si="27"/>
        <v>0</v>
      </c>
    </row>
    <row r="333" spans="1:7">
      <c r="A333" s="8" t="s">
        <v>22</v>
      </c>
      <c r="B333" s="1" t="s">
        <v>23</v>
      </c>
      <c r="C333" s="8"/>
      <c r="D333" s="9" t="s">
        <v>24</v>
      </c>
      <c r="E333" s="10" t="s">
        <v>25</v>
      </c>
      <c r="F333" s="83">
        <f>VLOOKUP(B333,'HSD UPAH,BAHAN,ALAT'!$C$6:F607,4,FALSE)</f>
        <v>10000</v>
      </c>
      <c r="G333" s="84">
        <f t="shared" si="27"/>
        <v>60000</v>
      </c>
    </row>
    <row r="334" spans="1:7" ht="30">
      <c r="A334" s="17" t="s">
        <v>30</v>
      </c>
      <c r="B334" s="5" t="s">
        <v>210</v>
      </c>
      <c r="C334" s="8"/>
      <c r="D334" s="12" t="s">
        <v>24</v>
      </c>
      <c r="E334" s="7" t="s">
        <v>57</v>
      </c>
      <c r="F334" s="83">
        <f>VLOOKUP(B334,'HSD UPAH,BAHAN,ALAT'!$C$6:F608,4,FALSE)</f>
        <v>10000</v>
      </c>
      <c r="G334" s="84">
        <f t="shared" si="27"/>
        <v>100000</v>
      </c>
    </row>
    <row r="335" spans="1:7">
      <c r="A335" s="8">
        <v>4</v>
      </c>
      <c r="B335" s="1" t="s">
        <v>26</v>
      </c>
      <c r="C335" s="8"/>
      <c r="D335" s="9"/>
      <c r="E335" s="19"/>
      <c r="F335" s="83"/>
      <c r="G335" s="84"/>
    </row>
    <row r="336" spans="1:7">
      <c r="A336" s="8" t="s">
        <v>22</v>
      </c>
      <c r="B336" s="1" t="s">
        <v>27</v>
      </c>
      <c r="C336" s="8"/>
      <c r="D336" s="9" t="s">
        <v>28</v>
      </c>
      <c r="E336" s="10" t="s">
        <v>29</v>
      </c>
      <c r="F336" s="83">
        <f>VLOOKUP(B336,'HSD UPAH,BAHAN,ALAT'!$C$6:F610,4,FALSE)</f>
        <v>10000</v>
      </c>
      <c r="G336" s="84">
        <f t="shared" si="27"/>
        <v>146</v>
      </c>
    </row>
    <row r="337" spans="1:7">
      <c r="A337" s="8" t="s">
        <v>30</v>
      </c>
      <c r="B337" s="1" t="s">
        <v>31</v>
      </c>
      <c r="C337" s="8"/>
      <c r="D337" s="9" t="s">
        <v>28</v>
      </c>
      <c r="E337" s="10" t="s">
        <v>32</v>
      </c>
      <c r="F337" s="83">
        <f>VLOOKUP(B337,'HSD UPAH,BAHAN,ALAT'!$C$6:F611,4,FALSE)</f>
        <v>10000</v>
      </c>
      <c r="G337" s="84">
        <f t="shared" si="27"/>
        <v>39</v>
      </c>
    </row>
    <row r="338" spans="1:7">
      <c r="A338" s="8" t="s">
        <v>33</v>
      </c>
      <c r="B338" s="1" t="s">
        <v>34</v>
      </c>
      <c r="C338" s="8"/>
      <c r="D338" s="9" t="s">
        <v>28</v>
      </c>
      <c r="E338" s="10" t="s">
        <v>35</v>
      </c>
      <c r="F338" s="83">
        <f>VLOOKUP(B338,'HSD UPAH,BAHAN,ALAT'!$C$6:F612,4,FALSE)</f>
        <v>10000</v>
      </c>
      <c r="G338" s="84">
        <f t="shared" si="27"/>
        <v>10</v>
      </c>
    </row>
    <row r="339" spans="1:7">
      <c r="A339" s="261" t="s">
        <v>421</v>
      </c>
      <c r="B339" s="261"/>
      <c r="C339" s="261"/>
      <c r="D339" s="261"/>
      <c r="E339" s="261"/>
      <c r="F339" s="261"/>
      <c r="G339" s="85">
        <f>SUM(G330:G338)</f>
        <v>170745</v>
      </c>
    </row>
    <row r="340" spans="1:7">
      <c r="A340" s="8" t="s">
        <v>36</v>
      </c>
      <c r="B340" s="1" t="s">
        <v>37</v>
      </c>
      <c r="C340" s="8"/>
      <c r="D340" s="9"/>
      <c r="E340" s="19"/>
      <c r="F340" s="2"/>
      <c r="G340" s="2"/>
    </row>
    <row r="341" spans="1:7">
      <c r="A341" s="263" t="s">
        <v>419</v>
      </c>
      <c r="B341" s="263"/>
      <c r="C341" s="263"/>
      <c r="D341" s="263"/>
      <c r="E341" s="263"/>
      <c r="F341" s="263"/>
      <c r="G341" s="80">
        <f>SUM(G340)</f>
        <v>0</v>
      </c>
    </row>
    <row r="342" spans="1:7">
      <c r="A342" s="81" t="s">
        <v>38</v>
      </c>
      <c r="B342" s="262" t="s">
        <v>39</v>
      </c>
      <c r="C342" s="262"/>
      <c r="D342" s="262"/>
      <c r="E342" s="262"/>
      <c r="F342" s="262"/>
      <c r="G342" s="80">
        <f>SUM(G324:G341)/2</f>
        <v>172911</v>
      </c>
    </row>
    <row r="343" spans="1:7">
      <c r="A343" s="81" t="s">
        <v>40</v>
      </c>
      <c r="B343" s="262" t="s">
        <v>180</v>
      </c>
      <c r="C343" s="262"/>
      <c r="D343" s="262"/>
      <c r="E343" s="262"/>
      <c r="F343" s="82">
        <v>0.1</v>
      </c>
      <c r="G343" s="80">
        <f>G342*F343</f>
        <v>17291.100000000002</v>
      </c>
    </row>
    <row r="344" spans="1:7">
      <c r="A344" s="81" t="s">
        <v>41</v>
      </c>
      <c r="B344" s="262" t="s">
        <v>42</v>
      </c>
      <c r="C344" s="262"/>
      <c r="D344" s="262"/>
      <c r="E344" s="262"/>
      <c r="F344" s="262"/>
      <c r="G344" s="80">
        <f>G342+G343</f>
        <v>190202.1</v>
      </c>
    </row>
    <row r="345" spans="1:7">
      <c r="A345" s="90"/>
      <c r="B345" s="91"/>
      <c r="C345" s="91"/>
      <c r="D345" s="91"/>
      <c r="E345" s="91"/>
      <c r="F345" s="91"/>
      <c r="G345" s="92"/>
    </row>
    <row r="346" spans="1:7">
      <c r="A346" s="4" t="s">
        <v>517</v>
      </c>
      <c r="B346" s="91"/>
      <c r="C346" s="91"/>
      <c r="D346" s="91"/>
      <c r="E346" s="91"/>
      <c r="F346" s="91"/>
      <c r="G346" s="92"/>
    </row>
    <row r="347" spans="1:7" ht="30">
      <c r="A347" s="79" t="s">
        <v>0</v>
      </c>
      <c r="B347" s="79" t="s">
        <v>1</v>
      </c>
      <c r="C347" s="79" t="s">
        <v>207</v>
      </c>
      <c r="D347" s="79" t="s">
        <v>3</v>
      </c>
      <c r="E347" s="79" t="s">
        <v>2</v>
      </c>
      <c r="F347" s="79" t="s">
        <v>417</v>
      </c>
      <c r="G347" s="79" t="s">
        <v>418</v>
      </c>
    </row>
    <row r="348" spans="1:7">
      <c r="A348" s="8" t="s">
        <v>4</v>
      </c>
      <c r="B348" s="1" t="s">
        <v>5</v>
      </c>
      <c r="C348" s="8"/>
      <c r="D348" s="9"/>
      <c r="E348" s="19"/>
      <c r="F348" s="2"/>
      <c r="G348" s="2"/>
    </row>
    <row r="349" spans="1:7">
      <c r="A349" s="8">
        <v>1</v>
      </c>
      <c r="B349" s="1" t="s">
        <v>6</v>
      </c>
      <c r="C349" s="8" t="s">
        <v>7</v>
      </c>
      <c r="D349" s="9" t="s">
        <v>8</v>
      </c>
      <c r="E349" s="10" t="s">
        <v>9</v>
      </c>
      <c r="F349" s="83">
        <f>VLOOKUP(B349,'HSD UPAH,BAHAN,ALAT'!$C$6:F621,4,FALSE)</f>
        <v>100000</v>
      </c>
      <c r="G349" s="84">
        <f t="shared" ref="G349:G351" si="28">E349*F349</f>
        <v>1430</v>
      </c>
    </row>
    <row r="350" spans="1:7">
      <c r="A350" s="8">
        <v>2</v>
      </c>
      <c r="B350" s="1" t="s">
        <v>10</v>
      </c>
      <c r="C350" s="8" t="s">
        <v>11</v>
      </c>
      <c r="D350" s="9" t="s">
        <v>8</v>
      </c>
      <c r="E350" s="10" t="s">
        <v>12</v>
      </c>
      <c r="F350" s="83">
        <f>VLOOKUP(B350,'HSD UPAH,BAHAN,ALAT'!$C$6:F622,4,FALSE)</f>
        <v>120000</v>
      </c>
      <c r="G350" s="84">
        <f t="shared" si="28"/>
        <v>576</v>
      </c>
    </row>
    <row r="351" spans="1:7">
      <c r="A351" s="8">
        <v>3</v>
      </c>
      <c r="B351" s="1" t="s">
        <v>13</v>
      </c>
      <c r="C351" s="8" t="s">
        <v>14</v>
      </c>
      <c r="D351" s="9" t="s">
        <v>8</v>
      </c>
      <c r="E351" s="10" t="s">
        <v>15</v>
      </c>
      <c r="F351" s="83">
        <f>VLOOKUP(B351,'HSD UPAH,BAHAN,ALAT'!$C$6:F623,4,FALSE)</f>
        <v>100000</v>
      </c>
      <c r="G351" s="84">
        <f t="shared" si="28"/>
        <v>160</v>
      </c>
    </row>
    <row r="352" spans="1:7">
      <c r="A352" s="261" t="s">
        <v>420</v>
      </c>
      <c r="B352" s="261"/>
      <c r="C352" s="261"/>
      <c r="D352" s="261"/>
      <c r="E352" s="261"/>
      <c r="F352" s="261"/>
      <c r="G352" s="85">
        <f>SUM(G348:G351)</f>
        <v>2166</v>
      </c>
    </row>
    <row r="353" spans="1:7">
      <c r="A353" s="8" t="s">
        <v>16</v>
      </c>
      <c r="B353" s="1" t="s">
        <v>17</v>
      </c>
      <c r="C353" s="8"/>
      <c r="D353" s="9"/>
      <c r="E353" s="19"/>
      <c r="F353" s="2"/>
      <c r="G353" s="2"/>
    </row>
    <row r="354" spans="1:7" ht="30">
      <c r="A354" s="17" t="s">
        <v>208</v>
      </c>
      <c r="B354" s="5" t="s">
        <v>242</v>
      </c>
      <c r="C354" s="8"/>
      <c r="D354" s="12" t="s">
        <v>86</v>
      </c>
      <c r="E354" s="7" t="s">
        <v>87</v>
      </c>
      <c r="F354" s="83">
        <f>VLOOKUP(B354,'HSD UPAH,BAHAN,ALAT'!$C$6:F626,4,FALSE)</f>
        <v>10000</v>
      </c>
      <c r="G354" s="84">
        <f t="shared" ref="G354:G358" si="29">E354*F354</f>
        <v>10500</v>
      </c>
    </row>
    <row r="355" spans="1:7">
      <c r="A355" s="8">
        <v>2</v>
      </c>
      <c r="B355" s="1" t="s">
        <v>18</v>
      </c>
      <c r="C355" s="8"/>
      <c r="D355" s="9" t="s">
        <v>19</v>
      </c>
      <c r="E355" s="10" t="s">
        <v>20</v>
      </c>
      <c r="F355" s="83">
        <f>VLOOKUP(B355,'HSD UPAH,BAHAN,ALAT'!$C$6:F627,4,FALSE)</f>
        <v>10000</v>
      </c>
      <c r="G355" s="84">
        <f t="shared" si="29"/>
        <v>50</v>
      </c>
    </row>
    <row r="356" spans="1:7">
      <c r="A356" s="8">
        <v>3</v>
      </c>
      <c r="B356" s="1" t="s">
        <v>21</v>
      </c>
      <c r="C356" s="8"/>
      <c r="D356" s="9"/>
      <c r="E356" s="19"/>
      <c r="F356" s="83"/>
      <c r="G356" s="84">
        <f t="shared" si="29"/>
        <v>0</v>
      </c>
    </row>
    <row r="357" spans="1:7">
      <c r="A357" s="8" t="s">
        <v>22</v>
      </c>
      <c r="B357" s="1" t="s">
        <v>23</v>
      </c>
      <c r="C357" s="8"/>
      <c r="D357" s="9" t="s">
        <v>24</v>
      </c>
      <c r="E357" s="10" t="s">
        <v>25</v>
      </c>
      <c r="F357" s="83">
        <f>VLOOKUP(B357,'HSD UPAH,BAHAN,ALAT'!$C$6:F629,4,FALSE)</f>
        <v>10000</v>
      </c>
      <c r="G357" s="84">
        <f t="shared" si="29"/>
        <v>60000</v>
      </c>
    </row>
    <row r="358" spans="1:7" ht="30">
      <c r="A358" s="17" t="s">
        <v>30</v>
      </c>
      <c r="B358" s="5" t="s">
        <v>210</v>
      </c>
      <c r="C358" s="8"/>
      <c r="D358" s="12" t="s">
        <v>24</v>
      </c>
      <c r="E358" s="7" t="s">
        <v>57</v>
      </c>
      <c r="F358" s="83">
        <f>VLOOKUP(B358,'HSD UPAH,BAHAN,ALAT'!$C$6:F630,4,FALSE)</f>
        <v>10000</v>
      </c>
      <c r="G358" s="84">
        <f t="shared" si="29"/>
        <v>100000</v>
      </c>
    </row>
    <row r="359" spans="1:7">
      <c r="A359" s="8">
        <v>4</v>
      </c>
      <c r="B359" s="1" t="s">
        <v>26</v>
      </c>
      <c r="C359" s="8"/>
      <c r="D359" s="9"/>
      <c r="E359" s="19"/>
      <c r="F359" s="2"/>
      <c r="G359" s="2"/>
    </row>
    <row r="360" spans="1:7">
      <c r="A360" s="8" t="s">
        <v>22</v>
      </c>
      <c r="B360" s="1" t="s">
        <v>27</v>
      </c>
      <c r="C360" s="8"/>
      <c r="D360" s="9" t="s">
        <v>28</v>
      </c>
      <c r="E360" s="10" t="s">
        <v>29</v>
      </c>
      <c r="F360" s="83">
        <f>VLOOKUP(B360,'HSD UPAH,BAHAN,ALAT'!$C$6:F632,4,FALSE)</f>
        <v>10000</v>
      </c>
      <c r="G360" s="84">
        <f t="shared" ref="G360:G362" si="30">E360*F360</f>
        <v>146</v>
      </c>
    </row>
    <row r="361" spans="1:7">
      <c r="A361" s="8" t="s">
        <v>30</v>
      </c>
      <c r="B361" s="1" t="s">
        <v>31</v>
      </c>
      <c r="C361" s="8"/>
      <c r="D361" s="9" t="s">
        <v>28</v>
      </c>
      <c r="E361" s="10" t="s">
        <v>32</v>
      </c>
      <c r="F361" s="83">
        <f>VLOOKUP(B361,'HSD UPAH,BAHAN,ALAT'!$C$6:F633,4,FALSE)</f>
        <v>10000</v>
      </c>
      <c r="G361" s="84">
        <f t="shared" si="30"/>
        <v>39</v>
      </c>
    </row>
    <row r="362" spans="1:7">
      <c r="A362" s="8" t="s">
        <v>33</v>
      </c>
      <c r="B362" s="1" t="s">
        <v>34</v>
      </c>
      <c r="C362" s="8"/>
      <c r="D362" s="9" t="s">
        <v>28</v>
      </c>
      <c r="E362" s="10" t="s">
        <v>35</v>
      </c>
      <c r="F362" s="83">
        <f>VLOOKUP(B362,'HSD UPAH,BAHAN,ALAT'!$C$6:F634,4,FALSE)</f>
        <v>10000</v>
      </c>
      <c r="G362" s="84">
        <f t="shared" si="30"/>
        <v>10</v>
      </c>
    </row>
    <row r="363" spans="1:7">
      <c r="A363" s="261" t="s">
        <v>421</v>
      </c>
      <c r="B363" s="261"/>
      <c r="C363" s="261"/>
      <c r="D363" s="261"/>
      <c r="E363" s="261"/>
      <c r="F363" s="261"/>
      <c r="G363" s="85">
        <f>SUM(G354:G362)</f>
        <v>170745</v>
      </c>
    </row>
    <row r="364" spans="1:7">
      <c r="A364" s="8" t="s">
        <v>36</v>
      </c>
      <c r="B364" s="1" t="s">
        <v>37</v>
      </c>
      <c r="C364" s="8"/>
      <c r="D364" s="9"/>
      <c r="E364" s="19"/>
      <c r="F364" s="2"/>
      <c r="G364" s="2"/>
    </row>
    <row r="365" spans="1:7">
      <c r="A365" s="263" t="s">
        <v>419</v>
      </c>
      <c r="B365" s="263"/>
      <c r="C365" s="263"/>
      <c r="D365" s="263"/>
      <c r="E365" s="263"/>
      <c r="F365" s="263"/>
      <c r="G365" s="80">
        <f>SUM(G364)</f>
        <v>0</v>
      </c>
    </row>
    <row r="366" spans="1:7">
      <c r="A366" s="81" t="s">
        <v>38</v>
      </c>
      <c r="B366" s="262" t="s">
        <v>39</v>
      </c>
      <c r="C366" s="262"/>
      <c r="D366" s="262"/>
      <c r="E366" s="262"/>
      <c r="F366" s="262"/>
      <c r="G366" s="80">
        <f>SUM(G348:G365)/2</f>
        <v>172911</v>
      </c>
    </row>
    <row r="367" spans="1:7">
      <c r="A367" s="81" t="s">
        <v>40</v>
      </c>
      <c r="B367" s="262" t="s">
        <v>180</v>
      </c>
      <c r="C367" s="262"/>
      <c r="D367" s="262"/>
      <c r="E367" s="262"/>
      <c r="F367" s="82">
        <v>0.1</v>
      </c>
      <c r="G367" s="80">
        <f>G366*F367</f>
        <v>17291.100000000002</v>
      </c>
    </row>
    <row r="368" spans="1:7">
      <c r="A368" s="81" t="s">
        <v>41</v>
      </c>
      <c r="B368" s="262" t="s">
        <v>42</v>
      </c>
      <c r="C368" s="262"/>
      <c r="D368" s="262"/>
      <c r="E368" s="262"/>
      <c r="F368" s="262"/>
      <c r="G368" s="80">
        <f>G366+G367</f>
        <v>190202.1</v>
      </c>
    </row>
    <row r="369" spans="1:7">
      <c r="A369" s="90"/>
      <c r="B369" s="91"/>
      <c r="C369" s="91"/>
      <c r="D369" s="91"/>
      <c r="E369" s="91"/>
      <c r="F369" s="91"/>
      <c r="G369" s="92"/>
    </row>
    <row r="370" spans="1:7">
      <c r="A370" s="4" t="s">
        <v>518</v>
      </c>
      <c r="B370"/>
      <c r="C370"/>
      <c r="D370"/>
      <c r="E370"/>
      <c r="F370"/>
      <c r="G370"/>
    </row>
    <row r="371" spans="1:7" ht="30">
      <c r="A371" s="79" t="s">
        <v>0</v>
      </c>
      <c r="B371" s="79" t="s">
        <v>1</v>
      </c>
      <c r="C371" s="79" t="s">
        <v>207</v>
      </c>
      <c r="D371" s="79" t="s">
        <v>3</v>
      </c>
      <c r="E371" s="79" t="s">
        <v>2</v>
      </c>
      <c r="F371" s="79" t="s">
        <v>417</v>
      </c>
      <c r="G371" s="79" t="s">
        <v>418</v>
      </c>
    </row>
    <row r="372" spans="1:7">
      <c r="A372" s="8" t="s">
        <v>4</v>
      </c>
      <c r="B372" s="1" t="s">
        <v>5</v>
      </c>
      <c r="C372" s="8"/>
      <c r="D372" s="9"/>
      <c r="E372" s="19"/>
      <c r="F372" s="2"/>
      <c r="G372" s="2"/>
    </row>
    <row r="373" spans="1:7">
      <c r="A373" s="8">
        <v>1</v>
      </c>
      <c r="B373" s="1" t="s">
        <v>6</v>
      </c>
      <c r="C373" s="8" t="s">
        <v>7</v>
      </c>
      <c r="D373" s="9" t="s">
        <v>8</v>
      </c>
      <c r="E373" s="10" t="s">
        <v>9</v>
      </c>
      <c r="F373" s="83">
        <f>VLOOKUP(B373,'HSD UPAH,BAHAN,ALAT'!$C$6:F643,4,FALSE)</f>
        <v>100000</v>
      </c>
      <c r="G373" s="84">
        <f t="shared" ref="G373:G375" si="31">E373*F373</f>
        <v>1430</v>
      </c>
    </row>
    <row r="374" spans="1:7">
      <c r="A374" s="8">
        <v>2</v>
      </c>
      <c r="B374" s="1" t="s">
        <v>10</v>
      </c>
      <c r="C374" s="8" t="s">
        <v>11</v>
      </c>
      <c r="D374" s="9" t="s">
        <v>8</v>
      </c>
      <c r="E374" s="10" t="s">
        <v>12</v>
      </c>
      <c r="F374" s="83">
        <f>VLOOKUP(B374,'HSD UPAH,BAHAN,ALAT'!$C$6:F644,4,FALSE)</f>
        <v>120000</v>
      </c>
      <c r="G374" s="84">
        <f t="shared" si="31"/>
        <v>576</v>
      </c>
    </row>
    <row r="375" spans="1:7">
      <c r="A375" s="8">
        <v>3</v>
      </c>
      <c r="B375" s="1" t="s">
        <v>13</v>
      </c>
      <c r="C375" s="8" t="s">
        <v>14</v>
      </c>
      <c r="D375" s="9" t="s">
        <v>8</v>
      </c>
      <c r="E375" s="10" t="s">
        <v>15</v>
      </c>
      <c r="F375" s="83">
        <f>VLOOKUP(B375,'HSD UPAH,BAHAN,ALAT'!$C$6:F645,4,FALSE)</f>
        <v>100000</v>
      </c>
      <c r="G375" s="84">
        <f t="shared" si="31"/>
        <v>160</v>
      </c>
    </row>
    <row r="376" spans="1:7">
      <c r="A376" s="261" t="s">
        <v>420</v>
      </c>
      <c r="B376" s="261"/>
      <c r="C376" s="261"/>
      <c r="D376" s="261"/>
      <c r="E376" s="261"/>
      <c r="F376" s="261"/>
      <c r="G376" s="85">
        <f>SUM(G372:G375)</f>
        <v>2166</v>
      </c>
    </row>
    <row r="377" spans="1:7">
      <c r="A377" s="8" t="s">
        <v>16</v>
      </c>
      <c r="B377" s="1" t="s">
        <v>17</v>
      </c>
      <c r="C377" s="8"/>
      <c r="D377" s="9"/>
      <c r="E377" s="19"/>
      <c r="F377" s="2"/>
      <c r="G377" s="2"/>
    </row>
    <row r="378" spans="1:7" ht="30">
      <c r="A378" s="17" t="s">
        <v>208</v>
      </c>
      <c r="B378" s="5" t="s">
        <v>243</v>
      </c>
      <c r="C378" s="8"/>
      <c r="D378" s="12" t="s">
        <v>86</v>
      </c>
      <c r="E378" s="7" t="s">
        <v>87</v>
      </c>
      <c r="F378" s="83">
        <f>VLOOKUP(B378,'HSD UPAH,BAHAN,ALAT'!$C$6:F648,4,FALSE)</f>
        <v>10000</v>
      </c>
      <c r="G378" s="84">
        <f t="shared" ref="G378:G382" si="32">E378*F378</f>
        <v>10500</v>
      </c>
    </row>
    <row r="379" spans="1:7">
      <c r="A379" s="8">
        <v>2</v>
      </c>
      <c r="B379" s="1" t="s">
        <v>18</v>
      </c>
      <c r="C379" s="8"/>
      <c r="D379" s="9" t="s">
        <v>19</v>
      </c>
      <c r="E379" s="10" t="s">
        <v>20</v>
      </c>
      <c r="F379" s="83">
        <f>VLOOKUP(B379,'HSD UPAH,BAHAN,ALAT'!$C$6:F649,4,FALSE)</f>
        <v>10000</v>
      </c>
      <c r="G379" s="84">
        <f t="shared" si="32"/>
        <v>50</v>
      </c>
    </row>
    <row r="380" spans="1:7">
      <c r="A380" s="8">
        <v>3</v>
      </c>
      <c r="B380" s="1" t="s">
        <v>21</v>
      </c>
      <c r="C380" s="8"/>
      <c r="D380" s="9"/>
      <c r="E380" s="19"/>
      <c r="F380" s="83"/>
      <c r="G380" s="84">
        <f t="shared" si="32"/>
        <v>0</v>
      </c>
    </row>
    <row r="381" spans="1:7">
      <c r="A381" s="8" t="s">
        <v>22</v>
      </c>
      <c r="B381" s="1" t="s">
        <v>23</v>
      </c>
      <c r="C381" s="8"/>
      <c r="D381" s="9" t="s">
        <v>24</v>
      </c>
      <c r="E381" s="10" t="s">
        <v>25</v>
      </c>
      <c r="F381" s="83">
        <f>VLOOKUP(B381,'HSD UPAH,BAHAN,ALAT'!$C$6:F651,4,FALSE)</f>
        <v>10000</v>
      </c>
      <c r="G381" s="84">
        <f t="shared" si="32"/>
        <v>60000</v>
      </c>
    </row>
    <row r="382" spans="1:7" ht="30">
      <c r="A382" s="17" t="s">
        <v>30</v>
      </c>
      <c r="B382" s="5" t="s">
        <v>210</v>
      </c>
      <c r="C382" s="8"/>
      <c r="D382" s="12" t="s">
        <v>24</v>
      </c>
      <c r="E382" s="7" t="s">
        <v>57</v>
      </c>
      <c r="F382" s="83">
        <f>VLOOKUP(B382,'HSD UPAH,BAHAN,ALAT'!$C$6:F652,4,FALSE)</f>
        <v>10000</v>
      </c>
      <c r="G382" s="84">
        <f t="shared" si="32"/>
        <v>100000</v>
      </c>
    </row>
    <row r="383" spans="1:7">
      <c r="A383" s="8">
        <v>4</v>
      </c>
      <c r="B383" s="1" t="s">
        <v>26</v>
      </c>
      <c r="C383" s="8"/>
      <c r="D383" s="9"/>
      <c r="E383" s="19"/>
      <c r="F383" s="2"/>
      <c r="G383" s="2"/>
    </row>
    <row r="384" spans="1:7">
      <c r="A384" s="8" t="s">
        <v>22</v>
      </c>
      <c r="B384" s="1" t="s">
        <v>27</v>
      </c>
      <c r="C384" s="8"/>
      <c r="D384" s="9" t="s">
        <v>28</v>
      </c>
      <c r="E384" s="10" t="s">
        <v>29</v>
      </c>
      <c r="F384" s="83">
        <f>VLOOKUP(B384,'HSD UPAH,BAHAN,ALAT'!$C$6:F654,4,FALSE)</f>
        <v>10000</v>
      </c>
      <c r="G384" s="84">
        <f t="shared" ref="G384:G386" si="33">E384*F384</f>
        <v>146</v>
      </c>
    </row>
    <row r="385" spans="1:7">
      <c r="A385" s="8" t="s">
        <v>30</v>
      </c>
      <c r="B385" s="1" t="s">
        <v>31</v>
      </c>
      <c r="C385" s="8"/>
      <c r="D385" s="9" t="s">
        <v>28</v>
      </c>
      <c r="E385" s="10" t="s">
        <v>32</v>
      </c>
      <c r="F385" s="83">
        <f>VLOOKUP(B385,'HSD UPAH,BAHAN,ALAT'!$C$6:F655,4,FALSE)</f>
        <v>10000</v>
      </c>
      <c r="G385" s="84">
        <f t="shared" si="33"/>
        <v>39</v>
      </c>
    </row>
    <row r="386" spans="1:7">
      <c r="A386" s="8" t="s">
        <v>33</v>
      </c>
      <c r="B386" s="1" t="s">
        <v>34</v>
      </c>
      <c r="C386" s="8"/>
      <c r="D386" s="9" t="s">
        <v>28</v>
      </c>
      <c r="E386" s="10" t="s">
        <v>35</v>
      </c>
      <c r="F386" s="83">
        <f>VLOOKUP(B386,'HSD UPAH,BAHAN,ALAT'!$C$6:F656,4,FALSE)</f>
        <v>10000</v>
      </c>
      <c r="G386" s="84">
        <f t="shared" si="33"/>
        <v>10</v>
      </c>
    </row>
    <row r="387" spans="1:7">
      <c r="A387" s="261" t="s">
        <v>421</v>
      </c>
      <c r="B387" s="261"/>
      <c r="C387" s="261"/>
      <c r="D387" s="261"/>
      <c r="E387" s="261"/>
      <c r="F387" s="261"/>
      <c r="G387" s="85">
        <f>SUM(G378:G386)</f>
        <v>170745</v>
      </c>
    </row>
    <row r="388" spans="1:7">
      <c r="A388" s="8" t="s">
        <v>36</v>
      </c>
      <c r="B388" s="1" t="s">
        <v>37</v>
      </c>
      <c r="C388" s="8"/>
      <c r="D388" s="9"/>
      <c r="E388" s="19"/>
      <c r="F388" s="2"/>
      <c r="G388" s="2"/>
    </row>
    <row r="389" spans="1:7">
      <c r="A389" s="263" t="s">
        <v>419</v>
      </c>
      <c r="B389" s="263"/>
      <c r="C389" s="263"/>
      <c r="D389" s="263"/>
      <c r="E389" s="263"/>
      <c r="F389" s="263"/>
      <c r="G389" s="80">
        <f>SUM(G388)</f>
        <v>0</v>
      </c>
    </row>
    <row r="390" spans="1:7">
      <c r="A390" s="81" t="s">
        <v>38</v>
      </c>
      <c r="B390" s="262" t="s">
        <v>39</v>
      </c>
      <c r="C390" s="262"/>
      <c r="D390" s="262"/>
      <c r="E390" s="262"/>
      <c r="F390" s="262"/>
      <c r="G390" s="80">
        <f>SUM(G372:G389)/2</f>
        <v>172911</v>
      </c>
    </row>
    <row r="391" spans="1:7">
      <c r="A391" s="81" t="s">
        <v>40</v>
      </c>
      <c r="B391" s="262" t="s">
        <v>180</v>
      </c>
      <c r="C391" s="262"/>
      <c r="D391" s="262"/>
      <c r="E391" s="262"/>
      <c r="F391" s="82">
        <v>0.1</v>
      </c>
      <c r="G391" s="80">
        <f>G390*F391</f>
        <v>17291.100000000002</v>
      </c>
    </row>
    <row r="392" spans="1:7">
      <c r="A392" s="81" t="s">
        <v>41</v>
      </c>
      <c r="B392" s="262" t="s">
        <v>42</v>
      </c>
      <c r="C392" s="262"/>
      <c r="D392" s="262"/>
      <c r="E392" s="262"/>
      <c r="F392" s="262"/>
      <c r="G392" s="80">
        <f>G390+G391</f>
        <v>190202.1</v>
      </c>
    </row>
    <row r="393" spans="1:7">
      <c r="A393" s="90"/>
      <c r="B393" s="91"/>
      <c r="C393" s="91"/>
      <c r="D393" s="91"/>
      <c r="E393" s="91"/>
      <c r="F393" s="91"/>
      <c r="G393" s="92"/>
    </row>
    <row r="394" spans="1:7">
      <c r="A394" s="4" t="s">
        <v>519</v>
      </c>
      <c r="B394" s="91"/>
      <c r="C394" s="91"/>
      <c r="D394" s="91"/>
      <c r="E394" s="91"/>
      <c r="F394" s="91"/>
      <c r="G394" s="92"/>
    </row>
    <row r="395" spans="1:7" ht="30">
      <c r="A395" s="79" t="s">
        <v>0</v>
      </c>
      <c r="B395" s="79" t="s">
        <v>1</v>
      </c>
      <c r="C395" s="79" t="s">
        <v>207</v>
      </c>
      <c r="D395" s="79" t="s">
        <v>3</v>
      </c>
      <c r="E395" s="79" t="s">
        <v>2</v>
      </c>
      <c r="F395" s="79" t="s">
        <v>417</v>
      </c>
      <c r="G395" s="79" t="s">
        <v>418</v>
      </c>
    </row>
    <row r="396" spans="1:7">
      <c r="A396" s="8" t="s">
        <v>4</v>
      </c>
      <c r="B396" s="1" t="s">
        <v>5</v>
      </c>
      <c r="C396" s="8"/>
      <c r="D396" s="9"/>
      <c r="E396" s="19"/>
      <c r="F396" s="2"/>
      <c r="G396" s="2"/>
    </row>
    <row r="397" spans="1:7">
      <c r="A397" s="8">
        <v>1</v>
      </c>
      <c r="B397" s="1" t="s">
        <v>6</v>
      </c>
      <c r="C397" s="8" t="s">
        <v>7</v>
      </c>
      <c r="D397" s="9" t="s">
        <v>8</v>
      </c>
      <c r="E397" s="10" t="s">
        <v>9</v>
      </c>
      <c r="F397" s="83">
        <f>VLOOKUP(B397,'HSD UPAH,BAHAN,ALAT'!$C$6:F665,4,FALSE)</f>
        <v>100000</v>
      </c>
      <c r="G397" s="84">
        <f t="shared" ref="G397:G399" si="34">E397*F397</f>
        <v>1430</v>
      </c>
    </row>
    <row r="398" spans="1:7">
      <c r="A398" s="8">
        <v>2</v>
      </c>
      <c r="B398" s="1" t="s">
        <v>10</v>
      </c>
      <c r="C398" s="8" t="s">
        <v>11</v>
      </c>
      <c r="D398" s="9" t="s">
        <v>8</v>
      </c>
      <c r="E398" s="10" t="s">
        <v>12</v>
      </c>
      <c r="F398" s="83">
        <f>VLOOKUP(B398,'HSD UPAH,BAHAN,ALAT'!$C$6:F666,4,FALSE)</f>
        <v>120000</v>
      </c>
      <c r="G398" s="84">
        <f t="shared" si="34"/>
        <v>576</v>
      </c>
    </row>
    <row r="399" spans="1:7">
      <c r="A399" s="8">
        <v>3</v>
      </c>
      <c r="B399" s="1" t="s">
        <v>13</v>
      </c>
      <c r="C399" s="8" t="s">
        <v>14</v>
      </c>
      <c r="D399" s="9" t="s">
        <v>8</v>
      </c>
      <c r="E399" s="10" t="s">
        <v>15</v>
      </c>
      <c r="F399" s="83">
        <f>VLOOKUP(B399,'HSD UPAH,BAHAN,ALAT'!$C$6:F667,4,FALSE)</f>
        <v>100000</v>
      </c>
      <c r="G399" s="84">
        <f t="shared" si="34"/>
        <v>160</v>
      </c>
    </row>
    <row r="400" spans="1:7">
      <c r="A400" s="261" t="s">
        <v>420</v>
      </c>
      <c r="B400" s="261"/>
      <c r="C400" s="261"/>
      <c r="D400" s="261"/>
      <c r="E400" s="261"/>
      <c r="F400" s="261"/>
      <c r="G400" s="85">
        <f>SUM(G396:G399)</f>
        <v>2166</v>
      </c>
    </row>
    <row r="401" spans="1:7">
      <c r="A401" s="8" t="s">
        <v>16</v>
      </c>
      <c r="B401" s="1" t="s">
        <v>17</v>
      </c>
      <c r="C401" s="8"/>
      <c r="D401" s="9"/>
      <c r="E401" s="19"/>
      <c r="F401" s="2"/>
      <c r="G401" s="2"/>
    </row>
    <row r="402" spans="1:7" ht="30">
      <c r="A402" s="17" t="s">
        <v>208</v>
      </c>
      <c r="B402" s="5" t="s">
        <v>244</v>
      </c>
      <c r="C402" s="8"/>
      <c r="D402" s="12" t="s">
        <v>86</v>
      </c>
      <c r="E402" s="7" t="s">
        <v>87</v>
      </c>
      <c r="F402" s="83">
        <f>VLOOKUP(B402,'HSD UPAH,BAHAN,ALAT'!$C$6:F670,4,FALSE)</f>
        <v>10000</v>
      </c>
      <c r="G402" s="84">
        <f t="shared" ref="G402:G406" si="35">E402*F402</f>
        <v>10500</v>
      </c>
    </row>
    <row r="403" spans="1:7">
      <c r="A403" s="8">
        <v>2</v>
      </c>
      <c r="B403" s="1" t="s">
        <v>18</v>
      </c>
      <c r="C403" s="8"/>
      <c r="D403" s="9" t="s">
        <v>19</v>
      </c>
      <c r="E403" s="10" t="s">
        <v>20</v>
      </c>
      <c r="F403" s="83">
        <f>VLOOKUP(B403,'HSD UPAH,BAHAN,ALAT'!$C$6:F671,4,FALSE)</f>
        <v>10000</v>
      </c>
      <c r="G403" s="84">
        <f t="shared" si="35"/>
        <v>50</v>
      </c>
    </row>
    <row r="404" spans="1:7">
      <c r="A404" s="8">
        <v>3</v>
      </c>
      <c r="B404" s="1" t="s">
        <v>21</v>
      </c>
      <c r="C404" s="8"/>
      <c r="D404" s="9"/>
      <c r="E404" s="19"/>
      <c r="F404" s="83"/>
      <c r="G404" s="84">
        <f t="shared" si="35"/>
        <v>0</v>
      </c>
    </row>
    <row r="405" spans="1:7">
      <c r="A405" s="8" t="s">
        <v>22</v>
      </c>
      <c r="B405" s="1" t="s">
        <v>23</v>
      </c>
      <c r="C405" s="8"/>
      <c r="D405" s="9" t="s">
        <v>24</v>
      </c>
      <c r="E405" s="10" t="s">
        <v>25</v>
      </c>
      <c r="F405" s="83">
        <f>VLOOKUP(B405,'HSD UPAH,BAHAN,ALAT'!$C$6:F673,4,FALSE)</f>
        <v>10000</v>
      </c>
      <c r="G405" s="84">
        <f t="shared" si="35"/>
        <v>60000</v>
      </c>
    </row>
    <row r="406" spans="1:7" ht="30">
      <c r="A406" s="17" t="s">
        <v>30</v>
      </c>
      <c r="B406" s="5" t="s">
        <v>210</v>
      </c>
      <c r="C406" s="8"/>
      <c r="D406" s="12" t="s">
        <v>24</v>
      </c>
      <c r="E406" s="7" t="s">
        <v>57</v>
      </c>
      <c r="F406" s="83">
        <f>VLOOKUP(B406,'HSD UPAH,BAHAN,ALAT'!$C$6:F674,4,FALSE)</f>
        <v>10000</v>
      </c>
      <c r="G406" s="84">
        <f t="shared" si="35"/>
        <v>100000</v>
      </c>
    </row>
    <row r="407" spans="1:7">
      <c r="A407" s="8">
        <v>4</v>
      </c>
      <c r="B407" s="1" t="s">
        <v>26</v>
      </c>
      <c r="C407" s="8"/>
      <c r="D407" s="9"/>
      <c r="E407" s="19"/>
      <c r="F407" s="2"/>
      <c r="G407" s="2"/>
    </row>
    <row r="408" spans="1:7">
      <c r="A408" s="8" t="s">
        <v>22</v>
      </c>
      <c r="B408" s="1" t="s">
        <v>27</v>
      </c>
      <c r="C408" s="8"/>
      <c r="D408" s="9" t="s">
        <v>28</v>
      </c>
      <c r="E408" s="10" t="s">
        <v>29</v>
      </c>
      <c r="F408" s="83">
        <f>VLOOKUP(B408,'HSD UPAH,BAHAN,ALAT'!$C$6:F676,4,FALSE)</f>
        <v>10000</v>
      </c>
      <c r="G408" s="84">
        <f t="shared" ref="G408:G410" si="36">E408*F408</f>
        <v>146</v>
      </c>
    </row>
    <row r="409" spans="1:7">
      <c r="A409" s="8" t="s">
        <v>30</v>
      </c>
      <c r="B409" s="1" t="s">
        <v>31</v>
      </c>
      <c r="C409" s="8"/>
      <c r="D409" s="9" t="s">
        <v>28</v>
      </c>
      <c r="E409" s="10" t="s">
        <v>32</v>
      </c>
      <c r="F409" s="83">
        <f>VLOOKUP(B409,'HSD UPAH,BAHAN,ALAT'!$C$6:F677,4,FALSE)</f>
        <v>10000</v>
      </c>
      <c r="G409" s="84">
        <f t="shared" si="36"/>
        <v>39</v>
      </c>
    </row>
    <row r="410" spans="1:7">
      <c r="A410" s="8" t="s">
        <v>33</v>
      </c>
      <c r="B410" s="1" t="s">
        <v>34</v>
      </c>
      <c r="C410" s="8"/>
      <c r="D410" s="9" t="s">
        <v>28</v>
      </c>
      <c r="E410" s="10" t="s">
        <v>35</v>
      </c>
      <c r="F410" s="83">
        <f>VLOOKUP(B410,'HSD UPAH,BAHAN,ALAT'!$C$6:F678,4,FALSE)</f>
        <v>10000</v>
      </c>
      <c r="G410" s="84">
        <f t="shared" si="36"/>
        <v>10</v>
      </c>
    </row>
    <row r="411" spans="1:7">
      <c r="A411" s="261" t="s">
        <v>421</v>
      </c>
      <c r="B411" s="261"/>
      <c r="C411" s="261"/>
      <c r="D411" s="261"/>
      <c r="E411" s="261"/>
      <c r="F411" s="261"/>
      <c r="G411" s="85">
        <f>SUM(G402:G410)</f>
        <v>170745</v>
      </c>
    </row>
    <row r="412" spans="1:7">
      <c r="A412" s="8" t="s">
        <v>36</v>
      </c>
      <c r="B412" s="1" t="s">
        <v>37</v>
      </c>
      <c r="C412" s="8"/>
      <c r="D412" s="9"/>
      <c r="E412" s="19"/>
      <c r="F412" s="2"/>
      <c r="G412" s="2"/>
    </row>
    <row r="413" spans="1:7">
      <c r="A413" s="263" t="s">
        <v>419</v>
      </c>
      <c r="B413" s="263"/>
      <c r="C413" s="263"/>
      <c r="D413" s="263"/>
      <c r="E413" s="263"/>
      <c r="F413" s="263"/>
      <c r="G413" s="80">
        <f>SUM(G412)</f>
        <v>0</v>
      </c>
    </row>
    <row r="414" spans="1:7">
      <c r="A414" s="81" t="s">
        <v>38</v>
      </c>
      <c r="B414" s="262" t="s">
        <v>39</v>
      </c>
      <c r="C414" s="262"/>
      <c r="D414" s="262"/>
      <c r="E414" s="262"/>
      <c r="F414" s="262"/>
      <c r="G414" s="80">
        <f>SUM(G396:G413)/2</f>
        <v>172911</v>
      </c>
    </row>
    <row r="415" spans="1:7">
      <c r="A415" s="81" t="s">
        <v>40</v>
      </c>
      <c r="B415" s="262" t="s">
        <v>180</v>
      </c>
      <c r="C415" s="262"/>
      <c r="D415" s="262"/>
      <c r="E415" s="262"/>
      <c r="F415" s="82">
        <v>0.1</v>
      </c>
      <c r="G415" s="80">
        <f>G414*F415</f>
        <v>17291.100000000002</v>
      </c>
    </row>
    <row r="416" spans="1:7">
      <c r="A416" s="81" t="s">
        <v>41</v>
      </c>
      <c r="B416" s="262" t="s">
        <v>42</v>
      </c>
      <c r="C416" s="262"/>
      <c r="D416" s="262"/>
      <c r="E416" s="262"/>
      <c r="F416" s="262"/>
      <c r="G416" s="80">
        <f>G414+G415</f>
        <v>190202.1</v>
      </c>
    </row>
    <row r="417" spans="1:7">
      <c r="A417" s="90"/>
      <c r="B417" s="91"/>
      <c r="C417" s="91"/>
      <c r="D417" s="91"/>
      <c r="E417" s="91"/>
      <c r="F417" s="91"/>
      <c r="G417" s="92"/>
    </row>
    <row r="418" spans="1:7">
      <c r="A418" s="4" t="s">
        <v>503</v>
      </c>
      <c r="B418" s="91"/>
      <c r="C418" s="91"/>
      <c r="D418" s="91"/>
      <c r="E418" s="91"/>
      <c r="F418" s="91"/>
      <c r="G418" s="92"/>
    </row>
    <row r="419" spans="1:7">
      <c r="A419" s="4" t="s">
        <v>520</v>
      </c>
      <c r="B419" s="91"/>
      <c r="C419" s="91"/>
      <c r="D419" s="91"/>
      <c r="E419" s="91"/>
      <c r="F419" s="91"/>
      <c r="G419" s="92"/>
    </row>
    <row r="420" spans="1:7" ht="30">
      <c r="A420" s="79" t="s">
        <v>0</v>
      </c>
      <c r="B420" s="79" t="s">
        <v>1</v>
      </c>
      <c r="C420" s="79" t="s">
        <v>207</v>
      </c>
      <c r="D420" s="79" t="s">
        <v>3</v>
      </c>
      <c r="E420" s="79" t="s">
        <v>2</v>
      </c>
      <c r="F420" s="79" t="s">
        <v>417</v>
      </c>
      <c r="G420" s="79" t="s">
        <v>418</v>
      </c>
    </row>
    <row r="421" spans="1:7">
      <c r="A421" s="8" t="s">
        <v>4</v>
      </c>
      <c r="B421" s="1" t="s">
        <v>5</v>
      </c>
      <c r="C421" s="8"/>
      <c r="D421" s="9"/>
      <c r="E421" s="19"/>
      <c r="F421" s="2"/>
      <c r="G421" s="2"/>
    </row>
    <row r="422" spans="1:7">
      <c r="A422" s="8">
        <v>1</v>
      </c>
      <c r="B422" s="1" t="s">
        <v>6</v>
      </c>
      <c r="C422" s="8" t="s">
        <v>7</v>
      </c>
      <c r="D422" s="9" t="s">
        <v>8</v>
      </c>
      <c r="E422" s="10" t="s">
        <v>43</v>
      </c>
      <c r="F422" s="83">
        <f>VLOOKUP(B422,'HSD UPAH,BAHAN,ALAT'!$C$6:F687,4,FALSE)</f>
        <v>100000</v>
      </c>
      <c r="G422" s="84">
        <f t="shared" ref="G422:G424" si="37">E422*F422</f>
        <v>2000</v>
      </c>
    </row>
    <row r="423" spans="1:7">
      <c r="A423" s="8">
        <v>2</v>
      </c>
      <c r="B423" s="1" t="s">
        <v>10</v>
      </c>
      <c r="C423" s="8" t="s">
        <v>11</v>
      </c>
      <c r="D423" s="9" t="s">
        <v>8</v>
      </c>
      <c r="E423" s="10" t="s">
        <v>44</v>
      </c>
      <c r="F423" s="83">
        <f>VLOOKUP(B423,'HSD UPAH,BAHAN,ALAT'!$C$6:F688,4,FALSE)</f>
        <v>120000</v>
      </c>
      <c r="G423" s="84">
        <f t="shared" si="37"/>
        <v>804</v>
      </c>
    </row>
    <row r="424" spans="1:7">
      <c r="A424" s="8">
        <v>3</v>
      </c>
      <c r="B424" s="1" t="s">
        <v>13</v>
      </c>
      <c r="C424" s="8" t="s">
        <v>14</v>
      </c>
      <c r="D424" s="9" t="s">
        <v>8</v>
      </c>
      <c r="E424" s="10" t="s">
        <v>45</v>
      </c>
      <c r="F424" s="83">
        <f>VLOOKUP(B424,'HSD UPAH,BAHAN,ALAT'!$C$6:F689,4,FALSE)</f>
        <v>100000</v>
      </c>
      <c r="G424" s="84">
        <f t="shared" si="37"/>
        <v>220</v>
      </c>
    </row>
    <row r="425" spans="1:7">
      <c r="A425" s="261" t="s">
        <v>420</v>
      </c>
      <c r="B425" s="261"/>
      <c r="C425" s="261"/>
      <c r="D425" s="261"/>
      <c r="E425" s="261"/>
      <c r="F425" s="261"/>
      <c r="G425" s="85">
        <f>SUM(G421:G424)</f>
        <v>3024</v>
      </c>
    </row>
    <row r="426" spans="1:7">
      <c r="A426" s="8" t="s">
        <v>16</v>
      </c>
      <c r="B426" s="1" t="s">
        <v>17</v>
      </c>
      <c r="C426" s="8"/>
      <c r="D426" s="9"/>
      <c r="E426" s="19"/>
      <c r="F426" s="2"/>
      <c r="G426" s="2"/>
    </row>
    <row r="427" spans="1:7" ht="30">
      <c r="A427" s="17" t="s">
        <v>208</v>
      </c>
      <c r="B427" s="5" t="s">
        <v>245</v>
      </c>
      <c r="C427" s="17"/>
      <c r="D427" s="12" t="s">
        <v>86</v>
      </c>
      <c r="E427" s="7" t="s">
        <v>87</v>
      </c>
      <c r="F427" s="83">
        <f>VLOOKUP(B427,'HSD UPAH,BAHAN,ALAT'!$C$6:F692,4,FALSE)</f>
        <v>10000</v>
      </c>
      <c r="G427" s="84">
        <f t="shared" ref="G427:G431" si="38">E427*F427</f>
        <v>10500</v>
      </c>
    </row>
    <row r="428" spans="1:7">
      <c r="A428" s="8">
        <v>2</v>
      </c>
      <c r="B428" s="1" t="s">
        <v>18</v>
      </c>
      <c r="C428" s="8"/>
      <c r="D428" s="9" t="s">
        <v>19</v>
      </c>
      <c r="E428" s="10" t="s">
        <v>20</v>
      </c>
      <c r="F428" s="83">
        <f>VLOOKUP(B428,'HSD UPAH,BAHAN,ALAT'!$C$6:F693,4,FALSE)</f>
        <v>10000</v>
      </c>
      <c r="G428" s="84">
        <f t="shared" si="38"/>
        <v>50</v>
      </c>
    </row>
    <row r="429" spans="1:7">
      <c r="A429" s="8">
        <v>3</v>
      </c>
      <c r="B429" s="1" t="s">
        <v>21</v>
      </c>
      <c r="C429" s="8"/>
      <c r="D429" s="9"/>
      <c r="E429" s="19"/>
      <c r="F429" s="83"/>
      <c r="G429" s="84">
        <f t="shared" si="38"/>
        <v>0</v>
      </c>
    </row>
    <row r="430" spans="1:7">
      <c r="A430" s="8" t="s">
        <v>22</v>
      </c>
      <c r="B430" s="1" t="s">
        <v>23</v>
      </c>
      <c r="C430" s="8"/>
      <c r="D430" s="9" t="s">
        <v>24</v>
      </c>
      <c r="E430" s="10" t="s">
        <v>25</v>
      </c>
      <c r="F430" s="83">
        <f>VLOOKUP(B430,'HSD UPAH,BAHAN,ALAT'!$C$6:F695,4,FALSE)</f>
        <v>10000</v>
      </c>
      <c r="G430" s="84">
        <f t="shared" si="38"/>
        <v>60000</v>
      </c>
    </row>
    <row r="431" spans="1:7" ht="30">
      <c r="A431" s="17" t="s">
        <v>30</v>
      </c>
      <c r="B431" s="5" t="s">
        <v>210</v>
      </c>
      <c r="C431" s="17"/>
      <c r="D431" s="12" t="s">
        <v>24</v>
      </c>
      <c r="E431" s="7" t="s">
        <v>57</v>
      </c>
      <c r="F431" s="83">
        <f>VLOOKUP(B431,'HSD UPAH,BAHAN,ALAT'!$C$6:F696,4,FALSE)</f>
        <v>10000</v>
      </c>
      <c r="G431" s="84">
        <f t="shared" si="38"/>
        <v>100000</v>
      </c>
    </row>
    <row r="432" spans="1:7">
      <c r="A432" s="8">
        <v>4</v>
      </c>
      <c r="B432" s="1" t="s">
        <v>26</v>
      </c>
      <c r="C432" s="8"/>
      <c r="D432" s="9"/>
      <c r="E432" s="19"/>
      <c r="F432" s="2"/>
      <c r="G432" s="2"/>
    </row>
    <row r="433" spans="1:7">
      <c r="A433" s="8" t="s">
        <v>22</v>
      </c>
      <c r="B433" s="1" t="s">
        <v>27</v>
      </c>
      <c r="C433" s="8"/>
      <c r="D433" s="9" t="s">
        <v>28</v>
      </c>
      <c r="E433" s="10" t="s">
        <v>46</v>
      </c>
      <c r="F433" s="83">
        <f>VLOOKUP(B433,'HSD UPAH,BAHAN,ALAT'!$C$6:F698,4,FALSE)</f>
        <v>10000</v>
      </c>
      <c r="G433" s="84">
        <f t="shared" ref="G433:G435" si="39">E433*F433</f>
        <v>244.00000000000003</v>
      </c>
    </row>
    <row r="434" spans="1:7">
      <c r="A434" s="8" t="s">
        <v>30</v>
      </c>
      <c r="B434" s="1" t="s">
        <v>31</v>
      </c>
      <c r="C434" s="8"/>
      <c r="D434" s="9" t="s">
        <v>28</v>
      </c>
      <c r="E434" s="10" t="s">
        <v>47</v>
      </c>
      <c r="F434" s="83">
        <f>VLOOKUP(B434,'HSD UPAH,BAHAN,ALAT'!$C$6:F699,4,FALSE)</f>
        <v>10000</v>
      </c>
      <c r="G434" s="84">
        <f t="shared" si="39"/>
        <v>65</v>
      </c>
    </row>
    <row r="435" spans="1:7">
      <c r="A435" s="8" t="s">
        <v>33</v>
      </c>
      <c r="B435" s="1" t="s">
        <v>34</v>
      </c>
      <c r="C435" s="8"/>
      <c r="D435" s="9" t="s">
        <v>28</v>
      </c>
      <c r="E435" s="10" t="s">
        <v>15</v>
      </c>
      <c r="F435" s="83">
        <f>VLOOKUP(B435,'HSD UPAH,BAHAN,ALAT'!$C$6:F700,4,FALSE)</f>
        <v>10000</v>
      </c>
      <c r="G435" s="84">
        <f t="shared" si="39"/>
        <v>16</v>
      </c>
    </row>
    <row r="436" spans="1:7">
      <c r="A436" s="261" t="s">
        <v>421</v>
      </c>
      <c r="B436" s="261"/>
      <c r="C436" s="261"/>
      <c r="D436" s="261"/>
      <c r="E436" s="261"/>
      <c r="F436" s="261"/>
      <c r="G436" s="85">
        <f>SUM(G427:G435)</f>
        <v>170875</v>
      </c>
    </row>
    <row r="437" spans="1:7">
      <c r="A437" s="8" t="s">
        <v>36</v>
      </c>
      <c r="B437" s="1" t="s">
        <v>37</v>
      </c>
      <c r="C437" s="8"/>
      <c r="D437" s="9"/>
      <c r="E437" s="19"/>
      <c r="F437" s="2"/>
      <c r="G437" s="2"/>
    </row>
    <row r="438" spans="1:7">
      <c r="A438" s="263" t="s">
        <v>419</v>
      </c>
      <c r="B438" s="263"/>
      <c r="C438" s="263"/>
      <c r="D438" s="263"/>
      <c r="E438" s="263"/>
      <c r="F438" s="263"/>
      <c r="G438" s="80">
        <f>SUM(G437)</f>
        <v>0</v>
      </c>
    </row>
    <row r="439" spans="1:7">
      <c r="A439" s="81" t="s">
        <v>38</v>
      </c>
      <c r="B439" s="262" t="s">
        <v>39</v>
      </c>
      <c r="C439" s="262"/>
      <c r="D439" s="262"/>
      <c r="E439" s="262"/>
      <c r="F439" s="262"/>
      <c r="G439" s="80">
        <f>SUM(G421:G438)/2</f>
        <v>173899</v>
      </c>
    </row>
    <row r="440" spans="1:7">
      <c r="A440" s="81" t="s">
        <v>40</v>
      </c>
      <c r="B440" s="262" t="s">
        <v>180</v>
      </c>
      <c r="C440" s="262"/>
      <c r="D440" s="262"/>
      <c r="E440" s="262"/>
      <c r="F440" s="82">
        <v>0.1</v>
      </c>
      <c r="G440" s="80">
        <f>G439*F440</f>
        <v>17389.900000000001</v>
      </c>
    </row>
    <row r="441" spans="1:7">
      <c r="A441" s="81" t="s">
        <v>41</v>
      </c>
      <c r="B441" s="262" t="s">
        <v>42</v>
      </c>
      <c r="C441" s="262"/>
      <c r="D441" s="262"/>
      <c r="E441" s="262"/>
      <c r="F441" s="262"/>
      <c r="G441" s="80">
        <f>G439+G440</f>
        <v>191288.9</v>
      </c>
    </row>
    <row r="442" spans="1:7">
      <c r="A442" s="90"/>
      <c r="B442" s="91"/>
      <c r="C442" s="91"/>
      <c r="D442" s="91"/>
      <c r="E442" s="91"/>
      <c r="F442" s="91"/>
      <c r="G442" s="92"/>
    </row>
    <row r="443" spans="1:7">
      <c r="A443" s="4" t="s">
        <v>521</v>
      </c>
      <c r="B443" s="91"/>
      <c r="C443" s="91"/>
      <c r="D443" s="91"/>
      <c r="E443" s="91"/>
      <c r="F443" s="91"/>
      <c r="G443" s="92"/>
    </row>
    <row r="444" spans="1:7" ht="30">
      <c r="A444" s="79" t="s">
        <v>0</v>
      </c>
      <c r="B444" s="79" t="s">
        <v>1</v>
      </c>
      <c r="C444" s="79" t="s">
        <v>207</v>
      </c>
      <c r="D444" s="79" t="s">
        <v>3</v>
      </c>
      <c r="E444" s="79" t="s">
        <v>2</v>
      </c>
      <c r="F444" s="79" t="s">
        <v>417</v>
      </c>
      <c r="G444" s="79" t="s">
        <v>418</v>
      </c>
    </row>
    <row r="445" spans="1:7">
      <c r="A445" s="8" t="s">
        <v>4</v>
      </c>
      <c r="B445" s="1" t="s">
        <v>5</v>
      </c>
      <c r="C445" s="8"/>
      <c r="D445" s="9"/>
      <c r="E445" s="19"/>
      <c r="F445" s="2"/>
      <c r="G445" s="2"/>
    </row>
    <row r="446" spans="1:7">
      <c r="A446" s="8">
        <v>1</v>
      </c>
      <c r="B446" s="1" t="s">
        <v>6</v>
      </c>
      <c r="C446" s="8" t="s">
        <v>7</v>
      </c>
      <c r="D446" s="9" t="s">
        <v>8</v>
      </c>
      <c r="E446" s="10" t="s">
        <v>43</v>
      </c>
      <c r="F446" s="83">
        <f>VLOOKUP(B446,'HSD UPAH,BAHAN,ALAT'!$C$6:F709,4,FALSE)</f>
        <v>100000</v>
      </c>
      <c r="G446" s="84">
        <f t="shared" ref="G446:G448" si="40">E446*F446</f>
        <v>2000</v>
      </c>
    </row>
    <row r="447" spans="1:7">
      <c r="A447" s="8">
        <v>2</v>
      </c>
      <c r="B447" s="1" t="s">
        <v>10</v>
      </c>
      <c r="C447" s="8" t="s">
        <v>11</v>
      </c>
      <c r="D447" s="9" t="s">
        <v>8</v>
      </c>
      <c r="E447" s="10" t="s">
        <v>44</v>
      </c>
      <c r="F447" s="83">
        <f>VLOOKUP(B447,'HSD UPAH,BAHAN,ALAT'!$C$6:F710,4,FALSE)</f>
        <v>120000</v>
      </c>
      <c r="G447" s="84">
        <f t="shared" si="40"/>
        <v>804</v>
      </c>
    </row>
    <row r="448" spans="1:7">
      <c r="A448" s="8">
        <v>3</v>
      </c>
      <c r="B448" s="1" t="s">
        <v>13</v>
      </c>
      <c r="C448" s="8" t="s">
        <v>14</v>
      </c>
      <c r="D448" s="9" t="s">
        <v>8</v>
      </c>
      <c r="E448" s="10" t="s">
        <v>45</v>
      </c>
      <c r="F448" s="83">
        <f>VLOOKUP(B448,'HSD UPAH,BAHAN,ALAT'!$C$6:F711,4,FALSE)</f>
        <v>100000</v>
      </c>
      <c r="G448" s="84">
        <f t="shared" si="40"/>
        <v>220</v>
      </c>
    </row>
    <row r="449" spans="1:7">
      <c r="A449" s="261" t="s">
        <v>420</v>
      </c>
      <c r="B449" s="261"/>
      <c r="C449" s="261"/>
      <c r="D449" s="261"/>
      <c r="E449" s="261"/>
      <c r="F449" s="261"/>
      <c r="G449" s="85">
        <f>SUM(G445:G448)</f>
        <v>3024</v>
      </c>
    </row>
    <row r="450" spans="1:7">
      <c r="A450" s="8" t="s">
        <v>16</v>
      </c>
      <c r="B450" s="1" t="s">
        <v>17</v>
      </c>
      <c r="C450" s="8"/>
      <c r="D450" s="9"/>
      <c r="E450" s="19"/>
      <c r="F450" s="2"/>
      <c r="G450" s="2"/>
    </row>
    <row r="451" spans="1:7" ht="30">
      <c r="A451" s="17" t="s">
        <v>208</v>
      </c>
      <c r="B451" s="5" t="s">
        <v>246</v>
      </c>
      <c r="C451" s="17"/>
      <c r="D451" s="12" t="s">
        <v>86</v>
      </c>
      <c r="E451" s="7" t="s">
        <v>87</v>
      </c>
      <c r="F451" s="83">
        <f>VLOOKUP(B451,'HSD UPAH,BAHAN,ALAT'!$C$6:F714,4,FALSE)</f>
        <v>10000</v>
      </c>
      <c r="G451" s="84">
        <f t="shared" ref="G451:G455" si="41">E451*F451</f>
        <v>10500</v>
      </c>
    </row>
    <row r="452" spans="1:7">
      <c r="A452" s="8">
        <v>2</v>
      </c>
      <c r="B452" s="1" t="s">
        <v>18</v>
      </c>
      <c r="C452" s="8"/>
      <c r="D452" s="9" t="s">
        <v>19</v>
      </c>
      <c r="E452" s="10" t="s">
        <v>20</v>
      </c>
      <c r="F452" s="83">
        <f>VLOOKUP(B452,'HSD UPAH,BAHAN,ALAT'!$C$6:F715,4,FALSE)</f>
        <v>10000</v>
      </c>
      <c r="G452" s="84">
        <f t="shared" si="41"/>
        <v>50</v>
      </c>
    </row>
    <row r="453" spans="1:7">
      <c r="A453" s="8">
        <v>3</v>
      </c>
      <c r="B453" s="1" t="s">
        <v>21</v>
      </c>
      <c r="C453" s="8"/>
      <c r="D453" s="9"/>
      <c r="E453" s="19"/>
      <c r="F453" s="83"/>
      <c r="G453" s="84">
        <f t="shared" si="41"/>
        <v>0</v>
      </c>
    </row>
    <row r="454" spans="1:7">
      <c r="A454" s="8" t="s">
        <v>22</v>
      </c>
      <c r="B454" s="1" t="s">
        <v>23</v>
      </c>
      <c r="C454" s="8"/>
      <c r="D454" s="9" t="s">
        <v>24</v>
      </c>
      <c r="E454" s="10" t="s">
        <v>25</v>
      </c>
      <c r="F454" s="83">
        <f>VLOOKUP(B454,'HSD UPAH,BAHAN,ALAT'!$C$6:F717,4,FALSE)</f>
        <v>10000</v>
      </c>
      <c r="G454" s="84">
        <f t="shared" si="41"/>
        <v>60000</v>
      </c>
    </row>
    <row r="455" spans="1:7">
      <c r="A455" s="17" t="s">
        <v>30</v>
      </c>
      <c r="B455" s="1" t="s">
        <v>209</v>
      </c>
      <c r="C455" s="8"/>
      <c r="D455" s="12" t="s">
        <v>24</v>
      </c>
      <c r="E455" s="7" t="s">
        <v>57</v>
      </c>
      <c r="F455" s="83">
        <f>VLOOKUP(B455,'HSD UPAH,BAHAN,ALAT'!$C$6:F718,4,FALSE)</f>
        <v>10000</v>
      </c>
      <c r="G455" s="84">
        <f t="shared" si="41"/>
        <v>100000</v>
      </c>
    </row>
    <row r="456" spans="1:7">
      <c r="A456" s="8">
        <v>4</v>
      </c>
      <c r="B456" s="1" t="s">
        <v>26</v>
      </c>
      <c r="C456" s="8"/>
      <c r="D456" s="9"/>
      <c r="E456" s="19"/>
      <c r="F456" s="2"/>
      <c r="G456" s="2"/>
    </row>
    <row r="457" spans="1:7">
      <c r="A457" s="8" t="s">
        <v>22</v>
      </c>
      <c r="B457" s="1" t="s">
        <v>27</v>
      </c>
      <c r="C457" s="8"/>
      <c r="D457" s="9" t="s">
        <v>28</v>
      </c>
      <c r="E457" s="10" t="s">
        <v>46</v>
      </c>
      <c r="F457" s="83">
        <f>VLOOKUP(B457,'HSD UPAH,BAHAN,ALAT'!$C$6:F720,4,FALSE)</f>
        <v>10000</v>
      </c>
      <c r="G457" s="84">
        <f t="shared" ref="G457:G459" si="42">E457*F457</f>
        <v>244.00000000000003</v>
      </c>
    </row>
    <row r="458" spans="1:7">
      <c r="A458" s="8" t="s">
        <v>30</v>
      </c>
      <c r="B458" s="1" t="s">
        <v>31</v>
      </c>
      <c r="C458" s="8"/>
      <c r="D458" s="9" t="s">
        <v>28</v>
      </c>
      <c r="E458" s="10" t="s">
        <v>47</v>
      </c>
      <c r="F458" s="83">
        <f>VLOOKUP(B458,'HSD UPAH,BAHAN,ALAT'!$C$6:F721,4,FALSE)</f>
        <v>10000</v>
      </c>
      <c r="G458" s="84">
        <f t="shared" si="42"/>
        <v>65</v>
      </c>
    </row>
    <row r="459" spans="1:7">
      <c r="A459" s="8" t="s">
        <v>33</v>
      </c>
      <c r="B459" s="1" t="s">
        <v>34</v>
      </c>
      <c r="C459" s="8"/>
      <c r="D459" s="9" t="s">
        <v>28</v>
      </c>
      <c r="E459" s="10" t="s">
        <v>15</v>
      </c>
      <c r="F459" s="83">
        <f>VLOOKUP(B459,'HSD UPAH,BAHAN,ALAT'!$C$6:F722,4,FALSE)</f>
        <v>10000</v>
      </c>
      <c r="G459" s="84">
        <f t="shared" si="42"/>
        <v>16</v>
      </c>
    </row>
    <row r="460" spans="1:7">
      <c r="A460" s="261" t="s">
        <v>421</v>
      </c>
      <c r="B460" s="261"/>
      <c r="C460" s="261"/>
      <c r="D460" s="261"/>
      <c r="E460" s="261"/>
      <c r="F460" s="261"/>
      <c r="G460" s="85">
        <f>SUM(G451:G459)</f>
        <v>170875</v>
      </c>
    </row>
    <row r="461" spans="1:7">
      <c r="A461" s="8" t="s">
        <v>36</v>
      </c>
      <c r="B461" s="1" t="s">
        <v>37</v>
      </c>
      <c r="C461" s="8"/>
      <c r="D461" s="9"/>
      <c r="E461" s="19"/>
      <c r="F461" s="2"/>
      <c r="G461" s="2"/>
    </row>
    <row r="462" spans="1:7">
      <c r="A462" s="263" t="s">
        <v>419</v>
      </c>
      <c r="B462" s="263"/>
      <c r="C462" s="263"/>
      <c r="D462" s="263"/>
      <c r="E462" s="263"/>
      <c r="F462" s="263"/>
      <c r="G462" s="80">
        <f>SUM(G461)</f>
        <v>0</v>
      </c>
    </row>
    <row r="463" spans="1:7">
      <c r="A463" s="81" t="s">
        <v>38</v>
      </c>
      <c r="B463" s="262" t="s">
        <v>39</v>
      </c>
      <c r="C463" s="262"/>
      <c r="D463" s="262"/>
      <c r="E463" s="262"/>
      <c r="F463" s="262"/>
      <c r="G463" s="80">
        <f>SUM(G445:G462)/2</f>
        <v>173899</v>
      </c>
    </row>
    <row r="464" spans="1:7">
      <c r="A464" s="81" t="s">
        <v>40</v>
      </c>
      <c r="B464" s="262" t="s">
        <v>180</v>
      </c>
      <c r="C464" s="262"/>
      <c r="D464" s="262"/>
      <c r="E464" s="262"/>
      <c r="F464" s="82">
        <v>0.1</v>
      </c>
      <c r="G464" s="80">
        <f>G463*F464</f>
        <v>17389.900000000001</v>
      </c>
    </row>
    <row r="465" spans="1:7">
      <c r="A465" s="81" t="s">
        <v>41</v>
      </c>
      <c r="B465" s="262" t="s">
        <v>42</v>
      </c>
      <c r="C465" s="262"/>
      <c r="D465" s="262"/>
      <c r="E465" s="262"/>
      <c r="F465" s="262"/>
      <c r="G465" s="80">
        <f>G463+G464</f>
        <v>191288.9</v>
      </c>
    </row>
    <row r="466" spans="1:7">
      <c r="A466" s="90"/>
      <c r="B466" s="91"/>
      <c r="C466" s="91"/>
      <c r="D466" s="91"/>
      <c r="E466" s="91"/>
      <c r="F466" s="91"/>
      <c r="G466" s="92"/>
    </row>
    <row r="467" spans="1:7">
      <c r="A467" s="4" t="s">
        <v>522</v>
      </c>
      <c r="B467" s="91"/>
      <c r="C467" s="91"/>
      <c r="D467" s="91"/>
      <c r="E467" s="91"/>
      <c r="F467" s="91"/>
      <c r="G467" s="92"/>
    </row>
    <row r="468" spans="1:7" ht="30">
      <c r="A468" s="79" t="s">
        <v>0</v>
      </c>
      <c r="B468" s="79" t="s">
        <v>1</v>
      </c>
      <c r="C468" s="79" t="s">
        <v>207</v>
      </c>
      <c r="D468" s="79" t="s">
        <v>3</v>
      </c>
      <c r="E468" s="79" t="s">
        <v>2</v>
      </c>
      <c r="F468" s="79" t="s">
        <v>417</v>
      </c>
      <c r="G468" s="79" t="s">
        <v>418</v>
      </c>
    </row>
    <row r="469" spans="1:7">
      <c r="A469" s="8" t="s">
        <v>4</v>
      </c>
      <c r="B469" s="1" t="s">
        <v>5</v>
      </c>
      <c r="C469" s="8"/>
      <c r="D469" s="9"/>
      <c r="E469" s="19"/>
      <c r="F469" s="2"/>
      <c r="G469" s="2"/>
    </row>
    <row r="470" spans="1:7">
      <c r="A470" s="8">
        <v>1</v>
      </c>
      <c r="B470" s="1" t="s">
        <v>6</v>
      </c>
      <c r="C470" s="8" t="s">
        <v>7</v>
      </c>
      <c r="D470" s="9" t="s">
        <v>8</v>
      </c>
      <c r="E470" s="10" t="s">
        <v>43</v>
      </c>
      <c r="F470" s="83">
        <f>VLOOKUP(B470,'HSD UPAH,BAHAN,ALAT'!$C$6:F731,4,FALSE)</f>
        <v>100000</v>
      </c>
      <c r="G470" s="84">
        <f t="shared" ref="G470:G472" si="43">E470*F470</f>
        <v>2000</v>
      </c>
    </row>
    <row r="471" spans="1:7">
      <c r="A471" s="8">
        <v>2</v>
      </c>
      <c r="B471" s="1" t="s">
        <v>10</v>
      </c>
      <c r="C471" s="8" t="s">
        <v>11</v>
      </c>
      <c r="D471" s="9" t="s">
        <v>8</v>
      </c>
      <c r="E471" s="10" t="s">
        <v>44</v>
      </c>
      <c r="F471" s="83">
        <f>VLOOKUP(B471,'HSD UPAH,BAHAN,ALAT'!$C$6:F732,4,FALSE)</f>
        <v>120000</v>
      </c>
      <c r="G471" s="84">
        <f t="shared" si="43"/>
        <v>804</v>
      </c>
    </row>
    <row r="472" spans="1:7">
      <c r="A472" s="8">
        <v>3</v>
      </c>
      <c r="B472" s="1" t="s">
        <v>13</v>
      </c>
      <c r="C472" s="8" t="s">
        <v>14</v>
      </c>
      <c r="D472" s="9" t="s">
        <v>8</v>
      </c>
      <c r="E472" s="10" t="s">
        <v>45</v>
      </c>
      <c r="F472" s="83">
        <f>VLOOKUP(B472,'HSD UPAH,BAHAN,ALAT'!$C$6:F733,4,FALSE)</f>
        <v>100000</v>
      </c>
      <c r="G472" s="84">
        <f t="shared" si="43"/>
        <v>220</v>
      </c>
    </row>
    <row r="473" spans="1:7">
      <c r="A473" s="261" t="s">
        <v>420</v>
      </c>
      <c r="B473" s="261"/>
      <c r="C473" s="261"/>
      <c r="D473" s="261"/>
      <c r="E473" s="261"/>
      <c r="F473" s="261"/>
      <c r="G473" s="85">
        <f>SUM(G469:G472)</f>
        <v>3024</v>
      </c>
    </row>
    <row r="474" spans="1:7">
      <c r="A474" s="8" t="s">
        <v>16</v>
      </c>
      <c r="B474" s="1" t="s">
        <v>17</v>
      </c>
      <c r="C474" s="8"/>
      <c r="D474" s="9"/>
      <c r="E474" s="19"/>
      <c r="F474" s="2"/>
      <c r="G474" s="2"/>
    </row>
    <row r="475" spans="1:7" ht="45">
      <c r="A475" s="17" t="s">
        <v>208</v>
      </c>
      <c r="B475" s="5" t="s">
        <v>247</v>
      </c>
      <c r="C475" s="17"/>
      <c r="D475" s="12" t="s">
        <v>86</v>
      </c>
      <c r="E475" s="7" t="s">
        <v>87</v>
      </c>
      <c r="F475" s="83">
        <f>VLOOKUP(B475,'HSD UPAH,BAHAN,ALAT'!$C$6:F736,4,FALSE)</f>
        <v>10000</v>
      </c>
      <c r="G475" s="84">
        <f t="shared" ref="G475:G479" si="44">E475*F475</f>
        <v>10500</v>
      </c>
    </row>
    <row r="476" spans="1:7">
      <c r="A476" s="8">
        <v>2</v>
      </c>
      <c r="B476" s="1" t="s">
        <v>18</v>
      </c>
      <c r="C476" s="8"/>
      <c r="D476" s="9" t="s">
        <v>19</v>
      </c>
      <c r="E476" s="10" t="s">
        <v>20</v>
      </c>
      <c r="F476" s="83">
        <f>VLOOKUP(B476,'HSD UPAH,BAHAN,ALAT'!$C$6:F737,4,FALSE)</f>
        <v>10000</v>
      </c>
      <c r="G476" s="84">
        <f t="shared" si="44"/>
        <v>50</v>
      </c>
    </row>
    <row r="477" spans="1:7">
      <c r="A477" s="8">
        <v>3</v>
      </c>
      <c r="B477" s="1" t="s">
        <v>21</v>
      </c>
      <c r="C477" s="8"/>
      <c r="D477" s="9"/>
      <c r="E477" s="19"/>
      <c r="F477" s="83"/>
      <c r="G477" s="84">
        <f t="shared" si="44"/>
        <v>0</v>
      </c>
    </row>
    <row r="478" spans="1:7">
      <c r="A478" s="8" t="s">
        <v>22</v>
      </c>
      <c r="B478" s="1" t="s">
        <v>23</v>
      </c>
      <c r="C478" s="8"/>
      <c r="D478" s="9" t="s">
        <v>24</v>
      </c>
      <c r="E478" s="10" t="s">
        <v>25</v>
      </c>
      <c r="F478" s="83">
        <f>VLOOKUP(B478,'HSD UPAH,BAHAN,ALAT'!$C$6:F739,4,FALSE)</f>
        <v>10000</v>
      </c>
      <c r="G478" s="84">
        <f t="shared" si="44"/>
        <v>60000</v>
      </c>
    </row>
    <row r="479" spans="1:7">
      <c r="A479" s="17" t="s">
        <v>30</v>
      </c>
      <c r="B479" s="1" t="s">
        <v>209</v>
      </c>
      <c r="C479" s="8"/>
      <c r="D479" s="12" t="s">
        <v>24</v>
      </c>
      <c r="E479" s="7" t="s">
        <v>57</v>
      </c>
      <c r="F479" s="83">
        <f>VLOOKUP(B479,'HSD UPAH,BAHAN,ALAT'!$C$6:F740,4,FALSE)</f>
        <v>10000</v>
      </c>
      <c r="G479" s="84">
        <f t="shared" si="44"/>
        <v>100000</v>
      </c>
    </row>
    <row r="480" spans="1:7">
      <c r="A480" s="8">
        <v>4</v>
      </c>
      <c r="B480" s="1" t="s">
        <v>26</v>
      </c>
      <c r="C480" s="8"/>
      <c r="D480" s="9"/>
      <c r="E480" s="19"/>
      <c r="F480" s="2"/>
      <c r="G480" s="2"/>
    </row>
    <row r="481" spans="1:7">
      <c r="A481" s="8" t="s">
        <v>22</v>
      </c>
      <c r="B481" s="1" t="s">
        <v>27</v>
      </c>
      <c r="C481" s="8"/>
      <c r="D481" s="9" t="s">
        <v>28</v>
      </c>
      <c r="E481" s="10" t="s">
        <v>46</v>
      </c>
      <c r="F481" s="83">
        <f>VLOOKUP(B481,'HSD UPAH,BAHAN,ALAT'!$C$6:F742,4,FALSE)</f>
        <v>10000</v>
      </c>
      <c r="G481" s="84">
        <f t="shared" ref="G481:G483" si="45">E481*F481</f>
        <v>244.00000000000003</v>
      </c>
    </row>
    <row r="482" spans="1:7">
      <c r="A482" s="8" t="s">
        <v>30</v>
      </c>
      <c r="B482" s="1" t="s">
        <v>31</v>
      </c>
      <c r="C482" s="8"/>
      <c r="D482" s="9" t="s">
        <v>28</v>
      </c>
      <c r="E482" s="10" t="s">
        <v>47</v>
      </c>
      <c r="F482" s="83">
        <f>VLOOKUP(B482,'HSD UPAH,BAHAN,ALAT'!$C$6:F743,4,FALSE)</f>
        <v>10000</v>
      </c>
      <c r="G482" s="84">
        <f t="shared" si="45"/>
        <v>65</v>
      </c>
    </row>
    <row r="483" spans="1:7">
      <c r="A483" s="8" t="s">
        <v>33</v>
      </c>
      <c r="B483" s="1" t="s">
        <v>34</v>
      </c>
      <c r="C483" s="8"/>
      <c r="D483" s="9" t="s">
        <v>28</v>
      </c>
      <c r="E483" s="10" t="s">
        <v>15</v>
      </c>
      <c r="F483" s="83">
        <f>VLOOKUP(B483,'HSD UPAH,BAHAN,ALAT'!$C$6:F744,4,FALSE)</f>
        <v>10000</v>
      </c>
      <c r="G483" s="84">
        <f t="shared" si="45"/>
        <v>16</v>
      </c>
    </row>
    <row r="484" spans="1:7">
      <c r="A484" s="261" t="s">
        <v>421</v>
      </c>
      <c r="B484" s="261"/>
      <c r="C484" s="261"/>
      <c r="D484" s="261"/>
      <c r="E484" s="261"/>
      <c r="F484" s="261"/>
      <c r="G484" s="85">
        <f>SUM(G475:G483)</f>
        <v>170875</v>
      </c>
    </row>
    <row r="485" spans="1:7">
      <c r="A485" s="8" t="s">
        <v>36</v>
      </c>
      <c r="B485" s="1" t="s">
        <v>37</v>
      </c>
      <c r="C485" s="8"/>
      <c r="D485" s="9"/>
      <c r="E485" s="19"/>
      <c r="F485" s="2"/>
      <c r="G485" s="2"/>
    </row>
    <row r="486" spans="1:7">
      <c r="A486" s="263" t="s">
        <v>419</v>
      </c>
      <c r="B486" s="263"/>
      <c r="C486" s="263"/>
      <c r="D486" s="263"/>
      <c r="E486" s="263"/>
      <c r="F486" s="263"/>
      <c r="G486" s="80">
        <f>SUM(G485)</f>
        <v>0</v>
      </c>
    </row>
    <row r="487" spans="1:7">
      <c r="A487" s="81" t="s">
        <v>38</v>
      </c>
      <c r="B487" s="262" t="s">
        <v>39</v>
      </c>
      <c r="C487" s="262"/>
      <c r="D487" s="262"/>
      <c r="E487" s="262"/>
      <c r="F487" s="262"/>
      <c r="G487" s="80">
        <f>SUM(G469:G486)/2</f>
        <v>173899</v>
      </c>
    </row>
    <row r="488" spans="1:7">
      <c r="A488" s="81" t="s">
        <v>40</v>
      </c>
      <c r="B488" s="262" t="s">
        <v>180</v>
      </c>
      <c r="C488" s="262"/>
      <c r="D488" s="262"/>
      <c r="E488" s="262"/>
      <c r="F488" s="82">
        <v>0.1</v>
      </c>
      <c r="G488" s="80">
        <f>G487*F488</f>
        <v>17389.900000000001</v>
      </c>
    </row>
    <row r="489" spans="1:7">
      <c r="A489" s="81" t="s">
        <v>41</v>
      </c>
      <c r="B489" s="262" t="s">
        <v>42</v>
      </c>
      <c r="C489" s="262"/>
      <c r="D489" s="262"/>
      <c r="E489" s="262"/>
      <c r="F489" s="262"/>
      <c r="G489" s="80">
        <f>G487+G488</f>
        <v>191288.9</v>
      </c>
    </row>
    <row r="490" spans="1:7">
      <c r="A490" s="90"/>
      <c r="B490" s="91"/>
      <c r="C490" s="91"/>
      <c r="D490" s="91"/>
      <c r="E490" s="91"/>
      <c r="F490" s="91"/>
      <c r="G490" s="92"/>
    </row>
    <row r="491" spans="1:7">
      <c r="A491" s="4" t="s">
        <v>523</v>
      </c>
      <c r="B491" s="91"/>
      <c r="C491" s="91"/>
      <c r="D491" s="91"/>
      <c r="E491" s="91"/>
      <c r="F491" s="91"/>
      <c r="G491" s="92"/>
    </row>
    <row r="492" spans="1:7" ht="30">
      <c r="A492" s="79" t="s">
        <v>0</v>
      </c>
      <c r="B492" s="79" t="s">
        <v>1</v>
      </c>
      <c r="C492" s="79" t="s">
        <v>207</v>
      </c>
      <c r="D492" s="79" t="s">
        <v>3</v>
      </c>
      <c r="E492" s="79" t="s">
        <v>2</v>
      </c>
      <c r="F492" s="79" t="s">
        <v>417</v>
      </c>
      <c r="G492" s="79" t="s">
        <v>418</v>
      </c>
    </row>
    <row r="493" spans="1:7">
      <c r="A493" s="8" t="s">
        <v>4</v>
      </c>
      <c r="B493" s="1" t="s">
        <v>5</v>
      </c>
      <c r="C493" s="8"/>
      <c r="D493" s="9"/>
      <c r="E493" s="19"/>
      <c r="F493" s="2"/>
      <c r="G493" s="2"/>
    </row>
    <row r="494" spans="1:7">
      <c r="A494" s="8">
        <v>1</v>
      </c>
      <c r="B494" s="1" t="s">
        <v>6</v>
      </c>
      <c r="C494" s="8" t="s">
        <v>7</v>
      </c>
      <c r="D494" s="9" t="s">
        <v>8</v>
      </c>
      <c r="E494" s="10" t="s">
        <v>43</v>
      </c>
      <c r="F494" s="83">
        <f>VLOOKUP(B494,'HSD UPAH,BAHAN,ALAT'!$C$6:F753,4,FALSE)</f>
        <v>100000</v>
      </c>
      <c r="G494" s="84">
        <f t="shared" ref="G494:G496" si="46">E494*F494</f>
        <v>2000</v>
      </c>
    </row>
    <row r="495" spans="1:7">
      <c r="A495" s="8">
        <v>2</v>
      </c>
      <c r="B495" s="1" t="s">
        <v>10</v>
      </c>
      <c r="C495" s="8" t="s">
        <v>11</v>
      </c>
      <c r="D495" s="9" t="s">
        <v>8</v>
      </c>
      <c r="E495" s="10" t="s">
        <v>44</v>
      </c>
      <c r="F495" s="83">
        <f>VLOOKUP(B495,'HSD UPAH,BAHAN,ALAT'!$C$6:F754,4,FALSE)</f>
        <v>120000</v>
      </c>
      <c r="G495" s="84">
        <f t="shared" si="46"/>
        <v>804</v>
      </c>
    </row>
    <row r="496" spans="1:7">
      <c r="A496" s="8">
        <v>3</v>
      </c>
      <c r="B496" s="1" t="s">
        <v>13</v>
      </c>
      <c r="C496" s="8" t="s">
        <v>14</v>
      </c>
      <c r="D496" s="9" t="s">
        <v>8</v>
      </c>
      <c r="E496" s="10" t="s">
        <v>45</v>
      </c>
      <c r="F496" s="83">
        <f>VLOOKUP(B496,'HSD UPAH,BAHAN,ALAT'!$C$6:F755,4,FALSE)</f>
        <v>100000</v>
      </c>
      <c r="G496" s="84">
        <f t="shared" si="46"/>
        <v>220</v>
      </c>
    </row>
    <row r="497" spans="1:7">
      <c r="A497" s="261" t="s">
        <v>420</v>
      </c>
      <c r="B497" s="261"/>
      <c r="C497" s="261"/>
      <c r="D497" s="261"/>
      <c r="E497" s="261"/>
      <c r="F497" s="261"/>
      <c r="G497" s="85">
        <f>SUM(G493:G496)</f>
        <v>3024</v>
      </c>
    </row>
    <row r="498" spans="1:7">
      <c r="A498" s="8" t="s">
        <v>16</v>
      </c>
      <c r="B498" s="1" t="s">
        <v>17</v>
      </c>
      <c r="C498" s="8"/>
      <c r="D498" s="9"/>
      <c r="E498" s="19"/>
      <c r="F498" s="2"/>
      <c r="G498" s="2"/>
    </row>
    <row r="499" spans="1:7" ht="30">
      <c r="A499" s="17" t="s">
        <v>208</v>
      </c>
      <c r="B499" s="5" t="s">
        <v>248</v>
      </c>
      <c r="C499" s="17"/>
      <c r="D499" s="12" t="s">
        <v>86</v>
      </c>
      <c r="E499" s="7" t="s">
        <v>87</v>
      </c>
      <c r="F499" s="83">
        <f>VLOOKUP(B499,'HSD UPAH,BAHAN,ALAT'!$C$6:F758,4,FALSE)</f>
        <v>10000</v>
      </c>
      <c r="G499" s="84">
        <f t="shared" ref="G499:G500" si="47">E499*F499</f>
        <v>10500</v>
      </c>
    </row>
    <row r="500" spans="1:7">
      <c r="A500" s="8">
        <v>2</v>
      </c>
      <c r="B500" s="1" t="s">
        <v>18</v>
      </c>
      <c r="C500" s="8"/>
      <c r="D500" s="9" t="s">
        <v>19</v>
      </c>
      <c r="E500" s="10" t="s">
        <v>20</v>
      </c>
      <c r="F500" s="83">
        <f>VLOOKUP(B500,'HSD UPAH,BAHAN,ALAT'!$C$6:F759,4,FALSE)</f>
        <v>10000</v>
      </c>
      <c r="G500" s="84">
        <f t="shared" si="47"/>
        <v>50</v>
      </c>
    </row>
    <row r="501" spans="1:7">
      <c r="A501" s="8">
        <v>3</v>
      </c>
      <c r="B501" s="1" t="s">
        <v>21</v>
      </c>
      <c r="C501" s="8"/>
      <c r="D501" s="9"/>
      <c r="E501" s="19"/>
      <c r="F501" s="2"/>
      <c r="G501" s="2"/>
    </row>
    <row r="502" spans="1:7">
      <c r="A502" s="8" t="s">
        <v>22</v>
      </c>
      <c r="B502" s="1" t="s">
        <v>23</v>
      </c>
      <c r="C502" s="8"/>
      <c r="D502" s="9" t="s">
        <v>24</v>
      </c>
      <c r="E502" s="10" t="s">
        <v>25</v>
      </c>
      <c r="F502" s="83">
        <f>VLOOKUP(B502,'HSD UPAH,BAHAN,ALAT'!$C$6:F761,4,FALSE)</f>
        <v>10000</v>
      </c>
      <c r="G502" s="84">
        <f t="shared" ref="G502:G503" si="48">E502*F502</f>
        <v>60000</v>
      </c>
    </row>
    <row r="503" spans="1:7">
      <c r="A503" s="17" t="s">
        <v>30</v>
      </c>
      <c r="B503" s="1" t="s">
        <v>209</v>
      </c>
      <c r="C503" s="8"/>
      <c r="D503" s="12" t="s">
        <v>24</v>
      </c>
      <c r="E503" s="7" t="s">
        <v>57</v>
      </c>
      <c r="F503" s="83">
        <f>VLOOKUP(B503,'HSD UPAH,BAHAN,ALAT'!$C$6:F762,4,FALSE)</f>
        <v>10000</v>
      </c>
      <c r="G503" s="84">
        <f t="shared" si="48"/>
        <v>100000</v>
      </c>
    </row>
    <row r="504" spans="1:7">
      <c r="A504" s="8">
        <v>4</v>
      </c>
      <c r="B504" s="1" t="s">
        <v>26</v>
      </c>
      <c r="C504" s="8"/>
      <c r="D504" s="9"/>
      <c r="E504" s="19"/>
      <c r="F504" s="2"/>
      <c r="G504" s="2"/>
    </row>
    <row r="505" spans="1:7">
      <c r="A505" s="8" t="s">
        <v>22</v>
      </c>
      <c r="B505" s="1" t="s">
        <v>27</v>
      </c>
      <c r="C505" s="8"/>
      <c r="D505" s="9" t="s">
        <v>28</v>
      </c>
      <c r="E505" s="10" t="s">
        <v>46</v>
      </c>
      <c r="F505" s="83">
        <f>VLOOKUP(B505,'HSD UPAH,BAHAN,ALAT'!$C$6:F764,4,FALSE)</f>
        <v>10000</v>
      </c>
      <c r="G505" s="84">
        <f t="shared" ref="G505:G507" si="49">E505*F505</f>
        <v>244.00000000000003</v>
      </c>
    </row>
    <row r="506" spans="1:7">
      <c r="A506" s="8" t="s">
        <v>30</v>
      </c>
      <c r="B506" s="1" t="s">
        <v>31</v>
      </c>
      <c r="C506" s="8"/>
      <c r="D506" s="9" t="s">
        <v>28</v>
      </c>
      <c r="E506" s="10" t="s">
        <v>47</v>
      </c>
      <c r="F506" s="83">
        <f>VLOOKUP(B506,'HSD UPAH,BAHAN,ALAT'!$C$6:F765,4,FALSE)</f>
        <v>10000</v>
      </c>
      <c r="G506" s="84">
        <f t="shared" si="49"/>
        <v>65</v>
      </c>
    </row>
    <row r="507" spans="1:7">
      <c r="A507" s="8" t="s">
        <v>33</v>
      </c>
      <c r="B507" s="1" t="s">
        <v>34</v>
      </c>
      <c r="C507" s="8"/>
      <c r="D507" s="9" t="s">
        <v>28</v>
      </c>
      <c r="E507" s="10" t="s">
        <v>15</v>
      </c>
      <c r="F507" s="83">
        <f>VLOOKUP(B507,'HSD UPAH,BAHAN,ALAT'!$C$6:F766,4,FALSE)</f>
        <v>10000</v>
      </c>
      <c r="G507" s="84">
        <f t="shared" si="49"/>
        <v>16</v>
      </c>
    </row>
    <row r="508" spans="1:7">
      <c r="A508" s="261" t="s">
        <v>421</v>
      </c>
      <c r="B508" s="261"/>
      <c r="C508" s="261"/>
      <c r="D508" s="261"/>
      <c r="E508" s="261"/>
      <c r="F508" s="261"/>
      <c r="G508" s="85">
        <f>SUM(G499:G507)</f>
        <v>170875</v>
      </c>
    </row>
    <row r="509" spans="1:7">
      <c r="A509" s="8" t="s">
        <v>36</v>
      </c>
      <c r="B509" s="1" t="s">
        <v>37</v>
      </c>
      <c r="C509" s="8"/>
      <c r="D509" s="9"/>
      <c r="E509" s="19"/>
      <c r="F509" s="2"/>
      <c r="G509" s="2"/>
    </row>
    <row r="510" spans="1:7">
      <c r="A510" s="263" t="s">
        <v>419</v>
      </c>
      <c r="B510" s="263"/>
      <c r="C510" s="263"/>
      <c r="D510" s="263"/>
      <c r="E510" s="263"/>
      <c r="F510" s="263"/>
      <c r="G510" s="80">
        <f>SUM(G509)</f>
        <v>0</v>
      </c>
    </row>
    <row r="511" spans="1:7">
      <c r="A511" s="81" t="s">
        <v>38</v>
      </c>
      <c r="B511" s="262" t="s">
        <v>39</v>
      </c>
      <c r="C511" s="262"/>
      <c r="D511" s="262"/>
      <c r="E511" s="262"/>
      <c r="F511" s="262"/>
      <c r="G511" s="80">
        <f>SUM(G493:G510)/2</f>
        <v>173899</v>
      </c>
    </row>
    <row r="512" spans="1:7">
      <c r="A512" s="81" t="s">
        <v>40</v>
      </c>
      <c r="B512" s="262" t="s">
        <v>180</v>
      </c>
      <c r="C512" s="262"/>
      <c r="D512" s="262"/>
      <c r="E512" s="262"/>
      <c r="F512" s="82">
        <v>0.1</v>
      </c>
      <c r="G512" s="80">
        <f>G511*F512</f>
        <v>17389.900000000001</v>
      </c>
    </row>
    <row r="513" spans="1:7">
      <c r="A513" s="81" t="s">
        <v>41</v>
      </c>
      <c r="B513" s="262" t="s">
        <v>42</v>
      </c>
      <c r="C513" s="262"/>
      <c r="D513" s="262"/>
      <c r="E513" s="262"/>
      <c r="F513" s="262"/>
      <c r="G513" s="80">
        <f>G511+G512</f>
        <v>191288.9</v>
      </c>
    </row>
    <row r="514" spans="1:7">
      <c r="A514" s="90"/>
      <c r="B514" s="91"/>
      <c r="C514" s="91"/>
      <c r="D514" s="91"/>
      <c r="E514" s="91"/>
      <c r="F514" s="91"/>
      <c r="G514" s="92"/>
    </row>
    <row r="515" spans="1:7">
      <c r="A515" s="4" t="s">
        <v>524</v>
      </c>
      <c r="B515" s="91"/>
      <c r="C515" s="91"/>
      <c r="D515" s="91"/>
      <c r="E515" s="91"/>
      <c r="F515" s="91"/>
      <c r="G515" s="92"/>
    </row>
    <row r="516" spans="1:7" ht="30">
      <c r="A516" s="79" t="s">
        <v>0</v>
      </c>
      <c r="B516" s="79" t="s">
        <v>1</v>
      </c>
      <c r="C516" s="79" t="s">
        <v>207</v>
      </c>
      <c r="D516" s="79" t="s">
        <v>3</v>
      </c>
      <c r="E516" s="79" t="s">
        <v>2</v>
      </c>
      <c r="F516" s="79" t="s">
        <v>417</v>
      </c>
      <c r="G516" s="79" t="s">
        <v>418</v>
      </c>
    </row>
    <row r="517" spans="1:7">
      <c r="A517" s="8" t="s">
        <v>4</v>
      </c>
      <c r="B517" s="1" t="s">
        <v>5</v>
      </c>
      <c r="C517" s="8"/>
      <c r="D517" s="9"/>
      <c r="E517" s="19"/>
      <c r="F517" s="2"/>
      <c r="G517" s="2"/>
    </row>
    <row r="518" spans="1:7">
      <c r="A518" s="8">
        <v>1</v>
      </c>
      <c r="B518" s="1" t="s">
        <v>6</v>
      </c>
      <c r="C518" s="8" t="s">
        <v>7</v>
      </c>
      <c r="D518" s="9" t="s">
        <v>8</v>
      </c>
      <c r="E518" s="10" t="s">
        <v>43</v>
      </c>
      <c r="F518" s="83">
        <f>VLOOKUP(B518,'HSD UPAH,BAHAN,ALAT'!$C$6:F775,4,FALSE)</f>
        <v>100000</v>
      </c>
      <c r="G518" s="84">
        <f t="shared" ref="G518:G520" si="50">E518*F518</f>
        <v>2000</v>
      </c>
    </row>
    <row r="519" spans="1:7">
      <c r="A519" s="8">
        <v>2</v>
      </c>
      <c r="B519" s="1" t="s">
        <v>10</v>
      </c>
      <c r="C519" s="8" t="s">
        <v>11</v>
      </c>
      <c r="D519" s="9" t="s">
        <v>8</v>
      </c>
      <c r="E519" s="10" t="s">
        <v>44</v>
      </c>
      <c r="F519" s="83">
        <f>VLOOKUP(B519,'HSD UPAH,BAHAN,ALAT'!$C$6:F776,4,FALSE)</f>
        <v>120000</v>
      </c>
      <c r="G519" s="84">
        <f t="shared" si="50"/>
        <v>804</v>
      </c>
    </row>
    <row r="520" spans="1:7">
      <c r="A520" s="8">
        <v>3</v>
      </c>
      <c r="B520" s="1" t="s">
        <v>13</v>
      </c>
      <c r="C520" s="8" t="s">
        <v>14</v>
      </c>
      <c r="D520" s="9" t="s">
        <v>8</v>
      </c>
      <c r="E520" s="10" t="s">
        <v>45</v>
      </c>
      <c r="F520" s="83">
        <f>VLOOKUP(B520,'HSD UPAH,BAHAN,ALAT'!$C$6:F777,4,FALSE)</f>
        <v>100000</v>
      </c>
      <c r="G520" s="84">
        <f t="shared" si="50"/>
        <v>220</v>
      </c>
    </row>
    <row r="521" spans="1:7">
      <c r="A521" s="261" t="s">
        <v>420</v>
      </c>
      <c r="B521" s="261"/>
      <c r="C521" s="261"/>
      <c r="D521" s="261"/>
      <c r="E521" s="261"/>
      <c r="F521" s="261"/>
      <c r="G521" s="85">
        <f>SUM(G517:G520)</f>
        <v>3024</v>
      </c>
    </row>
    <row r="522" spans="1:7">
      <c r="A522" s="8" t="s">
        <v>16</v>
      </c>
      <c r="B522" s="1" t="s">
        <v>17</v>
      </c>
      <c r="C522" s="8"/>
      <c r="D522" s="9"/>
      <c r="E522" s="19"/>
      <c r="F522" s="2"/>
      <c r="G522" s="2"/>
    </row>
    <row r="523" spans="1:7" ht="30">
      <c r="A523" s="17" t="s">
        <v>208</v>
      </c>
      <c r="B523" s="5" t="s">
        <v>249</v>
      </c>
      <c r="C523" s="8"/>
      <c r="D523" s="12" t="s">
        <v>86</v>
      </c>
      <c r="E523" s="7" t="s">
        <v>87</v>
      </c>
      <c r="F523" s="83">
        <f>VLOOKUP(B523,'HSD UPAH,BAHAN,ALAT'!$C$6:F780,4,FALSE)</f>
        <v>10000</v>
      </c>
      <c r="G523" s="84">
        <f t="shared" ref="G523:G524" si="51">E523*F523</f>
        <v>10500</v>
      </c>
    </row>
    <row r="524" spans="1:7">
      <c r="A524" s="8">
        <v>2</v>
      </c>
      <c r="B524" s="1" t="s">
        <v>18</v>
      </c>
      <c r="C524" s="8"/>
      <c r="D524" s="9" t="s">
        <v>19</v>
      </c>
      <c r="E524" s="10" t="s">
        <v>20</v>
      </c>
      <c r="F524" s="83">
        <f>VLOOKUP(B524,'HSD UPAH,BAHAN,ALAT'!$C$6:F781,4,FALSE)</f>
        <v>10000</v>
      </c>
      <c r="G524" s="84">
        <f t="shared" si="51"/>
        <v>50</v>
      </c>
    </row>
    <row r="525" spans="1:7">
      <c r="A525" s="8">
        <v>3</v>
      </c>
      <c r="B525" s="1" t="s">
        <v>21</v>
      </c>
      <c r="C525" s="8"/>
      <c r="D525" s="9"/>
      <c r="E525" s="19"/>
      <c r="F525" s="2"/>
      <c r="G525" s="2"/>
    </row>
    <row r="526" spans="1:7">
      <c r="A526" s="8" t="s">
        <v>22</v>
      </c>
      <c r="B526" s="1" t="s">
        <v>23</v>
      </c>
      <c r="C526" s="8"/>
      <c r="D526" s="9" t="s">
        <v>24</v>
      </c>
      <c r="E526" s="10" t="s">
        <v>25</v>
      </c>
      <c r="F526" s="83">
        <f>VLOOKUP(B526,'HSD UPAH,BAHAN,ALAT'!$C$6:F783,4,FALSE)</f>
        <v>10000</v>
      </c>
      <c r="G526" s="84">
        <f t="shared" ref="G526:G527" si="52">E526*F526</f>
        <v>60000</v>
      </c>
    </row>
    <row r="527" spans="1:7">
      <c r="A527" s="17" t="s">
        <v>30</v>
      </c>
      <c r="B527" s="1" t="s">
        <v>209</v>
      </c>
      <c r="C527" s="8"/>
      <c r="D527" s="12" t="s">
        <v>24</v>
      </c>
      <c r="E527" s="7" t="s">
        <v>57</v>
      </c>
      <c r="F527" s="83">
        <f>VLOOKUP(B527,'HSD UPAH,BAHAN,ALAT'!$C$6:F784,4,FALSE)</f>
        <v>10000</v>
      </c>
      <c r="G527" s="84">
        <f t="shared" si="52"/>
        <v>100000</v>
      </c>
    </row>
    <row r="528" spans="1:7">
      <c r="A528" s="8">
        <v>4</v>
      </c>
      <c r="B528" s="1" t="s">
        <v>26</v>
      </c>
      <c r="C528" s="8"/>
      <c r="D528" s="9"/>
      <c r="E528" s="19"/>
      <c r="F528" s="2"/>
      <c r="G528" s="2"/>
    </row>
    <row r="529" spans="1:7">
      <c r="A529" s="8" t="s">
        <v>22</v>
      </c>
      <c r="B529" s="1" t="s">
        <v>27</v>
      </c>
      <c r="C529" s="8"/>
      <c r="D529" s="9" t="s">
        <v>28</v>
      </c>
      <c r="E529" s="10" t="s">
        <v>46</v>
      </c>
      <c r="F529" s="83">
        <f>VLOOKUP(B529,'HSD UPAH,BAHAN,ALAT'!$C$6:F786,4,FALSE)</f>
        <v>10000</v>
      </c>
      <c r="G529" s="84">
        <f t="shared" ref="G529:G531" si="53">E529*F529</f>
        <v>244.00000000000003</v>
      </c>
    </row>
    <row r="530" spans="1:7">
      <c r="A530" s="8" t="s">
        <v>30</v>
      </c>
      <c r="B530" s="1" t="s">
        <v>31</v>
      </c>
      <c r="C530" s="8"/>
      <c r="D530" s="9" t="s">
        <v>28</v>
      </c>
      <c r="E530" s="10" t="s">
        <v>47</v>
      </c>
      <c r="F530" s="83">
        <f>VLOOKUP(B530,'HSD UPAH,BAHAN,ALAT'!$C$6:F787,4,FALSE)</f>
        <v>10000</v>
      </c>
      <c r="G530" s="84">
        <f t="shared" si="53"/>
        <v>65</v>
      </c>
    </row>
    <row r="531" spans="1:7">
      <c r="A531" s="8" t="s">
        <v>33</v>
      </c>
      <c r="B531" s="1" t="s">
        <v>34</v>
      </c>
      <c r="C531" s="8"/>
      <c r="D531" s="9" t="s">
        <v>28</v>
      </c>
      <c r="E531" s="10" t="s">
        <v>15</v>
      </c>
      <c r="F531" s="83">
        <f>VLOOKUP(B531,'HSD UPAH,BAHAN,ALAT'!$C$6:F788,4,FALSE)</f>
        <v>10000</v>
      </c>
      <c r="G531" s="84">
        <f t="shared" si="53"/>
        <v>16</v>
      </c>
    </row>
    <row r="532" spans="1:7">
      <c r="A532" s="261" t="s">
        <v>421</v>
      </c>
      <c r="B532" s="261"/>
      <c r="C532" s="261"/>
      <c r="D532" s="261"/>
      <c r="E532" s="261"/>
      <c r="F532" s="261"/>
      <c r="G532" s="85">
        <f>SUM(G523:G531)</f>
        <v>170875</v>
      </c>
    </row>
    <row r="533" spans="1:7">
      <c r="A533" s="8" t="s">
        <v>36</v>
      </c>
      <c r="B533" s="1" t="s">
        <v>37</v>
      </c>
      <c r="C533" s="8"/>
      <c r="D533" s="9"/>
      <c r="E533" s="19"/>
      <c r="F533" s="2"/>
      <c r="G533" s="2"/>
    </row>
    <row r="534" spans="1:7">
      <c r="A534" s="263" t="s">
        <v>419</v>
      </c>
      <c r="B534" s="263"/>
      <c r="C534" s="263"/>
      <c r="D534" s="263"/>
      <c r="E534" s="263"/>
      <c r="F534" s="263"/>
      <c r="G534" s="80">
        <f>SUM(G533)</f>
        <v>0</v>
      </c>
    </row>
    <row r="535" spans="1:7">
      <c r="A535" s="81" t="s">
        <v>38</v>
      </c>
      <c r="B535" s="262" t="s">
        <v>39</v>
      </c>
      <c r="C535" s="262"/>
      <c r="D535" s="262"/>
      <c r="E535" s="262"/>
      <c r="F535" s="262"/>
      <c r="G535" s="80">
        <f>SUM(G517:G534)/2</f>
        <v>173899</v>
      </c>
    </row>
    <row r="536" spans="1:7">
      <c r="A536" s="81" t="s">
        <v>40</v>
      </c>
      <c r="B536" s="262" t="s">
        <v>180</v>
      </c>
      <c r="C536" s="262"/>
      <c r="D536" s="262"/>
      <c r="E536" s="262"/>
      <c r="F536" s="82">
        <v>0.1</v>
      </c>
      <c r="G536" s="80">
        <f>G535*F536</f>
        <v>17389.900000000001</v>
      </c>
    </row>
    <row r="537" spans="1:7">
      <c r="A537" s="81" t="s">
        <v>41</v>
      </c>
      <c r="B537" s="262" t="s">
        <v>42</v>
      </c>
      <c r="C537" s="262"/>
      <c r="D537" s="262"/>
      <c r="E537" s="262"/>
      <c r="F537" s="262"/>
      <c r="G537" s="80">
        <f>G535+G536</f>
        <v>191288.9</v>
      </c>
    </row>
    <row r="538" spans="1:7">
      <c r="A538" s="90"/>
      <c r="B538" s="91"/>
      <c r="C538" s="91"/>
      <c r="D538" s="91"/>
      <c r="E538" s="91"/>
      <c r="F538" s="91"/>
      <c r="G538" s="92"/>
    </row>
    <row r="539" spans="1:7">
      <c r="A539" s="97" t="s">
        <v>525</v>
      </c>
      <c r="B539" s="91"/>
      <c r="C539" s="91"/>
      <c r="D539" s="91"/>
      <c r="E539" s="91"/>
      <c r="F539" s="91"/>
      <c r="G539" s="92"/>
    </row>
    <row r="540" spans="1:7" ht="30">
      <c r="A540" s="79" t="s">
        <v>0</v>
      </c>
      <c r="B540" s="79" t="s">
        <v>1</v>
      </c>
      <c r="C540" s="79" t="s">
        <v>207</v>
      </c>
      <c r="D540" s="79" t="s">
        <v>3</v>
      </c>
      <c r="E540" s="79" t="s">
        <v>2</v>
      </c>
      <c r="F540" s="79" t="s">
        <v>417</v>
      </c>
      <c r="G540" s="79" t="s">
        <v>418</v>
      </c>
    </row>
    <row r="541" spans="1:7">
      <c r="A541" s="8" t="s">
        <v>4</v>
      </c>
      <c r="B541" s="1" t="s">
        <v>5</v>
      </c>
      <c r="C541" s="8"/>
      <c r="D541" s="9"/>
      <c r="E541" s="19"/>
      <c r="F541" s="2"/>
      <c r="G541" s="2"/>
    </row>
    <row r="542" spans="1:7">
      <c r="A542" s="8">
        <v>1</v>
      </c>
      <c r="B542" s="1" t="s">
        <v>6</v>
      </c>
      <c r="C542" s="8" t="s">
        <v>7</v>
      </c>
      <c r="D542" s="9" t="s">
        <v>8</v>
      </c>
      <c r="E542" s="10" t="s">
        <v>43</v>
      </c>
      <c r="F542" s="83">
        <f>VLOOKUP(B542,'HSD UPAH,BAHAN,ALAT'!$C$6:F797,4,FALSE)</f>
        <v>100000</v>
      </c>
      <c r="G542" s="84">
        <f t="shared" ref="G542:G544" si="54">E542*F542</f>
        <v>2000</v>
      </c>
    </row>
    <row r="543" spans="1:7">
      <c r="A543" s="8">
        <v>2</v>
      </c>
      <c r="B543" s="1" t="s">
        <v>10</v>
      </c>
      <c r="C543" s="8" t="s">
        <v>11</v>
      </c>
      <c r="D543" s="9" t="s">
        <v>8</v>
      </c>
      <c r="E543" s="10" t="s">
        <v>44</v>
      </c>
      <c r="F543" s="83">
        <f>VLOOKUP(B543,'HSD UPAH,BAHAN,ALAT'!$C$6:F798,4,FALSE)</f>
        <v>120000</v>
      </c>
      <c r="G543" s="84">
        <f t="shared" si="54"/>
        <v>804</v>
      </c>
    </row>
    <row r="544" spans="1:7">
      <c r="A544" s="8">
        <v>3</v>
      </c>
      <c r="B544" s="1" t="s">
        <v>13</v>
      </c>
      <c r="C544" s="8" t="s">
        <v>14</v>
      </c>
      <c r="D544" s="9" t="s">
        <v>8</v>
      </c>
      <c r="E544" s="10" t="s">
        <v>45</v>
      </c>
      <c r="F544" s="83">
        <f>VLOOKUP(B544,'HSD UPAH,BAHAN,ALAT'!$C$6:F799,4,FALSE)</f>
        <v>100000</v>
      </c>
      <c r="G544" s="84">
        <f t="shared" si="54"/>
        <v>220</v>
      </c>
    </row>
    <row r="545" spans="1:7">
      <c r="A545" s="261" t="s">
        <v>420</v>
      </c>
      <c r="B545" s="261"/>
      <c r="C545" s="261"/>
      <c r="D545" s="261"/>
      <c r="E545" s="261"/>
      <c r="F545" s="261"/>
      <c r="G545" s="85">
        <f>SUM(G541:G544)</f>
        <v>3024</v>
      </c>
    </row>
    <row r="546" spans="1:7">
      <c r="A546" s="8" t="s">
        <v>16</v>
      </c>
      <c r="B546" s="1" t="s">
        <v>17</v>
      </c>
      <c r="C546" s="8"/>
      <c r="D546" s="9"/>
      <c r="E546" s="19"/>
      <c r="F546" s="2"/>
      <c r="G546" s="2"/>
    </row>
    <row r="547" spans="1:7" ht="45">
      <c r="A547" s="17" t="s">
        <v>208</v>
      </c>
      <c r="B547" s="5" t="s">
        <v>250</v>
      </c>
      <c r="C547" s="8"/>
      <c r="D547" s="12" t="s">
        <v>86</v>
      </c>
      <c r="E547" s="7" t="s">
        <v>87</v>
      </c>
      <c r="F547" s="83">
        <f>VLOOKUP(B547,'HSD UPAH,BAHAN,ALAT'!$C$6:F802,4,FALSE)</f>
        <v>10000</v>
      </c>
      <c r="G547" s="84">
        <f t="shared" ref="G547:G548" si="55">E547*F547</f>
        <v>10500</v>
      </c>
    </row>
    <row r="548" spans="1:7">
      <c r="A548" s="8">
        <v>2</v>
      </c>
      <c r="B548" s="1" t="s">
        <v>18</v>
      </c>
      <c r="C548" s="8"/>
      <c r="D548" s="9" t="s">
        <v>19</v>
      </c>
      <c r="E548" s="10" t="s">
        <v>20</v>
      </c>
      <c r="F548" s="83">
        <f>VLOOKUP(B548,'HSD UPAH,BAHAN,ALAT'!$C$6:F803,4,FALSE)</f>
        <v>10000</v>
      </c>
      <c r="G548" s="84">
        <f t="shared" si="55"/>
        <v>50</v>
      </c>
    </row>
    <row r="549" spans="1:7">
      <c r="A549" s="8">
        <v>3</v>
      </c>
      <c r="B549" s="1" t="s">
        <v>21</v>
      </c>
      <c r="C549" s="8"/>
      <c r="D549" s="9"/>
      <c r="E549" s="19"/>
      <c r="F549" s="2"/>
      <c r="G549" s="2"/>
    </row>
    <row r="550" spans="1:7">
      <c r="A550" s="8" t="s">
        <v>22</v>
      </c>
      <c r="B550" s="1" t="s">
        <v>23</v>
      </c>
      <c r="C550" s="8"/>
      <c r="D550" s="9" t="s">
        <v>24</v>
      </c>
      <c r="E550" s="10" t="s">
        <v>25</v>
      </c>
      <c r="F550" s="83">
        <f>VLOOKUP(B550,'HSD UPAH,BAHAN,ALAT'!$C$6:F805,4,FALSE)</f>
        <v>10000</v>
      </c>
      <c r="G550" s="84">
        <f t="shared" ref="G550:G551" si="56">E550*F550</f>
        <v>60000</v>
      </c>
    </row>
    <row r="551" spans="1:7">
      <c r="A551" s="17" t="s">
        <v>30</v>
      </c>
      <c r="B551" s="1" t="s">
        <v>209</v>
      </c>
      <c r="C551" s="8"/>
      <c r="D551" s="12" t="s">
        <v>24</v>
      </c>
      <c r="E551" s="7" t="s">
        <v>57</v>
      </c>
      <c r="F551" s="83">
        <f>VLOOKUP(B551,'HSD UPAH,BAHAN,ALAT'!$C$6:F806,4,FALSE)</f>
        <v>10000</v>
      </c>
      <c r="G551" s="84">
        <f t="shared" si="56"/>
        <v>100000</v>
      </c>
    </row>
    <row r="552" spans="1:7">
      <c r="A552" s="8">
        <v>4</v>
      </c>
      <c r="B552" s="1" t="s">
        <v>26</v>
      </c>
      <c r="C552" s="8"/>
      <c r="D552" s="9"/>
      <c r="E552" s="19"/>
      <c r="F552" s="2"/>
      <c r="G552" s="2"/>
    </row>
    <row r="553" spans="1:7">
      <c r="A553" s="8" t="s">
        <v>22</v>
      </c>
      <c r="B553" s="1" t="s">
        <v>27</v>
      </c>
      <c r="C553" s="8"/>
      <c r="D553" s="9" t="s">
        <v>28</v>
      </c>
      <c r="E553" s="10" t="s">
        <v>46</v>
      </c>
      <c r="F553" s="83">
        <f>VLOOKUP(B553,'HSD UPAH,BAHAN,ALAT'!$C$6:F808,4,FALSE)</f>
        <v>10000</v>
      </c>
      <c r="G553" s="84">
        <f t="shared" ref="G553:G555" si="57">E553*F553</f>
        <v>244.00000000000003</v>
      </c>
    </row>
    <row r="554" spans="1:7">
      <c r="A554" s="8" t="s">
        <v>30</v>
      </c>
      <c r="B554" s="1" t="s">
        <v>31</v>
      </c>
      <c r="C554" s="8"/>
      <c r="D554" s="9" t="s">
        <v>28</v>
      </c>
      <c r="E554" s="10" t="s">
        <v>47</v>
      </c>
      <c r="F554" s="83">
        <f>VLOOKUP(B554,'HSD UPAH,BAHAN,ALAT'!$C$6:F809,4,FALSE)</f>
        <v>10000</v>
      </c>
      <c r="G554" s="84">
        <f t="shared" si="57"/>
        <v>65</v>
      </c>
    </row>
    <row r="555" spans="1:7">
      <c r="A555" s="8" t="s">
        <v>33</v>
      </c>
      <c r="B555" s="1" t="s">
        <v>34</v>
      </c>
      <c r="C555" s="8"/>
      <c r="D555" s="9" t="s">
        <v>28</v>
      </c>
      <c r="E555" s="10" t="s">
        <v>15</v>
      </c>
      <c r="F555" s="83">
        <f>VLOOKUP(B555,'HSD UPAH,BAHAN,ALAT'!$C$6:F810,4,FALSE)</f>
        <v>10000</v>
      </c>
      <c r="G555" s="84">
        <f t="shared" si="57"/>
        <v>16</v>
      </c>
    </row>
    <row r="556" spans="1:7">
      <c r="A556" s="261" t="s">
        <v>421</v>
      </c>
      <c r="B556" s="261"/>
      <c r="C556" s="261"/>
      <c r="D556" s="261"/>
      <c r="E556" s="261"/>
      <c r="F556" s="261"/>
      <c r="G556" s="85">
        <f>SUM(G547:G555)</f>
        <v>170875</v>
      </c>
    </row>
    <row r="557" spans="1:7">
      <c r="A557" s="8" t="s">
        <v>36</v>
      </c>
      <c r="B557" s="1" t="s">
        <v>37</v>
      </c>
      <c r="C557" s="8"/>
      <c r="D557" s="9"/>
      <c r="E557" s="19"/>
      <c r="F557" s="2"/>
      <c r="G557" s="2"/>
    </row>
    <row r="558" spans="1:7">
      <c r="A558" s="263" t="s">
        <v>419</v>
      </c>
      <c r="B558" s="263"/>
      <c r="C558" s="263"/>
      <c r="D558" s="263"/>
      <c r="E558" s="263"/>
      <c r="F558" s="263"/>
      <c r="G558" s="80">
        <f>SUM(G557)</f>
        <v>0</v>
      </c>
    </row>
    <row r="559" spans="1:7">
      <c r="A559" s="81" t="s">
        <v>38</v>
      </c>
      <c r="B559" s="262" t="s">
        <v>39</v>
      </c>
      <c r="C559" s="262"/>
      <c r="D559" s="262"/>
      <c r="E559" s="262"/>
      <c r="F559" s="262"/>
      <c r="G559" s="80">
        <f>SUM(G541:G558)/2</f>
        <v>173899</v>
      </c>
    </row>
    <row r="560" spans="1:7">
      <c r="A560" s="81" t="s">
        <v>40</v>
      </c>
      <c r="B560" s="262" t="s">
        <v>180</v>
      </c>
      <c r="C560" s="262"/>
      <c r="D560" s="262"/>
      <c r="E560" s="262"/>
      <c r="F560" s="82">
        <v>0.1</v>
      </c>
      <c r="G560" s="80">
        <f>G559*F560</f>
        <v>17389.900000000001</v>
      </c>
    </row>
    <row r="561" spans="1:7">
      <c r="A561" s="81" t="s">
        <v>41</v>
      </c>
      <c r="B561" s="262" t="s">
        <v>42</v>
      </c>
      <c r="C561" s="262"/>
      <c r="D561" s="262"/>
      <c r="E561" s="262"/>
      <c r="F561" s="262"/>
      <c r="G561" s="80">
        <f>G559+G560</f>
        <v>191288.9</v>
      </c>
    </row>
    <row r="562" spans="1:7">
      <c r="A562" s="90"/>
      <c r="B562" s="91"/>
      <c r="C562" s="91"/>
      <c r="D562" s="91"/>
      <c r="E562" s="91"/>
      <c r="F562" s="91"/>
      <c r="G562" s="92"/>
    </row>
    <row r="563" spans="1:7">
      <c r="A563" s="4" t="s">
        <v>526</v>
      </c>
      <c r="B563" s="91"/>
      <c r="C563" s="91"/>
      <c r="D563" s="91"/>
      <c r="E563" s="91"/>
      <c r="F563" s="91"/>
      <c r="G563" s="92"/>
    </row>
    <row r="564" spans="1:7" ht="30">
      <c r="A564" s="79" t="s">
        <v>0</v>
      </c>
      <c r="B564" s="79" t="s">
        <v>1</v>
      </c>
      <c r="C564" s="79" t="s">
        <v>207</v>
      </c>
      <c r="D564" s="79" t="s">
        <v>3</v>
      </c>
      <c r="E564" s="79" t="s">
        <v>2</v>
      </c>
      <c r="F564" s="79" t="s">
        <v>417</v>
      </c>
      <c r="G564" s="79" t="s">
        <v>418</v>
      </c>
    </row>
    <row r="565" spans="1:7">
      <c r="A565" s="8" t="s">
        <v>4</v>
      </c>
      <c r="B565" s="1" t="s">
        <v>5</v>
      </c>
      <c r="C565" s="8"/>
      <c r="D565" s="9"/>
      <c r="E565" s="19"/>
      <c r="F565" s="2"/>
      <c r="G565" s="2"/>
    </row>
    <row r="566" spans="1:7">
      <c r="A566" s="8">
        <v>1</v>
      </c>
      <c r="B566" s="1" t="s">
        <v>6</v>
      </c>
      <c r="C566" s="8" t="s">
        <v>7</v>
      </c>
      <c r="D566" s="9" t="s">
        <v>8</v>
      </c>
      <c r="E566" s="10" t="s">
        <v>43</v>
      </c>
      <c r="F566" s="83">
        <f>VLOOKUP(B566,'HSD UPAH,BAHAN,ALAT'!$C$6:F819,4,FALSE)</f>
        <v>100000</v>
      </c>
      <c r="G566" s="84">
        <f t="shared" ref="G566:G568" si="58">E566*F566</f>
        <v>2000</v>
      </c>
    </row>
    <row r="567" spans="1:7">
      <c r="A567" s="8">
        <v>2</v>
      </c>
      <c r="B567" s="1" t="s">
        <v>10</v>
      </c>
      <c r="C567" s="8" t="s">
        <v>11</v>
      </c>
      <c r="D567" s="9" t="s">
        <v>8</v>
      </c>
      <c r="E567" s="10" t="s">
        <v>44</v>
      </c>
      <c r="F567" s="83">
        <f>VLOOKUP(B567,'HSD UPAH,BAHAN,ALAT'!$C$6:F820,4,FALSE)</f>
        <v>120000</v>
      </c>
      <c r="G567" s="84">
        <f t="shared" si="58"/>
        <v>804</v>
      </c>
    </row>
    <row r="568" spans="1:7">
      <c r="A568" s="8">
        <v>3</v>
      </c>
      <c r="B568" s="1" t="s">
        <v>13</v>
      </c>
      <c r="C568" s="8" t="s">
        <v>14</v>
      </c>
      <c r="D568" s="9" t="s">
        <v>8</v>
      </c>
      <c r="E568" s="10" t="s">
        <v>45</v>
      </c>
      <c r="F568" s="83">
        <f>VLOOKUP(B568,'HSD UPAH,BAHAN,ALAT'!$C$6:F821,4,FALSE)</f>
        <v>100000</v>
      </c>
      <c r="G568" s="84">
        <f t="shared" si="58"/>
        <v>220</v>
      </c>
    </row>
    <row r="569" spans="1:7">
      <c r="A569" s="261" t="s">
        <v>420</v>
      </c>
      <c r="B569" s="261"/>
      <c r="C569" s="261"/>
      <c r="D569" s="261"/>
      <c r="E569" s="261"/>
      <c r="F569" s="261"/>
      <c r="G569" s="85">
        <f>SUM(G565:G568)</f>
        <v>3024</v>
      </c>
    </row>
    <row r="570" spans="1:7">
      <c r="A570" s="8" t="s">
        <v>16</v>
      </c>
      <c r="B570" s="1" t="s">
        <v>17</v>
      </c>
      <c r="C570" s="8"/>
      <c r="D570" s="9"/>
      <c r="E570" s="19"/>
      <c r="F570" s="2"/>
      <c r="G570" s="2"/>
    </row>
    <row r="571" spans="1:7" ht="30">
      <c r="A571" s="17" t="s">
        <v>208</v>
      </c>
      <c r="B571" s="5" t="s">
        <v>251</v>
      </c>
      <c r="C571" s="8"/>
      <c r="D571" s="12" t="s">
        <v>86</v>
      </c>
      <c r="E571" s="7" t="s">
        <v>87</v>
      </c>
      <c r="F571" s="83">
        <f>VLOOKUP(B571,'HSD UPAH,BAHAN,ALAT'!$C$6:F824,4,FALSE)</f>
        <v>10000</v>
      </c>
      <c r="G571" s="84">
        <f t="shared" ref="G571:G572" si="59">E571*F571</f>
        <v>10500</v>
      </c>
    </row>
    <row r="572" spans="1:7">
      <c r="A572" s="8">
        <v>2</v>
      </c>
      <c r="B572" s="1" t="s">
        <v>18</v>
      </c>
      <c r="C572" s="8"/>
      <c r="D572" s="9" t="s">
        <v>19</v>
      </c>
      <c r="E572" s="10" t="s">
        <v>20</v>
      </c>
      <c r="F572" s="83">
        <f>VLOOKUP(B572,'HSD UPAH,BAHAN,ALAT'!$C$6:F825,4,FALSE)</f>
        <v>10000</v>
      </c>
      <c r="G572" s="84">
        <f t="shared" si="59"/>
        <v>50</v>
      </c>
    </row>
    <row r="573" spans="1:7">
      <c r="A573" s="8">
        <v>3</v>
      </c>
      <c r="B573" s="1" t="s">
        <v>21</v>
      </c>
      <c r="C573" s="8"/>
      <c r="D573" s="9"/>
      <c r="E573" s="19"/>
      <c r="F573" s="2"/>
      <c r="G573" s="2"/>
    </row>
    <row r="574" spans="1:7">
      <c r="A574" s="8" t="s">
        <v>22</v>
      </c>
      <c r="B574" s="1" t="s">
        <v>23</v>
      </c>
      <c r="C574" s="8"/>
      <c r="D574" s="9" t="s">
        <v>24</v>
      </c>
      <c r="E574" s="10" t="s">
        <v>25</v>
      </c>
      <c r="F574" s="83">
        <f>VLOOKUP(B574,'HSD UPAH,BAHAN,ALAT'!$C$6:F827,4,FALSE)</f>
        <v>10000</v>
      </c>
      <c r="G574" s="84">
        <f t="shared" ref="G574:G575" si="60">E574*F574</f>
        <v>60000</v>
      </c>
    </row>
    <row r="575" spans="1:7">
      <c r="A575" s="17" t="s">
        <v>30</v>
      </c>
      <c r="B575" s="1" t="s">
        <v>209</v>
      </c>
      <c r="C575" s="8"/>
      <c r="D575" s="12" t="s">
        <v>24</v>
      </c>
      <c r="E575" s="7" t="s">
        <v>57</v>
      </c>
      <c r="F575" s="83">
        <f>VLOOKUP(B575,'HSD UPAH,BAHAN,ALAT'!$C$6:F828,4,FALSE)</f>
        <v>10000</v>
      </c>
      <c r="G575" s="84">
        <f t="shared" si="60"/>
        <v>100000</v>
      </c>
    </row>
    <row r="576" spans="1:7">
      <c r="A576" s="8">
        <v>4</v>
      </c>
      <c r="B576" s="1" t="s">
        <v>26</v>
      </c>
      <c r="C576" s="8"/>
      <c r="D576" s="9"/>
      <c r="E576" s="19"/>
      <c r="F576" s="2"/>
      <c r="G576" s="2"/>
    </row>
    <row r="577" spans="1:7">
      <c r="A577" s="8" t="s">
        <v>22</v>
      </c>
      <c r="B577" s="1" t="s">
        <v>27</v>
      </c>
      <c r="C577" s="8"/>
      <c r="D577" s="9" t="s">
        <v>28</v>
      </c>
      <c r="E577" s="10" t="s">
        <v>46</v>
      </c>
      <c r="F577" s="83">
        <f>VLOOKUP(B577,'HSD UPAH,BAHAN,ALAT'!$C$6:F830,4,FALSE)</f>
        <v>10000</v>
      </c>
      <c r="G577" s="84">
        <f t="shared" ref="G577:G579" si="61">E577*F577</f>
        <v>244.00000000000003</v>
      </c>
    </row>
    <row r="578" spans="1:7">
      <c r="A578" s="8" t="s">
        <v>30</v>
      </c>
      <c r="B578" s="1" t="s">
        <v>31</v>
      </c>
      <c r="C578" s="8"/>
      <c r="D578" s="9" t="s">
        <v>28</v>
      </c>
      <c r="E578" s="10" t="s">
        <v>47</v>
      </c>
      <c r="F578" s="83">
        <f>VLOOKUP(B578,'HSD UPAH,BAHAN,ALAT'!$C$6:F831,4,FALSE)</f>
        <v>10000</v>
      </c>
      <c r="G578" s="84">
        <f t="shared" si="61"/>
        <v>65</v>
      </c>
    </row>
    <row r="579" spans="1:7">
      <c r="A579" s="8" t="s">
        <v>33</v>
      </c>
      <c r="B579" s="1" t="s">
        <v>34</v>
      </c>
      <c r="C579" s="8"/>
      <c r="D579" s="9" t="s">
        <v>28</v>
      </c>
      <c r="E579" s="10" t="s">
        <v>15</v>
      </c>
      <c r="F579" s="83">
        <f>VLOOKUP(B579,'HSD UPAH,BAHAN,ALAT'!$C$6:F832,4,FALSE)</f>
        <v>10000</v>
      </c>
      <c r="G579" s="84">
        <f t="shared" si="61"/>
        <v>16</v>
      </c>
    </row>
    <row r="580" spans="1:7">
      <c r="A580" s="261" t="s">
        <v>421</v>
      </c>
      <c r="B580" s="261"/>
      <c r="C580" s="261"/>
      <c r="D580" s="261"/>
      <c r="E580" s="261"/>
      <c r="F580" s="261"/>
      <c r="G580" s="85">
        <f>SUM(G571:G579)</f>
        <v>170875</v>
      </c>
    </row>
    <row r="581" spans="1:7">
      <c r="A581" s="8" t="s">
        <v>36</v>
      </c>
      <c r="B581" s="1" t="s">
        <v>37</v>
      </c>
      <c r="C581" s="8"/>
      <c r="D581" s="9"/>
      <c r="E581" s="19"/>
      <c r="F581" s="2"/>
      <c r="G581" s="2"/>
    </row>
    <row r="582" spans="1:7">
      <c r="A582" s="263" t="s">
        <v>419</v>
      </c>
      <c r="B582" s="263"/>
      <c r="C582" s="263"/>
      <c r="D582" s="263"/>
      <c r="E582" s="263"/>
      <c r="F582" s="263"/>
      <c r="G582" s="80">
        <f>SUM(G581)</f>
        <v>0</v>
      </c>
    </row>
    <row r="583" spans="1:7">
      <c r="A583" s="81" t="s">
        <v>38</v>
      </c>
      <c r="B583" s="262" t="s">
        <v>39</v>
      </c>
      <c r="C583" s="262"/>
      <c r="D583" s="262"/>
      <c r="E583" s="262"/>
      <c r="F583" s="262"/>
      <c r="G583" s="80">
        <f>SUM(G565:G582)/2</f>
        <v>173899</v>
      </c>
    </row>
    <row r="584" spans="1:7">
      <c r="A584" s="81" t="s">
        <v>40</v>
      </c>
      <c r="B584" s="262" t="s">
        <v>180</v>
      </c>
      <c r="C584" s="262"/>
      <c r="D584" s="262"/>
      <c r="E584" s="262"/>
      <c r="F584" s="82">
        <v>0.1</v>
      </c>
      <c r="G584" s="80">
        <f>G583*F584</f>
        <v>17389.900000000001</v>
      </c>
    </row>
    <row r="585" spans="1:7">
      <c r="A585" s="81" t="s">
        <v>41</v>
      </c>
      <c r="B585" s="262" t="s">
        <v>42</v>
      </c>
      <c r="C585" s="262"/>
      <c r="D585" s="262"/>
      <c r="E585" s="262"/>
      <c r="F585" s="262"/>
      <c r="G585" s="80">
        <f>G583+G584</f>
        <v>191288.9</v>
      </c>
    </row>
    <row r="586" spans="1:7">
      <c r="A586" s="90"/>
      <c r="B586" s="91"/>
      <c r="C586" s="91"/>
      <c r="D586" s="91"/>
      <c r="E586" s="91"/>
      <c r="F586" s="91"/>
      <c r="G586" s="92"/>
    </row>
    <row r="587" spans="1:7">
      <c r="A587" s="4" t="s">
        <v>527</v>
      </c>
      <c r="B587" s="91"/>
      <c r="C587" s="91"/>
      <c r="D587" s="91"/>
      <c r="E587" s="91"/>
      <c r="F587" s="91"/>
      <c r="G587" s="92"/>
    </row>
    <row r="588" spans="1:7" ht="30">
      <c r="A588" s="79" t="s">
        <v>0</v>
      </c>
      <c r="B588" s="79" t="s">
        <v>1</v>
      </c>
      <c r="C588" s="79" t="s">
        <v>207</v>
      </c>
      <c r="D588" s="79" t="s">
        <v>3</v>
      </c>
      <c r="E588" s="79" t="s">
        <v>2</v>
      </c>
      <c r="F588" s="79" t="s">
        <v>417</v>
      </c>
      <c r="G588" s="79" t="s">
        <v>418</v>
      </c>
    </row>
    <row r="589" spans="1:7">
      <c r="A589" s="8" t="s">
        <v>4</v>
      </c>
      <c r="B589" s="1" t="s">
        <v>5</v>
      </c>
      <c r="C589" s="8"/>
      <c r="D589" s="9"/>
      <c r="E589" s="19"/>
      <c r="F589" s="2"/>
      <c r="G589" s="2"/>
    </row>
    <row r="590" spans="1:7">
      <c r="A590" s="8">
        <v>1</v>
      </c>
      <c r="B590" s="1" t="s">
        <v>6</v>
      </c>
      <c r="C590" s="8" t="s">
        <v>7</v>
      </c>
      <c r="D590" s="9" t="s">
        <v>8</v>
      </c>
      <c r="E590" s="10" t="s">
        <v>43</v>
      </c>
      <c r="F590" s="83">
        <f>VLOOKUP(B590,'HSD UPAH,BAHAN,ALAT'!$C$6:F841,4,FALSE)</f>
        <v>100000</v>
      </c>
      <c r="G590" s="84">
        <f t="shared" ref="G590:G592" si="62">E590*F590</f>
        <v>2000</v>
      </c>
    </row>
    <row r="591" spans="1:7">
      <c r="A591" s="8">
        <v>2</v>
      </c>
      <c r="B591" s="1" t="s">
        <v>10</v>
      </c>
      <c r="C591" s="8" t="s">
        <v>11</v>
      </c>
      <c r="D591" s="9" t="s">
        <v>8</v>
      </c>
      <c r="E591" s="10" t="s">
        <v>44</v>
      </c>
      <c r="F591" s="83">
        <f>VLOOKUP(B591,'HSD UPAH,BAHAN,ALAT'!$C$6:F842,4,FALSE)</f>
        <v>120000</v>
      </c>
      <c r="G591" s="84">
        <f t="shared" si="62"/>
        <v>804</v>
      </c>
    </row>
    <row r="592" spans="1:7">
      <c r="A592" s="8">
        <v>3</v>
      </c>
      <c r="B592" s="1" t="s">
        <v>13</v>
      </c>
      <c r="C592" s="8" t="s">
        <v>14</v>
      </c>
      <c r="D592" s="9" t="s">
        <v>8</v>
      </c>
      <c r="E592" s="10" t="s">
        <v>45</v>
      </c>
      <c r="F592" s="83">
        <f>VLOOKUP(B592,'HSD UPAH,BAHAN,ALAT'!$C$6:F843,4,FALSE)</f>
        <v>100000</v>
      </c>
      <c r="G592" s="84">
        <f t="shared" si="62"/>
        <v>220</v>
      </c>
    </row>
    <row r="593" spans="1:7">
      <c r="A593" s="261" t="s">
        <v>420</v>
      </c>
      <c r="B593" s="261"/>
      <c r="C593" s="261"/>
      <c r="D593" s="261"/>
      <c r="E593" s="261"/>
      <c r="F593" s="261"/>
      <c r="G593" s="85">
        <f>SUM(G589:G592)</f>
        <v>3024</v>
      </c>
    </row>
    <row r="594" spans="1:7">
      <c r="A594" s="8" t="s">
        <v>16</v>
      </c>
      <c r="B594" s="1" t="s">
        <v>17</v>
      </c>
      <c r="C594" s="8"/>
      <c r="D594" s="9"/>
      <c r="E594" s="19"/>
      <c r="F594" s="2"/>
      <c r="G594" s="2"/>
    </row>
    <row r="595" spans="1:7">
      <c r="A595" s="17" t="s">
        <v>208</v>
      </c>
      <c r="B595" s="1" t="s">
        <v>252</v>
      </c>
      <c r="C595" s="8"/>
      <c r="D595" s="12" t="s">
        <v>86</v>
      </c>
      <c r="E595" s="7" t="s">
        <v>87</v>
      </c>
      <c r="F595" s="83">
        <f>VLOOKUP(B595,'HSD UPAH,BAHAN,ALAT'!$C$6:F846,4,FALSE)</f>
        <v>10000</v>
      </c>
      <c r="G595" s="84">
        <f t="shared" ref="G595:G596" si="63">E595*F595</f>
        <v>10500</v>
      </c>
    </row>
    <row r="596" spans="1:7">
      <c r="A596" s="8">
        <v>2</v>
      </c>
      <c r="B596" s="1" t="s">
        <v>18</v>
      </c>
      <c r="C596" s="8"/>
      <c r="D596" s="9" t="s">
        <v>19</v>
      </c>
      <c r="E596" s="10" t="s">
        <v>20</v>
      </c>
      <c r="F596" s="83">
        <f>VLOOKUP(B596,'HSD UPAH,BAHAN,ALAT'!$C$6:F847,4,FALSE)</f>
        <v>10000</v>
      </c>
      <c r="G596" s="84">
        <f t="shared" si="63"/>
        <v>50</v>
      </c>
    </row>
    <row r="597" spans="1:7">
      <c r="A597" s="8">
        <v>3</v>
      </c>
      <c r="B597" s="1" t="s">
        <v>21</v>
      </c>
      <c r="C597" s="8"/>
      <c r="D597" s="9"/>
      <c r="E597" s="19"/>
      <c r="F597" s="2"/>
      <c r="G597" s="2"/>
    </row>
    <row r="598" spans="1:7">
      <c r="A598" s="8" t="s">
        <v>22</v>
      </c>
      <c r="B598" s="1" t="s">
        <v>23</v>
      </c>
      <c r="C598" s="8"/>
      <c r="D598" s="9" t="s">
        <v>24</v>
      </c>
      <c r="E598" s="10" t="s">
        <v>25</v>
      </c>
      <c r="F598" s="83">
        <f>VLOOKUP(B598,'HSD UPAH,BAHAN,ALAT'!$C$6:F849,4,FALSE)</f>
        <v>10000</v>
      </c>
      <c r="G598" s="84">
        <f t="shared" ref="G598:G599" si="64">E598*F598</f>
        <v>60000</v>
      </c>
    </row>
    <row r="599" spans="1:7">
      <c r="A599" s="17" t="s">
        <v>30</v>
      </c>
      <c r="B599" s="1" t="s">
        <v>209</v>
      </c>
      <c r="C599" s="8"/>
      <c r="D599" s="12" t="s">
        <v>24</v>
      </c>
      <c r="E599" s="7" t="s">
        <v>57</v>
      </c>
      <c r="F599" s="83">
        <f>VLOOKUP(B599,'HSD UPAH,BAHAN,ALAT'!$C$6:F850,4,FALSE)</f>
        <v>10000</v>
      </c>
      <c r="G599" s="84">
        <f t="shared" si="64"/>
        <v>100000</v>
      </c>
    </row>
    <row r="600" spans="1:7">
      <c r="A600" s="8">
        <v>4</v>
      </c>
      <c r="B600" s="1" t="s">
        <v>26</v>
      </c>
      <c r="C600" s="8"/>
      <c r="D600" s="9"/>
      <c r="E600" s="19"/>
      <c r="F600" s="2"/>
      <c r="G600" s="2"/>
    </row>
    <row r="601" spans="1:7">
      <c r="A601" s="8" t="s">
        <v>22</v>
      </c>
      <c r="B601" s="1" t="s">
        <v>27</v>
      </c>
      <c r="C601" s="8"/>
      <c r="D601" s="9" t="s">
        <v>28</v>
      </c>
      <c r="E601" s="10" t="s">
        <v>46</v>
      </c>
      <c r="F601" s="83">
        <f>VLOOKUP(B601,'HSD UPAH,BAHAN,ALAT'!$C$6:F852,4,FALSE)</f>
        <v>10000</v>
      </c>
      <c r="G601" s="84">
        <f t="shared" ref="G601:G603" si="65">E601*F601</f>
        <v>244.00000000000003</v>
      </c>
    </row>
    <row r="602" spans="1:7">
      <c r="A602" s="8" t="s">
        <v>30</v>
      </c>
      <c r="B602" s="1" t="s">
        <v>31</v>
      </c>
      <c r="C602" s="8"/>
      <c r="D602" s="9" t="s">
        <v>28</v>
      </c>
      <c r="E602" s="10" t="s">
        <v>47</v>
      </c>
      <c r="F602" s="83">
        <f>VLOOKUP(B602,'HSD UPAH,BAHAN,ALAT'!$C$6:F853,4,FALSE)</f>
        <v>10000</v>
      </c>
      <c r="G602" s="84">
        <f t="shared" si="65"/>
        <v>65</v>
      </c>
    </row>
    <row r="603" spans="1:7">
      <c r="A603" s="8" t="s">
        <v>33</v>
      </c>
      <c r="B603" s="1" t="s">
        <v>34</v>
      </c>
      <c r="C603" s="8"/>
      <c r="D603" s="9" t="s">
        <v>28</v>
      </c>
      <c r="E603" s="10" t="s">
        <v>15</v>
      </c>
      <c r="F603" s="83">
        <f>VLOOKUP(B603,'HSD UPAH,BAHAN,ALAT'!$C$6:F854,4,FALSE)</f>
        <v>10000</v>
      </c>
      <c r="G603" s="84">
        <f t="shared" si="65"/>
        <v>16</v>
      </c>
    </row>
    <row r="604" spans="1:7">
      <c r="A604" s="261" t="s">
        <v>421</v>
      </c>
      <c r="B604" s="261"/>
      <c r="C604" s="261"/>
      <c r="D604" s="261"/>
      <c r="E604" s="261"/>
      <c r="F604" s="261"/>
      <c r="G604" s="85">
        <f>SUM(G595:G603)</f>
        <v>170875</v>
      </c>
    </row>
    <row r="605" spans="1:7">
      <c r="A605" s="8" t="s">
        <v>36</v>
      </c>
      <c r="B605" s="1" t="s">
        <v>37</v>
      </c>
      <c r="C605" s="8"/>
      <c r="D605" s="9"/>
      <c r="E605" s="19"/>
      <c r="F605" s="2"/>
      <c r="G605" s="2"/>
    </row>
    <row r="606" spans="1:7">
      <c r="A606" s="263" t="s">
        <v>419</v>
      </c>
      <c r="B606" s="263"/>
      <c r="C606" s="263"/>
      <c r="D606" s="263"/>
      <c r="E606" s="263"/>
      <c r="F606" s="263"/>
      <c r="G606" s="80">
        <f>SUM(G605)</f>
        <v>0</v>
      </c>
    </row>
    <row r="607" spans="1:7">
      <c r="A607" s="81" t="s">
        <v>38</v>
      </c>
      <c r="B607" s="262" t="s">
        <v>39</v>
      </c>
      <c r="C607" s="262"/>
      <c r="D607" s="262"/>
      <c r="E607" s="262"/>
      <c r="F607" s="262"/>
      <c r="G607" s="80">
        <f>SUM(G589:G606)/2</f>
        <v>173899</v>
      </c>
    </row>
    <row r="608" spans="1:7">
      <c r="A608" s="81" t="s">
        <v>40</v>
      </c>
      <c r="B608" s="262" t="s">
        <v>180</v>
      </c>
      <c r="C608" s="262"/>
      <c r="D608" s="262"/>
      <c r="E608" s="262"/>
      <c r="F608" s="82">
        <v>0.1</v>
      </c>
      <c r="G608" s="80">
        <f>G607*F608</f>
        <v>17389.900000000001</v>
      </c>
    </row>
    <row r="609" spans="1:7">
      <c r="A609" s="81" t="s">
        <v>41</v>
      </c>
      <c r="B609" s="262" t="s">
        <v>42</v>
      </c>
      <c r="C609" s="262"/>
      <c r="D609" s="262"/>
      <c r="E609" s="262"/>
      <c r="F609" s="262"/>
      <c r="G609" s="80">
        <f>G607+G608</f>
        <v>191288.9</v>
      </c>
    </row>
    <row r="610" spans="1:7">
      <c r="A610" s="90"/>
      <c r="B610" s="91"/>
      <c r="C610" s="91"/>
      <c r="D610" s="91"/>
      <c r="E610" s="91"/>
      <c r="F610" s="91"/>
      <c r="G610" s="92"/>
    </row>
    <row r="611" spans="1:7">
      <c r="A611" s="4" t="s">
        <v>488</v>
      </c>
      <c r="B611" s="91"/>
      <c r="C611" s="91"/>
      <c r="D611" s="91"/>
      <c r="E611" s="91"/>
      <c r="F611" s="91"/>
      <c r="G611" s="92"/>
    </row>
    <row r="612" spans="1:7" ht="30">
      <c r="A612" s="79" t="s">
        <v>0</v>
      </c>
      <c r="B612" s="79" t="s">
        <v>1</v>
      </c>
      <c r="C612" s="79" t="s">
        <v>207</v>
      </c>
      <c r="D612" s="79" t="s">
        <v>3</v>
      </c>
      <c r="E612" s="79" t="s">
        <v>2</v>
      </c>
      <c r="F612" s="79" t="s">
        <v>417</v>
      </c>
      <c r="G612" s="79" t="s">
        <v>418</v>
      </c>
    </row>
    <row r="613" spans="1:7">
      <c r="A613" s="8" t="s">
        <v>4</v>
      </c>
      <c r="B613" s="1" t="s">
        <v>5</v>
      </c>
      <c r="C613" s="8"/>
      <c r="D613" s="9"/>
      <c r="E613" s="19"/>
      <c r="F613" s="2"/>
      <c r="G613" s="2"/>
    </row>
    <row r="614" spans="1:7">
      <c r="A614" s="8">
        <v>1</v>
      </c>
      <c r="B614" s="1" t="s">
        <v>6</v>
      </c>
      <c r="C614" s="8" t="s">
        <v>7</v>
      </c>
      <c r="D614" s="9" t="s">
        <v>8</v>
      </c>
      <c r="E614" s="10" t="s">
        <v>43</v>
      </c>
      <c r="F614" s="83">
        <f>VLOOKUP(B614,'HSD UPAH,BAHAN,ALAT'!$C$6:F863,4,FALSE)</f>
        <v>100000</v>
      </c>
      <c r="G614" s="84">
        <f t="shared" ref="G614:G616" si="66">E614*F614</f>
        <v>2000</v>
      </c>
    </row>
    <row r="615" spans="1:7">
      <c r="A615" s="8">
        <v>2</v>
      </c>
      <c r="B615" s="1" t="s">
        <v>10</v>
      </c>
      <c r="C615" s="8" t="s">
        <v>11</v>
      </c>
      <c r="D615" s="9" t="s">
        <v>8</v>
      </c>
      <c r="E615" s="10" t="s">
        <v>44</v>
      </c>
      <c r="F615" s="83">
        <f>VLOOKUP(B615,'HSD UPAH,BAHAN,ALAT'!$C$6:F864,4,FALSE)</f>
        <v>120000</v>
      </c>
      <c r="G615" s="84">
        <f t="shared" si="66"/>
        <v>804</v>
      </c>
    </row>
    <row r="616" spans="1:7">
      <c r="A616" s="8">
        <v>3</v>
      </c>
      <c r="B616" s="1" t="s">
        <v>13</v>
      </c>
      <c r="C616" s="8" t="s">
        <v>14</v>
      </c>
      <c r="D616" s="9" t="s">
        <v>8</v>
      </c>
      <c r="E616" s="10" t="s">
        <v>45</v>
      </c>
      <c r="F616" s="83">
        <f>VLOOKUP(B616,'HSD UPAH,BAHAN,ALAT'!$C$6:F865,4,FALSE)</f>
        <v>100000</v>
      </c>
      <c r="G616" s="84">
        <f t="shared" si="66"/>
        <v>220</v>
      </c>
    </row>
    <row r="617" spans="1:7">
      <c r="A617" s="261" t="s">
        <v>420</v>
      </c>
      <c r="B617" s="261"/>
      <c r="C617" s="261"/>
      <c r="D617" s="261"/>
      <c r="E617" s="261"/>
      <c r="F617" s="261"/>
      <c r="G617" s="85">
        <f>SUM(G613:G616)</f>
        <v>3024</v>
      </c>
    </row>
    <row r="618" spans="1:7">
      <c r="A618" s="8" t="s">
        <v>16</v>
      </c>
      <c r="B618" s="1" t="s">
        <v>17</v>
      </c>
      <c r="C618" s="8"/>
      <c r="D618" s="9"/>
      <c r="E618" s="19"/>
      <c r="F618" s="2"/>
      <c r="G618" s="2"/>
    </row>
    <row r="619" spans="1:7" ht="30">
      <c r="A619" s="17" t="s">
        <v>208</v>
      </c>
      <c r="B619" s="5" t="s">
        <v>253</v>
      </c>
      <c r="C619" s="8"/>
      <c r="D619" s="12" t="s">
        <v>86</v>
      </c>
      <c r="E619" s="7" t="s">
        <v>87</v>
      </c>
      <c r="F619" s="83">
        <f>VLOOKUP(B619,'HSD UPAH,BAHAN,ALAT'!$C$6:F868,4,FALSE)</f>
        <v>10000</v>
      </c>
      <c r="G619" s="84">
        <f t="shared" ref="G619:G620" si="67">E619*F619</f>
        <v>10500</v>
      </c>
    </row>
    <row r="620" spans="1:7">
      <c r="A620" s="8">
        <v>2</v>
      </c>
      <c r="B620" s="1" t="s">
        <v>18</v>
      </c>
      <c r="C620" s="8"/>
      <c r="D620" s="9" t="s">
        <v>19</v>
      </c>
      <c r="E620" s="10" t="s">
        <v>20</v>
      </c>
      <c r="F620" s="83">
        <f>VLOOKUP(B620,'HSD UPAH,BAHAN,ALAT'!$C$6:F869,4,FALSE)</f>
        <v>10000</v>
      </c>
      <c r="G620" s="84">
        <f t="shared" si="67"/>
        <v>50</v>
      </c>
    </row>
    <row r="621" spans="1:7">
      <c r="A621" s="8">
        <v>3</v>
      </c>
      <c r="B621" s="1" t="s">
        <v>21</v>
      </c>
      <c r="C621" s="8"/>
      <c r="D621" s="9"/>
      <c r="E621" s="19"/>
      <c r="F621" s="2"/>
      <c r="G621" s="2"/>
    </row>
    <row r="622" spans="1:7">
      <c r="A622" s="8" t="s">
        <v>22</v>
      </c>
      <c r="B622" s="1" t="s">
        <v>23</v>
      </c>
      <c r="C622" s="8"/>
      <c r="D622" s="9" t="s">
        <v>24</v>
      </c>
      <c r="E622" s="10" t="s">
        <v>25</v>
      </c>
      <c r="F622" s="83">
        <f>VLOOKUP(B622,'HSD UPAH,BAHAN,ALAT'!$C$6:F871,4,FALSE)</f>
        <v>10000</v>
      </c>
      <c r="G622" s="84">
        <f t="shared" ref="G622:G623" si="68">E622*F622</f>
        <v>60000</v>
      </c>
    </row>
    <row r="623" spans="1:7">
      <c r="A623" s="17" t="s">
        <v>30</v>
      </c>
      <c r="B623" s="1" t="s">
        <v>209</v>
      </c>
      <c r="C623" s="8"/>
      <c r="D623" s="12" t="s">
        <v>24</v>
      </c>
      <c r="E623" s="7" t="s">
        <v>57</v>
      </c>
      <c r="F623" s="83">
        <f>VLOOKUP(B623,'HSD UPAH,BAHAN,ALAT'!$C$6:F872,4,FALSE)</f>
        <v>10000</v>
      </c>
      <c r="G623" s="84">
        <f t="shared" si="68"/>
        <v>100000</v>
      </c>
    </row>
    <row r="624" spans="1:7">
      <c r="A624" s="8">
        <v>4</v>
      </c>
      <c r="B624" s="1" t="s">
        <v>26</v>
      </c>
      <c r="C624" s="8"/>
      <c r="D624" s="9"/>
      <c r="E624" s="19"/>
      <c r="F624" s="2"/>
      <c r="G624" s="2"/>
    </row>
    <row r="625" spans="1:7">
      <c r="A625" s="8" t="s">
        <v>22</v>
      </c>
      <c r="B625" s="1" t="s">
        <v>27</v>
      </c>
      <c r="C625" s="8"/>
      <c r="D625" s="9" t="s">
        <v>28</v>
      </c>
      <c r="E625" s="10" t="s">
        <v>46</v>
      </c>
      <c r="F625" s="83">
        <f>VLOOKUP(B625,'HSD UPAH,BAHAN,ALAT'!$C$6:F874,4,FALSE)</f>
        <v>10000</v>
      </c>
      <c r="G625" s="84">
        <f t="shared" ref="G625:G627" si="69">E625*F625</f>
        <v>244.00000000000003</v>
      </c>
    </row>
    <row r="626" spans="1:7">
      <c r="A626" s="8" t="s">
        <v>30</v>
      </c>
      <c r="B626" s="1" t="s">
        <v>31</v>
      </c>
      <c r="C626" s="8"/>
      <c r="D626" s="9" t="s">
        <v>28</v>
      </c>
      <c r="E626" s="10" t="s">
        <v>47</v>
      </c>
      <c r="F626" s="83">
        <f>VLOOKUP(B626,'HSD UPAH,BAHAN,ALAT'!$C$6:F875,4,FALSE)</f>
        <v>10000</v>
      </c>
      <c r="G626" s="84">
        <f t="shared" si="69"/>
        <v>65</v>
      </c>
    </row>
    <row r="627" spans="1:7">
      <c r="A627" s="8" t="s">
        <v>33</v>
      </c>
      <c r="B627" s="1" t="s">
        <v>34</v>
      </c>
      <c r="C627" s="8"/>
      <c r="D627" s="9" t="s">
        <v>28</v>
      </c>
      <c r="E627" s="10" t="s">
        <v>15</v>
      </c>
      <c r="F627" s="83">
        <f>VLOOKUP(B627,'HSD UPAH,BAHAN,ALAT'!$C$6:F876,4,FALSE)</f>
        <v>10000</v>
      </c>
      <c r="G627" s="84">
        <f t="shared" si="69"/>
        <v>16</v>
      </c>
    </row>
    <row r="628" spans="1:7">
      <c r="A628" s="261" t="s">
        <v>421</v>
      </c>
      <c r="B628" s="261"/>
      <c r="C628" s="261"/>
      <c r="D628" s="261"/>
      <c r="E628" s="261"/>
      <c r="F628" s="261"/>
      <c r="G628" s="85">
        <f>SUM(G619:G627)</f>
        <v>170875</v>
      </c>
    </row>
    <row r="629" spans="1:7">
      <c r="A629" s="8" t="s">
        <v>36</v>
      </c>
      <c r="B629" s="1" t="s">
        <v>37</v>
      </c>
      <c r="C629" s="8"/>
      <c r="D629" s="9"/>
      <c r="E629" s="19"/>
      <c r="F629" s="2"/>
      <c r="G629" s="2"/>
    </row>
    <row r="630" spans="1:7">
      <c r="A630" s="263" t="s">
        <v>419</v>
      </c>
      <c r="B630" s="263"/>
      <c r="C630" s="263"/>
      <c r="D630" s="263"/>
      <c r="E630" s="263"/>
      <c r="F630" s="263"/>
      <c r="G630" s="80">
        <f>SUM(G629)</f>
        <v>0</v>
      </c>
    </row>
    <row r="631" spans="1:7">
      <c r="A631" s="81" t="s">
        <v>38</v>
      </c>
      <c r="B631" s="262" t="s">
        <v>39</v>
      </c>
      <c r="C631" s="262"/>
      <c r="D631" s="262"/>
      <c r="E631" s="262"/>
      <c r="F631" s="262"/>
      <c r="G631" s="80">
        <f>SUM(G613:G630)/2</f>
        <v>173899</v>
      </c>
    </row>
    <row r="632" spans="1:7">
      <c r="A632" s="81" t="s">
        <v>40</v>
      </c>
      <c r="B632" s="262" t="s">
        <v>180</v>
      </c>
      <c r="C632" s="262"/>
      <c r="D632" s="262"/>
      <c r="E632" s="262"/>
      <c r="F632" s="82">
        <v>0.1</v>
      </c>
      <c r="G632" s="80">
        <f>G631*F632</f>
        <v>17389.900000000001</v>
      </c>
    </row>
    <row r="633" spans="1:7">
      <c r="A633" s="81" t="s">
        <v>41</v>
      </c>
      <c r="B633" s="262" t="s">
        <v>42</v>
      </c>
      <c r="C633" s="262"/>
      <c r="D633" s="262"/>
      <c r="E633" s="262"/>
      <c r="F633" s="262"/>
      <c r="G633" s="80">
        <f>G631+G632</f>
        <v>191288.9</v>
      </c>
    </row>
    <row r="634" spans="1:7">
      <c r="A634" s="90"/>
      <c r="B634" s="91"/>
      <c r="C634" s="91"/>
      <c r="D634" s="91"/>
      <c r="E634" s="91"/>
      <c r="F634" s="91"/>
      <c r="G634" s="92"/>
    </row>
    <row r="635" spans="1:7">
      <c r="A635" s="4" t="s">
        <v>489</v>
      </c>
      <c r="B635" s="91"/>
      <c r="C635" s="91"/>
      <c r="D635" s="91"/>
      <c r="E635" s="91"/>
      <c r="F635" s="91"/>
      <c r="G635" s="92"/>
    </row>
    <row r="636" spans="1:7" ht="30">
      <c r="A636" s="79" t="s">
        <v>0</v>
      </c>
      <c r="B636" s="79" t="s">
        <v>1</v>
      </c>
      <c r="C636" s="79" t="s">
        <v>207</v>
      </c>
      <c r="D636" s="79" t="s">
        <v>3</v>
      </c>
      <c r="E636" s="79" t="s">
        <v>2</v>
      </c>
      <c r="F636" s="79" t="s">
        <v>417</v>
      </c>
      <c r="G636" s="79" t="s">
        <v>418</v>
      </c>
    </row>
    <row r="637" spans="1:7">
      <c r="A637" s="8" t="s">
        <v>4</v>
      </c>
      <c r="B637" s="1" t="s">
        <v>5</v>
      </c>
      <c r="C637" s="8"/>
      <c r="D637" s="9"/>
      <c r="E637" s="19"/>
      <c r="F637" s="2"/>
      <c r="G637" s="2"/>
    </row>
    <row r="638" spans="1:7">
      <c r="A638" s="8">
        <v>1</v>
      </c>
      <c r="B638" s="1" t="s">
        <v>6</v>
      </c>
      <c r="C638" s="8" t="s">
        <v>7</v>
      </c>
      <c r="D638" s="9" t="s">
        <v>8</v>
      </c>
      <c r="E638" s="10" t="s">
        <v>43</v>
      </c>
      <c r="F638" s="83">
        <f>VLOOKUP(B638,'HSD UPAH,BAHAN,ALAT'!$C$6:F885,4,FALSE)</f>
        <v>100000</v>
      </c>
      <c r="G638" s="84">
        <f t="shared" ref="G638:G640" si="70">E638*F638</f>
        <v>2000</v>
      </c>
    </row>
    <row r="639" spans="1:7">
      <c r="A639" s="8">
        <v>2</v>
      </c>
      <c r="B639" s="1" t="s">
        <v>10</v>
      </c>
      <c r="C639" s="8" t="s">
        <v>11</v>
      </c>
      <c r="D639" s="9" t="s">
        <v>8</v>
      </c>
      <c r="E639" s="10" t="s">
        <v>44</v>
      </c>
      <c r="F639" s="83">
        <f>VLOOKUP(B639,'HSD UPAH,BAHAN,ALAT'!$C$6:F886,4,FALSE)</f>
        <v>120000</v>
      </c>
      <c r="G639" s="84">
        <f t="shared" si="70"/>
        <v>804</v>
      </c>
    </row>
    <row r="640" spans="1:7">
      <c r="A640" s="8">
        <v>3</v>
      </c>
      <c r="B640" s="1" t="s">
        <v>13</v>
      </c>
      <c r="C640" s="8" t="s">
        <v>14</v>
      </c>
      <c r="D640" s="9" t="s">
        <v>8</v>
      </c>
      <c r="E640" s="10" t="s">
        <v>45</v>
      </c>
      <c r="F640" s="83">
        <f>VLOOKUP(B640,'HSD UPAH,BAHAN,ALAT'!$C$6:F887,4,FALSE)</f>
        <v>100000</v>
      </c>
      <c r="G640" s="84">
        <f t="shared" si="70"/>
        <v>220</v>
      </c>
    </row>
    <row r="641" spans="1:7">
      <c r="A641" s="261" t="s">
        <v>420</v>
      </c>
      <c r="B641" s="261"/>
      <c r="C641" s="261"/>
      <c r="D641" s="261"/>
      <c r="E641" s="261"/>
      <c r="F641" s="261"/>
      <c r="G641" s="85">
        <f>SUM(G637:G640)</f>
        <v>3024</v>
      </c>
    </row>
    <row r="642" spans="1:7">
      <c r="A642" s="8" t="s">
        <v>16</v>
      </c>
      <c r="B642" s="1" t="s">
        <v>17</v>
      </c>
      <c r="C642" s="8"/>
      <c r="D642" s="9"/>
      <c r="E642" s="19"/>
      <c r="F642" s="2"/>
      <c r="G642" s="2"/>
    </row>
    <row r="643" spans="1:7" ht="30">
      <c r="A643" s="17" t="s">
        <v>208</v>
      </c>
      <c r="B643" s="5" t="s">
        <v>254</v>
      </c>
      <c r="C643" s="8"/>
      <c r="D643" s="12" t="s">
        <v>86</v>
      </c>
      <c r="E643" s="7" t="s">
        <v>87</v>
      </c>
      <c r="F643" s="83">
        <f>VLOOKUP(B643,'HSD UPAH,BAHAN,ALAT'!$C$6:F890,4,FALSE)</f>
        <v>10000</v>
      </c>
      <c r="G643" s="84">
        <f t="shared" ref="G643:G644" si="71">E643*F643</f>
        <v>10500</v>
      </c>
    </row>
    <row r="644" spans="1:7">
      <c r="A644" s="8">
        <v>2</v>
      </c>
      <c r="B644" s="1" t="s">
        <v>18</v>
      </c>
      <c r="C644" s="8"/>
      <c r="D644" s="9" t="s">
        <v>19</v>
      </c>
      <c r="E644" s="10" t="s">
        <v>20</v>
      </c>
      <c r="F644" s="83">
        <f>VLOOKUP(B644,'HSD UPAH,BAHAN,ALAT'!$C$6:F891,4,FALSE)</f>
        <v>10000</v>
      </c>
      <c r="G644" s="84">
        <f t="shared" si="71"/>
        <v>50</v>
      </c>
    </row>
    <row r="645" spans="1:7">
      <c r="A645" s="8">
        <v>3</v>
      </c>
      <c r="B645" s="1" t="s">
        <v>21</v>
      </c>
      <c r="C645" s="8"/>
      <c r="D645" s="9"/>
      <c r="E645" s="19"/>
      <c r="F645" s="2"/>
      <c r="G645" s="2"/>
    </row>
    <row r="646" spans="1:7">
      <c r="A646" s="8" t="s">
        <v>22</v>
      </c>
      <c r="B646" s="1" t="s">
        <v>23</v>
      </c>
      <c r="C646" s="8"/>
      <c r="D646" s="9" t="s">
        <v>24</v>
      </c>
      <c r="E646" s="10" t="s">
        <v>25</v>
      </c>
      <c r="F646" s="83">
        <f>VLOOKUP(B646,'HSD UPAH,BAHAN,ALAT'!$C$6:F893,4,FALSE)</f>
        <v>10000</v>
      </c>
      <c r="G646" s="84">
        <f t="shared" ref="G646:G647" si="72">E646*F646</f>
        <v>60000</v>
      </c>
    </row>
    <row r="647" spans="1:7">
      <c r="A647" s="17" t="s">
        <v>30</v>
      </c>
      <c r="B647" s="1" t="s">
        <v>209</v>
      </c>
      <c r="C647" s="8"/>
      <c r="D647" s="12" t="s">
        <v>24</v>
      </c>
      <c r="E647" s="7" t="s">
        <v>57</v>
      </c>
      <c r="F647" s="83">
        <f>VLOOKUP(B647,'HSD UPAH,BAHAN,ALAT'!$C$6:F894,4,FALSE)</f>
        <v>10000</v>
      </c>
      <c r="G647" s="84">
        <f t="shared" si="72"/>
        <v>100000</v>
      </c>
    </row>
    <row r="648" spans="1:7">
      <c r="A648" s="8">
        <v>4</v>
      </c>
      <c r="B648" s="1" t="s">
        <v>26</v>
      </c>
      <c r="C648" s="8"/>
      <c r="D648" s="9"/>
      <c r="E648" s="19"/>
      <c r="F648" s="2"/>
      <c r="G648" s="2"/>
    </row>
    <row r="649" spans="1:7">
      <c r="A649" s="8" t="s">
        <v>22</v>
      </c>
      <c r="B649" s="1" t="s">
        <v>27</v>
      </c>
      <c r="C649" s="8"/>
      <c r="D649" s="9" t="s">
        <v>28</v>
      </c>
      <c r="E649" s="10" t="s">
        <v>46</v>
      </c>
      <c r="F649" s="83">
        <f>VLOOKUP(B649,'HSD UPAH,BAHAN,ALAT'!$C$6:F896,4,FALSE)</f>
        <v>10000</v>
      </c>
      <c r="G649" s="84">
        <f t="shared" ref="G649:G651" si="73">E649*F649</f>
        <v>244.00000000000003</v>
      </c>
    </row>
    <row r="650" spans="1:7">
      <c r="A650" s="8" t="s">
        <v>30</v>
      </c>
      <c r="B650" s="1" t="s">
        <v>31</v>
      </c>
      <c r="C650" s="8"/>
      <c r="D650" s="9" t="s">
        <v>28</v>
      </c>
      <c r="E650" s="10" t="s">
        <v>47</v>
      </c>
      <c r="F650" s="83">
        <f>VLOOKUP(B650,'HSD UPAH,BAHAN,ALAT'!$C$6:F897,4,FALSE)</f>
        <v>10000</v>
      </c>
      <c r="G650" s="84">
        <f t="shared" si="73"/>
        <v>65</v>
      </c>
    </row>
    <row r="651" spans="1:7">
      <c r="A651" s="8" t="s">
        <v>33</v>
      </c>
      <c r="B651" s="1" t="s">
        <v>34</v>
      </c>
      <c r="C651" s="8"/>
      <c r="D651" s="9" t="s">
        <v>28</v>
      </c>
      <c r="E651" s="10" t="s">
        <v>15</v>
      </c>
      <c r="F651" s="83">
        <f>VLOOKUP(B651,'HSD UPAH,BAHAN,ALAT'!$C$6:F898,4,FALSE)</f>
        <v>10000</v>
      </c>
      <c r="G651" s="84">
        <f t="shared" si="73"/>
        <v>16</v>
      </c>
    </row>
    <row r="652" spans="1:7">
      <c r="A652" s="261" t="s">
        <v>421</v>
      </c>
      <c r="B652" s="261"/>
      <c r="C652" s="261"/>
      <c r="D652" s="261"/>
      <c r="E652" s="261"/>
      <c r="F652" s="261"/>
      <c r="G652" s="85">
        <f>SUM(G643:G651)</f>
        <v>170875</v>
      </c>
    </row>
    <row r="653" spans="1:7">
      <c r="A653" s="8" t="s">
        <v>36</v>
      </c>
      <c r="B653" s="1" t="s">
        <v>37</v>
      </c>
      <c r="C653" s="8"/>
      <c r="D653" s="9"/>
      <c r="E653" s="19"/>
      <c r="F653" s="2"/>
      <c r="G653" s="2"/>
    </row>
    <row r="654" spans="1:7">
      <c r="A654" s="263" t="s">
        <v>419</v>
      </c>
      <c r="B654" s="263"/>
      <c r="C654" s="263"/>
      <c r="D654" s="263"/>
      <c r="E654" s="263"/>
      <c r="F654" s="263"/>
      <c r="G654" s="80">
        <f>SUM(G653)</f>
        <v>0</v>
      </c>
    </row>
    <row r="655" spans="1:7">
      <c r="A655" s="81" t="s">
        <v>38</v>
      </c>
      <c r="B655" s="262" t="s">
        <v>39</v>
      </c>
      <c r="C655" s="262"/>
      <c r="D655" s="262"/>
      <c r="E655" s="262"/>
      <c r="F655" s="262"/>
      <c r="G655" s="80">
        <f>SUM(G637:G654)/2</f>
        <v>173899</v>
      </c>
    </row>
    <row r="656" spans="1:7">
      <c r="A656" s="81" t="s">
        <v>40</v>
      </c>
      <c r="B656" s="262" t="s">
        <v>180</v>
      </c>
      <c r="C656" s="262"/>
      <c r="D656" s="262"/>
      <c r="E656" s="262"/>
      <c r="F656" s="82">
        <v>0.1</v>
      </c>
      <c r="G656" s="80">
        <f>G655*F656</f>
        <v>17389.900000000001</v>
      </c>
    </row>
    <row r="657" spans="1:7">
      <c r="A657" s="81" t="s">
        <v>41</v>
      </c>
      <c r="B657" s="262" t="s">
        <v>42</v>
      </c>
      <c r="C657" s="262"/>
      <c r="D657" s="262"/>
      <c r="E657" s="262"/>
      <c r="F657" s="262"/>
      <c r="G657" s="80">
        <f>G655+G656</f>
        <v>191288.9</v>
      </c>
    </row>
    <row r="658" spans="1:7">
      <c r="A658" s="90"/>
      <c r="B658" s="91"/>
      <c r="C658" s="91"/>
      <c r="D658" s="91"/>
      <c r="E658" s="91"/>
      <c r="F658" s="91"/>
      <c r="G658" s="92"/>
    </row>
    <row r="659" spans="1:7">
      <c r="A659" s="4" t="s">
        <v>490</v>
      </c>
      <c r="B659" s="91"/>
      <c r="C659" s="91"/>
      <c r="D659" s="91"/>
      <c r="E659" s="91"/>
      <c r="F659" s="91"/>
      <c r="G659" s="92"/>
    </row>
    <row r="660" spans="1:7" ht="30">
      <c r="A660" s="79" t="s">
        <v>0</v>
      </c>
      <c r="B660" s="79" t="s">
        <v>1</v>
      </c>
      <c r="C660" s="79" t="s">
        <v>207</v>
      </c>
      <c r="D660" s="79" t="s">
        <v>3</v>
      </c>
      <c r="E660" s="79" t="s">
        <v>2</v>
      </c>
      <c r="F660" s="79" t="s">
        <v>417</v>
      </c>
      <c r="G660" s="79" t="s">
        <v>418</v>
      </c>
    </row>
    <row r="661" spans="1:7">
      <c r="A661" s="8" t="s">
        <v>4</v>
      </c>
      <c r="B661" s="1" t="s">
        <v>5</v>
      </c>
      <c r="C661" s="8"/>
      <c r="D661" s="9"/>
      <c r="E661" s="19"/>
      <c r="F661" s="2"/>
      <c r="G661" s="2"/>
    </row>
    <row r="662" spans="1:7">
      <c r="A662" s="8">
        <v>1</v>
      </c>
      <c r="B662" s="1" t="s">
        <v>6</v>
      </c>
      <c r="C662" s="8" t="s">
        <v>7</v>
      </c>
      <c r="D662" s="9" t="s">
        <v>8</v>
      </c>
      <c r="E662" s="10" t="s">
        <v>43</v>
      </c>
      <c r="F662" s="83">
        <f>VLOOKUP(B662,'HSD UPAH,BAHAN,ALAT'!$C$6:F907,4,FALSE)</f>
        <v>100000</v>
      </c>
      <c r="G662" s="84">
        <f t="shared" ref="G662:G664" si="74">E662*F662</f>
        <v>2000</v>
      </c>
    </row>
    <row r="663" spans="1:7">
      <c r="A663" s="8">
        <v>2</v>
      </c>
      <c r="B663" s="1" t="s">
        <v>10</v>
      </c>
      <c r="C663" s="8" t="s">
        <v>11</v>
      </c>
      <c r="D663" s="9" t="s">
        <v>8</v>
      </c>
      <c r="E663" s="10" t="s">
        <v>44</v>
      </c>
      <c r="F663" s="83">
        <f>VLOOKUP(B663,'HSD UPAH,BAHAN,ALAT'!$C$6:F908,4,FALSE)</f>
        <v>120000</v>
      </c>
      <c r="G663" s="84">
        <f t="shared" si="74"/>
        <v>804</v>
      </c>
    </row>
    <row r="664" spans="1:7">
      <c r="A664" s="8">
        <v>3</v>
      </c>
      <c r="B664" s="1" t="s">
        <v>13</v>
      </c>
      <c r="C664" s="8" t="s">
        <v>14</v>
      </c>
      <c r="D664" s="9" t="s">
        <v>8</v>
      </c>
      <c r="E664" s="10" t="s">
        <v>45</v>
      </c>
      <c r="F664" s="83">
        <f>VLOOKUP(B664,'HSD UPAH,BAHAN,ALAT'!$C$6:F909,4,FALSE)</f>
        <v>100000</v>
      </c>
      <c r="G664" s="84">
        <f t="shared" si="74"/>
        <v>220</v>
      </c>
    </row>
    <row r="665" spans="1:7">
      <c r="A665" s="261" t="s">
        <v>420</v>
      </c>
      <c r="B665" s="261"/>
      <c r="C665" s="261"/>
      <c r="D665" s="261"/>
      <c r="E665" s="261"/>
      <c r="F665" s="261"/>
      <c r="G665" s="85">
        <f>SUM(G661:G664)</f>
        <v>3024</v>
      </c>
    </row>
    <row r="666" spans="1:7">
      <c r="A666" s="8" t="s">
        <v>16</v>
      </c>
      <c r="B666" s="1" t="s">
        <v>17</v>
      </c>
      <c r="C666" s="8"/>
      <c r="D666" s="9"/>
      <c r="E666" s="19"/>
      <c r="F666" s="2"/>
      <c r="G666" s="2"/>
    </row>
    <row r="667" spans="1:7" ht="30">
      <c r="A667" s="17" t="s">
        <v>208</v>
      </c>
      <c r="B667" s="5" t="s">
        <v>255</v>
      </c>
      <c r="C667" s="8"/>
      <c r="D667" s="12" t="s">
        <v>86</v>
      </c>
      <c r="E667" s="7" t="s">
        <v>87</v>
      </c>
      <c r="F667" s="83">
        <f>VLOOKUP(B667,'HSD UPAH,BAHAN,ALAT'!$C$6:F912,4,FALSE)</f>
        <v>10000</v>
      </c>
      <c r="G667" s="84">
        <f t="shared" ref="G667:G668" si="75">E667*F667</f>
        <v>10500</v>
      </c>
    </row>
    <row r="668" spans="1:7">
      <c r="A668" s="8">
        <v>2</v>
      </c>
      <c r="B668" s="1" t="s">
        <v>18</v>
      </c>
      <c r="C668" s="8"/>
      <c r="D668" s="9" t="s">
        <v>19</v>
      </c>
      <c r="E668" s="10" t="s">
        <v>20</v>
      </c>
      <c r="F668" s="83">
        <f>VLOOKUP(B668,'HSD UPAH,BAHAN,ALAT'!$C$6:F913,4,FALSE)</f>
        <v>10000</v>
      </c>
      <c r="G668" s="84">
        <f t="shared" si="75"/>
        <v>50</v>
      </c>
    </row>
    <row r="669" spans="1:7">
      <c r="A669" s="8">
        <v>3</v>
      </c>
      <c r="B669" s="1" t="s">
        <v>21</v>
      </c>
      <c r="C669" s="8"/>
      <c r="D669" s="9"/>
      <c r="E669" s="19"/>
      <c r="F669" s="2"/>
      <c r="G669" s="2"/>
    </row>
    <row r="670" spans="1:7">
      <c r="A670" s="8" t="s">
        <v>22</v>
      </c>
      <c r="B670" s="1" t="s">
        <v>23</v>
      </c>
      <c r="C670" s="8"/>
      <c r="D670" s="9" t="s">
        <v>24</v>
      </c>
      <c r="E670" s="10" t="s">
        <v>25</v>
      </c>
      <c r="F670" s="83">
        <f>VLOOKUP(B670,'HSD UPAH,BAHAN,ALAT'!$C$6:F915,4,FALSE)</f>
        <v>10000</v>
      </c>
      <c r="G670" s="84">
        <f t="shared" ref="G670:G671" si="76">E670*F670</f>
        <v>60000</v>
      </c>
    </row>
    <row r="671" spans="1:7">
      <c r="A671" s="17" t="s">
        <v>30</v>
      </c>
      <c r="B671" s="1" t="s">
        <v>209</v>
      </c>
      <c r="C671" s="8"/>
      <c r="D671" s="12" t="s">
        <v>24</v>
      </c>
      <c r="E671" s="7" t="s">
        <v>57</v>
      </c>
      <c r="F671" s="83">
        <f>VLOOKUP(B671,'HSD UPAH,BAHAN,ALAT'!$C$6:F916,4,FALSE)</f>
        <v>10000</v>
      </c>
      <c r="G671" s="84">
        <f t="shared" si="76"/>
        <v>100000</v>
      </c>
    </row>
    <row r="672" spans="1:7">
      <c r="A672" s="8">
        <v>4</v>
      </c>
      <c r="B672" s="1" t="s">
        <v>26</v>
      </c>
      <c r="C672" s="8"/>
      <c r="D672" s="9"/>
      <c r="E672" s="19"/>
      <c r="F672" s="2"/>
      <c r="G672" s="2"/>
    </row>
    <row r="673" spans="1:7">
      <c r="A673" s="8" t="s">
        <v>22</v>
      </c>
      <c r="B673" s="1" t="s">
        <v>27</v>
      </c>
      <c r="C673" s="8"/>
      <c r="D673" s="9" t="s">
        <v>28</v>
      </c>
      <c r="E673" s="10" t="s">
        <v>46</v>
      </c>
      <c r="F673" s="83">
        <f>VLOOKUP(B673,'HSD UPAH,BAHAN,ALAT'!$C$6:F918,4,FALSE)</f>
        <v>10000</v>
      </c>
      <c r="G673" s="84">
        <f t="shared" ref="G673:G675" si="77">E673*F673</f>
        <v>244.00000000000003</v>
      </c>
    </row>
    <row r="674" spans="1:7">
      <c r="A674" s="8" t="s">
        <v>30</v>
      </c>
      <c r="B674" s="1" t="s">
        <v>31</v>
      </c>
      <c r="C674" s="8"/>
      <c r="D674" s="9" t="s">
        <v>28</v>
      </c>
      <c r="E674" s="10" t="s">
        <v>47</v>
      </c>
      <c r="F674" s="83">
        <f>VLOOKUP(B674,'HSD UPAH,BAHAN,ALAT'!$C$6:F919,4,FALSE)</f>
        <v>10000</v>
      </c>
      <c r="G674" s="84">
        <f t="shared" si="77"/>
        <v>65</v>
      </c>
    </row>
    <row r="675" spans="1:7">
      <c r="A675" s="8" t="s">
        <v>33</v>
      </c>
      <c r="B675" s="1" t="s">
        <v>34</v>
      </c>
      <c r="C675" s="8"/>
      <c r="D675" s="9" t="s">
        <v>28</v>
      </c>
      <c r="E675" s="10" t="s">
        <v>15</v>
      </c>
      <c r="F675" s="83">
        <f>VLOOKUP(B675,'HSD UPAH,BAHAN,ALAT'!$C$6:F920,4,FALSE)</f>
        <v>10000</v>
      </c>
      <c r="G675" s="84">
        <f t="shared" si="77"/>
        <v>16</v>
      </c>
    </row>
    <row r="676" spans="1:7">
      <c r="A676" s="261" t="s">
        <v>421</v>
      </c>
      <c r="B676" s="261"/>
      <c r="C676" s="261"/>
      <c r="D676" s="261"/>
      <c r="E676" s="261"/>
      <c r="F676" s="261"/>
      <c r="G676" s="85">
        <f>SUM(G667:G675)</f>
        <v>170875</v>
      </c>
    </row>
    <row r="677" spans="1:7">
      <c r="A677" s="8" t="s">
        <v>36</v>
      </c>
      <c r="B677" s="1" t="s">
        <v>37</v>
      </c>
      <c r="C677" s="8"/>
      <c r="D677" s="9"/>
      <c r="E677" s="19"/>
      <c r="F677" s="2"/>
      <c r="G677" s="2"/>
    </row>
    <row r="678" spans="1:7">
      <c r="A678" s="263" t="s">
        <v>419</v>
      </c>
      <c r="B678" s="263"/>
      <c r="C678" s="263"/>
      <c r="D678" s="263"/>
      <c r="E678" s="263"/>
      <c r="F678" s="263"/>
      <c r="G678" s="80">
        <f>SUM(G677)</f>
        <v>0</v>
      </c>
    </row>
    <row r="679" spans="1:7">
      <c r="A679" s="81" t="s">
        <v>38</v>
      </c>
      <c r="B679" s="262" t="s">
        <v>39</v>
      </c>
      <c r="C679" s="262"/>
      <c r="D679" s="262"/>
      <c r="E679" s="262"/>
      <c r="F679" s="262"/>
      <c r="G679" s="80">
        <f>SUM(G661:G678)/2</f>
        <v>173899</v>
      </c>
    </row>
    <row r="680" spans="1:7">
      <c r="A680" s="81" t="s">
        <v>40</v>
      </c>
      <c r="B680" s="262" t="s">
        <v>180</v>
      </c>
      <c r="C680" s="262"/>
      <c r="D680" s="262"/>
      <c r="E680" s="262"/>
      <c r="F680" s="82">
        <v>0.1</v>
      </c>
      <c r="G680" s="80">
        <f>G679*F680</f>
        <v>17389.900000000001</v>
      </c>
    </row>
    <row r="681" spans="1:7">
      <c r="A681" s="81" t="s">
        <v>41</v>
      </c>
      <c r="B681" s="262" t="s">
        <v>42</v>
      </c>
      <c r="C681" s="262"/>
      <c r="D681" s="262"/>
      <c r="E681" s="262"/>
      <c r="F681" s="262"/>
      <c r="G681" s="80">
        <f>G679+G680</f>
        <v>191288.9</v>
      </c>
    </row>
    <row r="682" spans="1:7">
      <c r="A682" s="90"/>
      <c r="B682" s="91"/>
      <c r="C682" s="91"/>
      <c r="D682" s="91"/>
      <c r="E682" s="91"/>
      <c r="F682" s="91"/>
      <c r="G682" s="92"/>
    </row>
    <row r="683" spans="1:7">
      <c r="A683" s="4" t="s">
        <v>491</v>
      </c>
      <c r="B683" s="91"/>
      <c r="C683" s="91"/>
      <c r="D683" s="91"/>
      <c r="E683" s="91"/>
      <c r="F683" s="91"/>
      <c r="G683" s="92"/>
    </row>
    <row r="684" spans="1:7" ht="30">
      <c r="A684" s="79" t="s">
        <v>0</v>
      </c>
      <c r="B684" s="79" t="s">
        <v>1</v>
      </c>
      <c r="C684" s="79" t="s">
        <v>207</v>
      </c>
      <c r="D684" s="79" t="s">
        <v>3</v>
      </c>
      <c r="E684" s="79" t="s">
        <v>2</v>
      </c>
      <c r="F684" s="79" t="s">
        <v>417</v>
      </c>
      <c r="G684" s="79" t="s">
        <v>418</v>
      </c>
    </row>
    <row r="685" spans="1:7">
      <c r="A685" s="8" t="s">
        <v>4</v>
      </c>
      <c r="B685" s="1" t="s">
        <v>5</v>
      </c>
      <c r="C685" s="8"/>
      <c r="D685" s="9"/>
      <c r="E685" s="19"/>
      <c r="F685" s="2"/>
      <c r="G685" s="2"/>
    </row>
    <row r="686" spans="1:7">
      <c r="A686" s="8">
        <v>1</v>
      </c>
      <c r="B686" s="1" t="s">
        <v>6</v>
      </c>
      <c r="C686" s="8" t="s">
        <v>7</v>
      </c>
      <c r="D686" s="9" t="s">
        <v>8</v>
      </c>
      <c r="E686" s="10" t="s">
        <v>43</v>
      </c>
      <c r="F686" s="83">
        <f>VLOOKUP(B686,'HSD UPAH,BAHAN,ALAT'!$C$6:F929,4,FALSE)</f>
        <v>100000</v>
      </c>
      <c r="G686" s="84">
        <f t="shared" ref="G686:G688" si="78">E686*F686</f>
        <v>2000</v>
      </c>
    </row>
    <row r="687" spans="1:7">
      <c r="A687" s="8">
        <v>2</v>
      </c>
      <c r="B687" s="1" t="s">
        <v>10</v>
      </c>
      <c r="C687" s="8" t="s">
        <v>11</v>
      </c>
      <c r="D687" s="9" t="s">
        <v>8</v>
      </c>
      <c r="E687" s="10" t="s">
        <v>44</v>
      </c>
      <c r="F687" s="83">
        <f>VLOOKUP(B687,'HSD UPAH,BAHAN,ALAT'!$C$6:F930,4,FALSE)</f>
        <v>120000</v>
      </c>
      <c r="G687" s="84">
        <f t="shared" si="78"/>
        <v>804</v>
      </c>
    </row>
    <row r="688" spans="1:7">
      <c r="A688" s="8">
        <v>3</v>
      </c>
      <c r="B688" s="1" t="s">
        <v>13</v>
      </c>
      <c r="C688" s="8" t="s">
        <v>14</v>
      </c>
      <c r="D688" s="9" t="s">
        <v>8</v>
      </c>
      <c r="E688" s="10" t="s">
        <v>45</v>
      </c>
      <c r="F688" s="83">
        <f>VLOOKUP(B688,'HSD UPAH,BAHAN,ALAT'!$C$6:F931,4,FALSE)</f>
        <v>100000</v>
      </c>
      <c r="G688" s="84">
        <f t="shared" si="78"/>
        <v>220</v>
      </c>
    </row>
    <row r="689" spans="1:7">
      <c r="A689" s="261" t="s">
        <v>420</v>
      </c>
      <c r="B689" s="261"/>
      <c r="C689" s="261"/>
      <c r="D689" s="261"/>
      <c r="E689" s="261"/>
      <c r="F689" s="261"/>
      <c r="G689" s="85">
        <f>SUM(G685:G688)</f>
        <v>3024</v>
      </c>
    </row>
    <row r="690" spans="1:7">
      <c r="A690" s="8" t="s">
        <v>16</v>
      </c>
      <c r="B690" s="1" t="s">
        <v>17</v>
      </c>
      <c r="C690" s="8"/>
      <c r="D690" s="9"/>
      <c r="E690" s="19"/>
      <c r="F690" s="2"/>
      <c r="G690" s="2"/>
    </row>
    <row r="691" spans="1:7" ht="30">
      <c r="A691" s="17" t="s">
        <v>208</v>
      </c>
      <c r="B691" s="5" t="s">
        <v>256</v>
      </c>
      <c r="C691" s="8"/>
      <c r="D691" s="12" t="s">
        <v>86</v>
      </c>
      <c r="E691" s="7" t="s">
        <v>87</v>
      </c>
      <c r="F691" s="83">
        <f>VLOOKUP(B691,'HSD UPAH,BAHAN,ALAT'!$C$6:F934,4,FALSE)</f>
        <v>10000</v>
      </c>
      <c r="G691" s="84">
        <f t="shared" ref="G691:G692" si="79">E691*F691</f>
        <v>10500</v>
      </c>
    </row>
    <row r="692" spans="1:7">
      <c r="A692" s="8">
        <v>2</v>
      </c>
      <c r="B692" s="1" t="s">
        <v>18</v>
      </c>
      <c r="C692" s="8"/>
      <c r="D692" s="9" t="s">
        <v>19</v>
      </c>
      <c r="E692" s="10" t="s">
        <v>20</v>
      </c>
      <c r="F692" s="83">
        <f>VLOOKUP(B692,'HSD UPAH,BAHAN,ALAT'!$C$6:F935,4,FALSE)</f>
        <v>10000</v>
      </c>
      <c r="G692" s="84">
        <f t="shared" si="79"/>
        <v>50</v>
      </c>
    </row>
    <row r="693" spans="1:7">
      <c r="A693" s="8">
        <v>3</v>
      </c>
      <c r="B693" s="1" t="s">
        <v>21</v>
      </c>
      <c r="C693" s="8"/>
      <c r="D693" s="9"/>
      <c r="E693" s="19"/>
      <c r="F693" s="2"/>
      <c r="G693" s="2"/>
    </row>
    <row r="694" spans="1:7">
      <c r="A694" s="8" t="s">
        <v>22</v>
      </c>
      <c r="B694" s="1" t="s">
        <v>23</v>
      </c>
      <c r="C694" s="8"/>
      <c r="D694" s="9" t="s">
        <v>24</v>
      </c>
      <c r="E694" s="10" t="s">
        <v>25</v>
      </c>
      <c r="F694" s="83">
        <f>VLOOKUP(B694,'HSD UPAH,BAHAN,ALAT'!$C$6:F937,4,FALSE)</f>
        <v>10000</v>
      </c>
      <c r="G694" s="84">
        <f t="shared" ref="G694:G695" si="80">E694*F694</f>
        <v>60000</v>
      </c>
    </row>
    <row r="695" spans="1:7">
      <c r="A695" s="17" t="s">
        <v>30</v>
      </c>
      <c r="B695" s="1" t="s">
        <v>209</v>
      </c>
      <c r="C695" s="8"/>
      <c r="D695" s="12" t="s">
        <v>24</v>
      </c>
      <c r="E695" s="7" t="s">
        <v>57</v>
      </c>
      <c r="F695" s="83">
        <f>VLOOKUP(B695,'HSD UPAH,BAHAN,ALAT'!$C$6:F938,4,FALSE)</f>
        <v>10000</v>
      </c>
      <c r="G695" s="84">
        <f t="shared" si="80"/>
        <v>100000</v>
      </c>
    </row>
    <row r="696" spans="1:7">
      <c r="A696" s="8">
        <v>4</v>
      </c>
      <c r="B696" s="1" t="s">
        <v>26</v>
      </c>
      <c r="C696" s="8"/>
      <c r="D696" s="9"/>
      <c r="E696" s="19"/>
      <c r="F696" s="2"/>
      <c r="G696" s="2"/>
    </row>
    <row r="697" spans="1:7">
      <c r="A697" s="8" t="s">
        <v>22</v>
      </c>
      <c r="B697" s="1" t="s">
        <v>27</v>
      </c>
      <c r="C697" s="8"/>
      <c r="D697" s="9" t="s">
        <v>28</v>
      </c>
      <c r="E697" s="10" t="s">
        <v>46</v>
      </c>
      <c r="F697" s="83">
        <f>VLOOKUP(B697,'HSD UPAH,BAHAN,ALAT'!$C$6:F940,4,FALSE)</f>
        <v>10000</v>
      </c>
      <c r="G697" s="84">
        <f t="shared" ref="G697:G699" si="81">E697*F697</f>
        <v>244.00000000000003</v>
      </c>
    </row>
    <row r="698" spans="1:7">
      <c r="A698" s="8" t="s">
        <v>30</v>
      </c>
      <c r="B698" s="1" t="s">
        <v>31</v>
      </c>
      <c r="C698" s="8"/>
      <c r="D698" s="9" t="s">
        <v>28</v>
      </c>
      <c r="E698" s="10" t="s">
        <v>47</v>
      </c>
      <c r="F698" s="83">
        <f>VLOOKUP(B698,'HSD UPAH,BAHAN,ALAT'!$C$6:F941,4,FALSE)</f>
        <v>10000</v>
      </c>
      <c r="G698" s="84">
        <f t="shared" si="81"/>
        <v>65</v>
      </c>
    </row>
    <row r="699" spans="1:7">
      <c r="A699" s="8" t="s">
        <v>33</v>
      </c>
      <c r="B699" s="1" t="s">
        <v>34</v>
      </c>
      <c r="C699" s="8"/>
      <c r="D699" s="9" t="s">
        <v>28</v>
      </c>
      <c r="E699" s="10" t="s">
        <v>15</v>
      </c>
      <c r="F699" s="83">
        <f>VLOOKUP(B699,'HSD UPAH,BAHAN,ALAT'!$C$6:F942,4,FALSE)</f>
        <v>10000</v>
      </c>
      <c r="G699" s="84">
        <f t="shared" si="81"/>
        <v>16</v>
      </c>
    </row>
    <row r="700" spans="1:7">
      <c r="A700" s="261" t="s">
        <v>421</v>
      </c>
      <c r="B700" s="261"/>
      <c r="C700" s="261"/>
      <c r="D700" s="261"/>
      <c r="E700" s="261"/>
      <c r="F700" s="261"/>
      <c r="G700" s="85">
        <f>SUM(G691:G699)</f>
        <v>170875</v>
      </c>
    </row>
    <row r="701" spans="1:7">
      <c r="A701" s="8" t="s">
        <v>36</v>
      </c>
      <c r="B701" s="1" t="s">
        <v>37</v>
      </c>
      <c r="C701" s="8"/>
      <c r="D701" s="9"/>
      <c r="E701" s="19"/>
      <c r="F701" s="2"/>
      <c r="G701" s="2"/>
    </row>
    <row r="702" spans="1:7">
      <c r="A702" s="263" t="s">
        <v>419</v>
      </c>
      <c r="B702" s="263"/>
      <c r="C702" s="263"/>
      <c r="D702" s="263"/>
      <c r="E702" s="263"/>
      <c r="F702" s="263"/>
      <c r="G702" s="80">
        <f>SUM(G701)</f>
        <v>0</v>
      </c>
    </row>
    <row r="703" spans="1:7">
      <c r="A703" s="81" t="s">
        <v>38</v>
      </c>
      <c r="B703" s="262" t="s">
        <v>39</v>
      </c>
      <c r="C703" s="262"/>
      <c r="D703" s="262"/>
      <c r="E703" s="262"/>
      <c r="F703" s="262"/>
      <c r="G703" s="80">
        <f>SUM(G685:G702)/2</f>
        <v>173899</v>
      </c>
    </row>
    <row r="704" spans="1:7">
      <c r="A704" s="81" t="s">
        <v>40</v>
      </c>
      <c r="B704" s="262" t="s">
        <v>180</v>
      </c>
      <c r="C704" s="262"/>
      <c r="D704" s="262"/>
      <c r="E704" s="262"/>
      <c r="F704" s="82">
        <v>0.1</v>
      </c>
      <c r="G704" s="80">
        <f>G703*F704</f>
        <v>17389.900000000001</v>
      </c>
    </row>
    <row r="705" spans="1:7">
      <c r="A705" s="81" t="s">
        <v>41</v>
      </c>
      <c r="B705" s="262" t="s">
        <v>42</v>
      </c>
      <c r="C705" s="262"/>
      <c r="D705" s="262"/>
      <c r="E705" s="262"/>
      <c r="F705" s="262"/>
      <c r="G705" s="80">
        <f>G703+G704</f>
        <v>191288.9</v>
      </c>
    </row>
    <row r="706" spans="1:7">
      <c r="A706" s="90"/>
      <c r="B706" s="91"/>
      <c r="C706" s="91"/>
      <c r="D706" s="91"/>
      <c r="E706" s="91"/>
      <c r="F706" s="91"/>
      <c r="G706" s="92"/>
    </row>
    <row r="707" spans="1:7">
      <c r="A707" s="4" t="s">
        <v>456</v>
      </c>
      <c r="B707" s="91"/>
      <c r="C707" s="91"/>
      <c r="D707" s="91"/>
      <c r="E707" s="91"/>
      <c r="F707" s="91"/>
      <c r="G707" s="92"/>
    </row>
    <row r="708" spans="1:7">
      <c r="A708" s="4" t="s">
        <v>492</v>
      </c>
      <c r="B708" s="91"/>
      <c r="C708" s="91"/>
      <c r="D708" s="91"/>
      <c r="E708" s="91"/>
      <c r="F708" s="91"/>
      <c r="G708" s="92"/>
    </row>
    <row r="709" spans="1:7" ht="30">
      <c r="A709" s="79" t="s">
        <v>0</v>
      </c>
      <c r="B709" s="79" t="s">
        <v>1</v>
      </c>
      <c r="C709" s="79" t="s">
        <v>207</v>
      </c>
      <c r="D709" s="79" t="s">
        <v>3</v>
      </c>
      <c r="E709" s="79" t="s">
        <v>2</v>
      </c>
      <c r="F709" s="79" t="s">
        <v>417</v>
      </c>
      <c r="G709" s="79" t="s">
        <v>418</v>
      </c>
    </row>
    <row r="710" spans="1:7">
      <c r="A710" s="8" t="s">
        <v>4</v>
      </c>
      <c r="B710" s="1" t="s">
        <v>5</v>
      </c>
      <c r="C710" s="8"/>
      <c r="D710" s="9"/>
      <c r="E710" s="19"/>
      <c r="F710" s="2"/>
      <c r="G710" s="2"/>
    </row>
    <row r="711" spans="1:7">
      <c r="A711" s="8">
        <v>1</v>
      </c>
      <c r="B711" s="1" t="s">
        <v>48</v>
      </c>
      <c r="C711" s="8" t="s">
        <v>49</v>
      </c>
      <c r="D711" s="9" t="s">
        <v>8</v>
      </c>
      <c r="E711" s="10" t="s">
        <v>50</v>
      </c>
      <c r="F711" s="83">
        <f>VLOOKUP(B711,'HSD UPAH,BAHAN,ALAT'!$C$6:F951,4,FALSE)</f>
        <v>100000</v>
      </c>
      <c r="G711" s="84">
        <f t="shared" ref="G711:G714" si="82">E711*F711</f>
        <v>4000</v>
      </c>
    </row>
    <row r="712" spans="1:7">
      <c r="A712" s="8">
        <v>2</v>
      </c>
      <c r="B712" s="1" t="s">
        <v>6</v>
      </c>
      <c r="C712" s="8" t="s">
        <v>7</v>
      </c>
      <c r="D712" s="9" t="s">
        <v>8</v>
      </c>
      <c r="E712" s="10" t="s">
        <v>50</v>
      </c>
      <c r="F712" s="83">
        <f>VLOOKUP(B712,'HSD UPAH,BAHAN,ALAT'!$C$6:F952,4,FALSE)</f>
        <v>100000</v>
      </c>
      <c r="G712" s="84">
        <f t="shared" si="82"/>
        <v>4000</v>
      </c>
    </row>
    <row r="713" spans="1:7">
      <c r="A713" s="8">
        <v>3</v>
      </c>
      <c r="B713" s="1" t="s">
        <v>10</v>
      </c>
      <c r="C713" s="8" t="s">
        <v>11</v>
      </c>
      <c r="D713" s="9" t="s">
        <v>8</v>
      </c>
      <c r="E713" s="10" t="s">
        <v>51</v>
      </c>
      <c r="F713" s="83">
        <f>VLOOKUP(B713,'HSD UPAH,BAHAN,ALAT'!$C$6:F953,4,FALSE)</f>
        <v>120000</v>
      </c>
      <c r="G713" s="84">
        <f t="shared" si="82"/>
        <v>1560</v>
      </c>
    </row>
    <row r="714" spans="1:7">
      <c r="A714" s="8">
        <v>4</v>
      </c>
      <c r="B714" s="1" t="s">
        <v>13</v>
      </c>
      <c r="C714" s="8" t="s">
        <v>14</v>
      </c>
      <c r="D714" s="9" t="s">
        <v>8</v>
      </c>
      <c r="E714" s="10" t="s">
        <v>52</v>
      </c>
      <c r="F714" s="83">
        <f>VLOOKUP(B714,'HSD UPAH,BAHAN,ALAT'!$C$6:F954,4,FALSE)</f>
        <v>100000</v>
      </c>
      <c r="G714" s="84">
        <f t="shared" si="82"/>
        <v>430</v>
      </c>
    </row>
    <row r="715" spans="1:7">
      <c r="A715" s="261" t="s">
        <v>420</v>
      </c>
      <c r="B715" s="261"/>
      <c r="C715" s="261"/>
      <c r="D715" s="261"/>
      <c r="E715" s="261"/>
      <c r="F715" s="261"/>
      <c r="G715" s="85">
        <f>SUM(G711:G714)</f>
        <v>9990</v>
      </c>
    </row>
    <row r="716" spans="1:7">
      <c r="A716" s="8" t="s">
        <v>16</v>
      </c>
      <c r="B716" s="1" t="s">
        <v>17</v>
      </c>
      <c r="C716" s="8"/>
      <c r="D716" s="9"/>
      <c r="E716" s="19"/>
      <c r="F716" s="2"/>
      <c r="G716" s="2"/>
    </row>
    <row r="717" spans="1:7" ht="30">
      <c r="A717" s="17" t="s">
        <v>208</v>
      </c>
      <c r="B717" s="5" t="s">
        <v>257</v>
      </c>
      <c r="C717" s="17"/>
      <c r="D717" s="12" t="s">
        <v>86</v>
      </c>
      <c r="E717" s="7" t="s">
        <v>87</v>
      </c>
      <c r="F717" s="83">
        <f>VLOOKUP(B717,'HSD UPAH,BAHAN,ALAT'!$C$6:F957,4,FALSE)</f>
        <v>10000</v>
      </c>
      <c r="G717" s="84">
        <f t="shared" ref="G717:G718" si="83">E717*F717</f>
        <v>10500</v>
      </c>
    </row>
    <row r="718" spans="1:7">
      <c r="A718" s="8">
        <v>2</v>
      </c>
      <c r="B718" s="1" t="s">
        <v>18</v>
      </c>
      <c r="C718" s="8"/>
      <c r="D718" s="9" t="s">
        <v>19</v>
      </c>
      <c r="E718" s="10" t="s">
        <v>53</v>
      </c>
      <c r="F718" s="83">
        <f>VLOOKUP(B718,'HSD UPAH,BAHAN,ALAT'!$C$6:F958,4,FALSE)</f>
        <v>10000</v>
      </c>
      <c r="G718" s="84">
        <f t="shared" si="83"/>
        <v>100</v>
      </c>
    </row>
    <row r="719" spans="1:7">
      <c r="A719" s="8">
        <v>3</v>
      </c>
      <c r="B719" s="1" t="s">
        <v>21</v>
      </c>
      <c r="C719" s="8"/>
      <c r="D719" s="9"/>
      <c r="E719" s="19"/>
      <c r="F719" s="2"/>
      <c r="G719" s="2"/>
    </row>
    <row r="720" spans="1:7">
      <c r="A720" s="8" t="s">
        <v>22</v>
      </c>
      <c r="B720" s="1" t="s">
        <v>54</v>
      </c>
      <c r="C720" s="8"/>
      <c r="D720" s="9" t="s">
        <v>24</v>
      </c>
      <c r="E720" s="10" t="s">
        <v>55</v>
      </c>
      <c r="F720" s="83">
        <f>VLOOKUP(B720,'HSD UPAH,BAHAN,ALAT'!$C$6:F960,4,FALSE)</f>
        <v>10000</v>
      </c>
      <c r="G720" s="84">
        <f t="shared" ref="G720:G721" si="84">E720*F720</f>
        <v>120000</v>
      </c>
    </row>
    <row r="721" spans="1:7">
      <c r="A721" s="8" t="s">
        <v>30</v>
      </c>
      <c r="B721" s="1" t="s">
        <v>56</v>
      </c>
      <c r="C721" s="8"/>
      <c r="D721" s="9" t="s">
        <v>24</v>
      </c>
      <c r="E721" s="10" t="s">
        <v>57</v>
      </c>
      <c r="F721" s="83">
        <f>VLOOKUP(B721,'HSD UPAH,BAHAN,ALAT'!$C$6:F961,4,FALSE)</f>
        <v>10000</v>
      </c>
      <c r="G721" s="84">
        <f t="shared" si="84"/>
        <v>100000</v>
      </c>
    </row>
    <row r="722" spans="1:7">
      <c r="A722" s="8">
        <v>4</v>
      </c>
      <c r="B722" s="1" t="s">
        <v>26</v>
      </c>
      <c r="C722" s="8"/>
      <c r="D722" s="9"/>
      <c r="E722" s="19"/>
      <c r="F722" s="2"/>
      <c r="G722" s="2"/>
    </row>
    <row r="723" spans="1:7">
      <c r="A723" s="8" t="s">
        <v>22</v>
      </c>
      <c r="B723" s="1" t="s">
        <v>27</v>
      </c>
      <c r="C723" s="8"/>
      <c r="D723" s="9" t="s">
        <v>28</v>
      </c>
      <c r="E723" s="10" t="s">
        <v>58</v>
      </c>
      <c r="F723" s="83">
        <f>VLOOKUP(B723,'HSD UPAH,BAHAN,ALAT'!$C$6:F963,4,FALSE)</f>
        <v>10000</v>
      </c>
      <c r="G723" s="84">
        <f t="shared" ref="G723:G725" si="85">E723*F723</f>
        <v>490</v>
      </c>
    </row>
    <row r="724" spans="1:7">
      <c r="A724" s="8" t="s">
        <v>30</v>
      </c>
      <c r="B724" s="1" t="s">
        <v>31</v>
      </c>
      <c r="C724" s="8"/>
      <c r="D724" s="9" t="s">
        <v>28</v>
      </c>
      <c r="E724" s="10" t="s">
        <v>51</v>
      </c>
      <c r="F724" s="83">
        <f>VLOOKUP(B724,'HSD UPAH,BAHAN,ALAT'!$C$6:F964,4,FALSE)</f>
        <v>10000</v>
      </c>
      <c r="G724" s="84">
        <f t="shared" si="85"/>
        <v>130</v>
      </c>
    </row>
    <row r="725" spans="1:7">
      <c r="A725" s="8" t="s">
        <v>33</v>
      </c>
      <c r="B725" s="1" t="s">
        <v>34</v>
      </c>
      <c r="C725" s="8"/>
      <c r="D725" s="9" t="s">
        <v>28</v>
      </c>
      <c r="E725" s="10" t="s">
        <v>59</v>
      </c>
      <c r="F725" s="83">
        <f>VLOOKUP(B725,'HSD UPAH,BAHAN,ALAT'!$C$6:F965,4,FALSE)</f>
        <v>10000</v>
      </c>
      <c r="G725" s="84">
        <f t="shared" si="85"/>
        <v>30</v>
      </c>
    </row>
    <row r="726" spans="1:7">
      <c r="A726" s="261" t="s">
        <v>421</v>
      </c>
      <c r="B726" s="261"/>
      <c r="C726" s="261"/>
      <c r="D726" s="261"/>
      <c r="E726" s="261"/>
      <c r="F726" s="261"/>
      <c r="G726" s="85">
        <f>SUM(G717:G725)</f>
        <v>231250</v>
      </c>
    </row>
    <row r="727" spans="1:7">
      <c r="A727" s="8" t="s">
        <v>36</v>
      </c>
      <c r="B727" s="1" t="s">
        <v>37</v>
      </c>
      <c r="C727" s="8"/>
      <c r="D727" s="9"/>
      <c r="E727" s="19"/>
      <c r="F727" s="2"/>
      <c r="G727" s="2"/>
    </row>
    <row r="728" spans="1:7">
      <c r="A728" s="263" t="s">
        <v>419</v>
      </c>
      <c r="B728" s="263"/>
      <c r="C728" s="263"/>
      <c r="D728" s="263"/>
      <c r="E728" s="263"/>
      <c r="F728" s="263"/>
      <c r="G728" s="80">
        <f>SUM(G727)</f>
        <v>0</v>
      </c>
    </row>
    <row r="729" spans="1:7">
      <c r="A729" s="81" t="s">
        <v>38</v>
      </c>
      <c r="B729" s="262" t="s">
        <v>39</v>
      </c>
      <c r="C729" s="262"/>
      <c r="D729" s="262"/>
      <c r="E729" s="262"/>
      <c r="F729" s="262"/>
      <c r="G729" s="80">
        <f>SUM(G711:G728)/2</f>
        <v>241240</v>
      </c>
    </row>
    <row r="730" spans="1:7">
      <c r="A730" s="81" t="s">
        <v>40</v>
      </c>
      <c r="B730" s="262" t="s">
        <v>180</v>
      </c>
      <c r="C730" s="262"/>
      <c r="D730" s="262"/>
      <c r="E730" s="262"/>
      <c r="F730" s="82">
        <v>0.1</v>
      </c>
      <c r="G730" s="80">
        <f>G729*F730</f>
        <v>24124</v>
      </c>
    </row>
    <row r="731" spans="1:7">
      <c r="A731" s="81" t="s">
        <v>41</v>
      </c>
      <c r="B731" s="262" t="s">
        <v>42</v>
      </c>
      <c r="C731" s="262"/>
      <c r="D731" s="262"/>
      <c r="E731" s="262"/>
      <c r="F731" s="262"/>
      <c r="G731" s="80">
        <f>G729+G730</f>
        <v>265364</v>
      </c>
    </row>
    <row r="732" spans="1:7">
      <c r="A732" s="90"/>
      <c r="B732" s="91"/>
      <c r="C732" s="91"/>
      <c r="D732" s="91"/>
      <c r="E732" s="91"/>
      <c r="F732" s="91"/>
      <c r="G732" s="92"/>
    </row>
    <row r="733" spans="1:7">
      <c r="A733" s="4" t="s">
        <v>528</v>
      </c>
      <c r="B733" s="91"/>
      <c r="C733" s="91"/>
      <c r="D733" s="91"/>
      <c r="E733" s="91"/>
      <c r="F733" s="91"/>
      <c r="G733" s="92"/>
    </row>
    <row r="734" spans="1:7" ht="30">
      <c r="A734" s="79" t="s">
        <v>0</v>
      </c>
      <c r="B734" s="79" t="s">
        <v>1</v>
      </c>
      <c r="C734" s="79" t="s">
        <v>207</v>
      </c>
      <c r="D734" s="79" t="s">
        <v>3</v>
      </c>
      <c r="E734" s="79" t="s">
        <v>2</v>
      </c>
      <c r="F734" s="79" t="s">
        <v>417</v>
      </c>
      <c r="G734" s="79" t="s">
        <v>418</v>
      </c>
    </row>
    <row r="735" spans="1:7">
      <c r="A735" s="8" t="s">
        <v>4</v>
      </c>
      <c r="B735" s="1" t="s">
        <v>5</v>
      </c>
      <c r="C735" s="8"/>
      <c r="D735" s="9"/>
      <c r="E735" s="19"/>
      <c r="F735" s="2"/>
      <c r="G735" s="2"/>
    </row>
    <row r="736" spans="1:7">
      <c r="A736" s="8">
        <v>1</v>
      </c>
      <c r="B736" s="1" t="s">
        <v>48</v>
      </c>
      <c r="C736" s="8" t="s">
        <v>49</v>
      </c>
      <c r="D736" s="9" t="s">
        <v>8</v>
      </c>
      <c r="E736" s="10" t="s">
        <v>50</v>
      </c>
      <c r="F736" s="83">
        <f>VLOOKUP(B736,'HSD UPAH,BAHAN,ALAT'!$C$6:F974,4,FALSE)</f>
        <v>100000</v>
      </c>
      <c r="G736" s="84">
        <f t="shared" ref="G736:G739" si="86">E736*F736</f>
        <v>4000</v>
      </c>
    </row>
    <row r="737" spans="1:7">
      <c r="A737" s="8">
        <v>2</v>
      </c>
      <c r="B737" s="1" t="s">
        <v>6</v>
      </c>
      <c r="C737" s="8" t="s">
        <v>7</v>
      </c>
      <c r="D737" s="9" t="s">
        <v>8</v>
      </c>
      <c r="E737" s="10" t="s">
        <v>50</v>
      </c>
      <c r="F737" s="83">
        <f>VLOOKUP(B737,'HSD UPAH,BAHAN,ALAT'!$C$6:F975,4,FALSE)</f>
        <v>100000</v>
      </c>
      <c r="G737" s="84">
        <f t="shared" si="86"/>
        <v>4000</v>
      </c>
    </row>
    <row r="738" spans="1:7">
      <c r="A738" s="8">
        <v>3</v>
      </c>
      <c r="B738" s="1" t="s">
        <v>10</v>
      </c>
      <c r="C738" s="8" t="s">
        <v>11</v>
      </c>
      <c r="D738" s="9" t="s">
        <v>8</v>
      </c>
      <c r="E738" s="10" t="s">
        <v>51</v>
      </c>
      <c r="F738" s="83">
        <f>VLOOKUP(B738,'HSD UPAH,BAHAN,ALAT'!$C$6:F976,4,FALSE)</f>
        <v>120000</v>
      </c>
      <c r="G738" s="84">
        <f t="shared" si="86"/>
        <v>1560</v>
      </c>
    </row>
    <row r="739" spans="1:7">
      <c r="A739" s="8">
        <v>4</v>
      </c>
      <c r="B739" s="1" t="s">
        <v>13</v>
      </c>
      <c r="C739" s="8" t="s">
        <v>14</v>
      </c>
      <c r="D739" s="9" t="s">
        <v>8</v>
      </c>
      <c r="E739" s="10" t="s">
        <v>52</v>
      </c>
      <c r="F739" s="83">
        <f>VLOOKUP(B739,'HSD UPAH,BAHAN,ALAT'!$C$6:F977,4,FALSE)</f>
        <v>100000</v>
      </c>
      <c r="G739" s="84">
        <f t="shared" si="86"/>
        <v>430</v>
      </c>
    </row>
    <row r="740" spans="1:7">
      <c r="A740" s="261" t="s">
        <v>420</v>
      </c>
      <c r="B740" s="261"/>
      <c r="C740" s="261"/>
      <c r="D740" s="261"/>
      <c r="E740" s="261"/>
      <c r="F740" s="261"/>
      <c r="G740" s="85">
        <f>SUM(G736:G739)</f>
        <v>9990</v>
      </c>
    </row>
    <row r="741" spans="1:7">
      <c r="A741" s="8" t="s">
        <v>16</v>
      </c>
      <c r="B741" s="1" t="s">
        <v>17</v>
      </c>
      <c r="C741" s="8"/>
      <c r="D741" s="13"/>
      <c r="E741" s="19"/>
      <c r="F741" s="2"/>
      <c r="G741" s="2"/>
    </row>
    <row r="742" spans="1:7">
      <c r="A742" s="17" t="s">
        <v>208</v>
      </c>
      <c r="B742" s="1" t="s">
        <v>258</v>
      </c>
      <c r="C742" s="8"/>
      <c r="D742" s="12" t="s">
        <v>86</v>
      </c>
      <c r="E742" s="7" t="s">
        <v>87</v>
      </c>
      <c r="F742" s="83">
        <f>VLOOKUP(B742,'HSD UPAH,BAHAN,ALAT'!$C$6:F980,4,FALSE)</f>
        <v>10000</v>
      </c>
      <c r="G742" s="84">
        <f t="shared" ref="G742:G743" si="87">E742*F742</f>
        <v>10500</v>
      </c>
    </row>
    <row r="743" spans="1:7">
      <c r="A743" s="8">
        <v>2</v>
      </c>
      <c r="B743" s="1" t="s">
        <v>18</v>
      </c>
      <c r="C743" s="8"/>
      <c r="D743" s="9" t="s">
        <v>19</v>
      </c>
      <c r="E743" s="10" t="s">
        <v>53</v>
      </c>
      <c r="F743" s="83">
        <f>VLOOKUP(B743,'HSD UPAH,BAHAN,ALAT'!$C$6:F981,4,FALSE)</f>
        <v>10000</v>
      </c>
      <c r="G743" s="84">
        <f t="shared" si="87"/>
        <v>100</v>
      </c>
    </row>
    <row r="744" spans="1:7">
      <c r="A744" s="8">
        <v>3</v>
      </c>
      <c r="B744" s="1" t="s">
        <v>21</v>
      </c>
      <c r="C744" s="8"/>
      <c r="D744" s="9"/>
      <c r="E744" s="19"/>
      <c r="F744" s="2"/>
      <c r="G744" s="2"/>
    </row>
    <row r="745" spans="1:7">
      <c r="A745" s="8" t="s">
        <v>22</v>
      </c>
      <c r="B745" s="1" t="s">
        <v>54</v>
      </c>
      <c r="C745" s="8"/>
      <c r="D745" s="9" t="s">
        <v>24</v>
      </c>
      <c r="E745" s="10" t="s">
        <v>55</v>
      </c>
      <c r="F745" s="83">
        <f>VLOOKUP(B745,'HSD UPAH,BAHAN,ALAT'!$C$6:F983,4,FALSE)</f>
        <v>10000</v>
      </c>
      <c r="G745" s="84">
        <f t="shared" ref="G745:G746" si="88">E745*F745</f>
        <v>120000</v>
      </c>
    </row>
    <row r="746" spans="1:7">
      <c r="A746" s="8" t="s">
        <v>30</v>
      </c>
      <c r="B746" s="1" t="s">
        <v>56</v>
      </c>
      <c r="C746" s="8"/>
      <c r="D746" s="9" t="s">
        <v>24</v>
      </c>
      <c r="E746" s="10" t="s">
        <v>57</v>
      </c>
      <c r="F746" s="83">
        <f>VLOOKUP(B746,'HSD UPAH,BAHAN,ALAT'!$C$6:F984,4,FALSE)</f>
        <v>10000</v>
      </c>
      <c r="G746" s="84">
        <f t="shared" si="88"/>
        <v>100000</v>
      </c>
    </row>
    <row r="747" spans="1:7">
      <c r="A747" s="8">
        <v>4</v>
      </c>
      <c r="B747" s="1" t="s">
        <v>26</v>
      </c>
      <c r="C747" s="8"/>
      <c r="D747" s="9"/>
      <c r="E747" s="19"/>
      <c r="F747" s="2"/>
      <c r="G747" s="2"/>
    </row>
    <row r="748" spans="1:7">
      <c r="A748" s="8" t="s">
        <v>22</v>
      </c>
      <c r="B748" s="1" t="s">
        <v>27</v>
      </c>
      <c r="C748" s="8"/>
      <c r="D748" s="9" t="s">
        <v>28</v>
      </c>
      <c r="E748" s="10" t="s">
        <v>58</v>
      </c>
      <c r="F748" s="83">
        <f>VLOOKUP(B748,'HSD UPAH,BAHAN,ALAT'!$C$6:F986,4,FALSE)</f>
        <v>10000</v>
      </c>
      <c r="G748" s="84">
        <f t="shared" ref="G748:G750" si="89">E748*F748</f>
        <v>490</v>
      </c>
    </row>
    <row r="749" spans="1:7">
      <c r="A749" s="8" t="s">
        <v>30</v>
      </c>
      <c r="B749" s="1" t="s">
        <v>31</v>
      </c>
      <c r="C749" s="8"/>
      <c r="D749" s="9" t="s">
        <v>28</v>
      </c>
      <c r="E749" s="10" t="s">
        <v>51</v>
      </c>
      <c r="F749" s="83">
        <f>VLOOKUP(B749,'HSD UPAH,BAHAN,ALAT'!$C$6:F987,4,FALSE)</f>
        <v>10000</v>
      </c>
      <c r="G749" s="84">
        <f t="shared" si="89"/>
        <v>130</v>
      </c>
    </row>
    <row r="750" spans="1:7">
      <c r="A750" s="100" t="s">
        <v>33</v>
      </c>
      <c r="B750" s="101" t="s">
        <v>34</v>
      </c>
      <c r="C750" s="100"/>
      <c r="D750" s="102" t="s">
        <v>28</v>
      </c>
      <c r="E750" s="103" t="s">
        <v>59</v>
      </c>
      <c r="F750" s="104">
        <f>VLOOKUP(B750,'HSD UPAH,BAHAN,ALAT'!$C$6:F988,4,FALSE)</f>
        <v>10000</v>
      </c>
      <c r="G750" s="84">
        <f t="shared" si="89"/>
        <v>30</v>
      </c>
    </row>
    <row r="751" spans="1:7">
      <c r="A751" s="267" t="s">
        <v>421</v>
      </c>
      <c r="B751" s="267"/>
      <c r="C751" s="267"/>
      <c r="D751" s="267"/>
      <c r="E751" s="267"/>
      <c r="F751" s="267"/>
      <c r="G751" s="85">
        <f>SUM(G742:G750)</f>
        <v>231250</v>
      </c>
    </row>
    <row r="752" spans="1:7">
      <c r="A752" s="10" t="s">
        <v>36</v>
      </c>
      <c r="B752" s="3" t="s">
        <v>37</v>
      </c>
      <c r="C752" s="10"/>
      <c r="D752" s="19"/>
      <c r="E752" s="19"/>
      <c r="F752" s="2"/>
      <c r="G752" s="2"/>
    </row>
    <row r="753" spans="1:7">
      <c r="A753" s="263" t="s">
        <v>419</v>
      </c>
      <c r="B753" s="263"/>
      <c r="C753" s="263"/>
      <c r="D753" s="263"/>
      <c r="E753" s="263"/>
      <c r="F753" s="263"/>
      <c r="G753" s="80">
        <f>SUM(G752)</f>
        <v>0</v>
      </c>
    </row>
    <row r="754" spans="1:7">
      <c r="A754" s="81" t="s">
        <v>38</v>
      </c>
      <c r="B754" s="262" t="s">
        <v>39</v>
      </c>
      <c r="C754" s="262"/>
      <c r="D754" s="262"/>
      <c r="E754" s="262"/>
      <c r="F754" s="262"/>
      <c r="G754" s="80">
        <f>SUM(G736:G753)/2</f>
        <v>241240</v>
      </c>
    </row>
    <row r="755" spans="1:7">
      <c r="A755" s="81" t="s">
        <v>40</v>
      </c>
      <c r="B755" s="262" t="s">
        <v>180</v>
      </c>
      <c r="C755" s="262"/>
      <c r="D755" s="262"/>
      <c r="E755" s="262"/>
      <c r="F755" s="82">
        <v>0.1</v>
      </c>
      <c r="G755" s="80">
        <f>G754*F755</f>
        <v>24124</v>
      </c>
    </row>
    <row r="756" spans="1:7">
      <c r="A756" s="81" t="s">
        <v>41</v>
      </c>
      <c r="B756" s="262" t="s">
        <v>42</v>
      </c>
      <c r="C756" s="262"/>
      <c r="D756" s="262"/>
      <c r="E756" s="262"/>
      <c r="F756" s="262"/>
      <c r="G756" s="80">
        <f>G754+G755</f>
        <v>265364</v>
      </c>
    </row>
    <row r="757" spans="1:7">
      <c r="A757" s="90"/>
      <c r="B757" s="91"/>
      <c r="C757" s="91"/>
      <c r="D757" s="91"/>
      <c r="E757" s="91"/>
      <c r="F757" s="91"/>
      <c r="G757" s="92"/>
    </row>
    <row r="758" spans="1:7">
      <c r="A758" s="90"/>
      <c r="B758" s="91"/>
      <c r="C758" s="91"/>
      <c r="D758" s="91"/>
      <c r="E758" s="91"/>
      <c r="F758" s="91"/>
      <c r="G758" s="92"/>
    </row>
    <row r="759" spans="1:7">
      <c r="A759" s="4" t="s">
        <v>493</v>
      </c>
      <c r="B759" s="91"/>
      <c r="C759" s="91"/>
      <c r="D759" s="91"/>
      <c r="E759" s="91"/>
      <c r="F759" s="91"/>
      <c r="G759" s="92"/>
    </row>
    <row r="760" spans="1:7" ht="30">
      <c r="A760" s="79" t="s">
        <v>0</v>
      </c>
      <c r="B760" s="79" t="s">
        <v>1</v>
      </c>
      <c r="C760" s="79" t="s">
        <v>207</v>
      </c>
      <c r="D760" s="79" t="s">
        <v>3</v>
      </c>
      <c r="E760" s="79" t="s">
        <v>2</v>
      </c>
      <c r="F760" s="79" t="s">
        <v>417</v>
      </c>
      <c r="G760" s="79" t="s">
        <v>418</v>
      </c>
    </row>
    <row r="761" spans="1:7">
      <c r="A761" s="8" t="s">
        <v>4</v>
      </c>
      <c r="B761" s="1" t="s">
        <v>5</v>
      </c>
      <c r="C761" s="8"/>
      <c r="D761" s="9"/>
      <c r="E761" s="19"/>
      <c r="F761" s="2"/>
      <c r="G761" s="2"/>
    </row>
    <row r="762" spans="1:7">
      <c r="A762" s="8">
        <v>1</v>
      </c>
      <c r="B762" s="1" t="s">
        <v>48</v>
      </c>
      <c r="C762" s="8" t="s">
        <v>49</v>
      </c>
      <c r="D762" s="9" t="s">
        <v>8</v>
      </c>
      <c r="E762" s="10" t="s">
        <v>50</v>
      </c>
      <c r="F762" s="83">
        <f>VLOOKUP(B762,'HSD UPAH,BAHAN,ALAT'!$C$6:F997,4,FALSE)</f>
        <v>100000</v>
      </c>
      <c r="G762" s="84">
        <f t="shared" ref="G762:G765" si="90">E762*F762</f>
        <v>4000</v>
      </c>
    </row>
    <row r="763" spans="1:7">
      <c r="A763" s="8">
        <v>2</v>
      </c>
      <c r="B763" s="1" t="s">
        <v>6</v>
      </c>
      <c r="C763" s="8" t="s">
        <v>7</v>
      </c>
      <c r="D763" s="9" t="s">
        <v>8</v>
      </c>
      <c r="E763" s="10" t="s">
        <v>50</v>
      </c>
      <c r="F763" s="83">
        <f>VLOOKUP(B763,'HSD UPAH,BAHAN,ALAT'!$C$6:F998,4,FALSE)</f>
        <v>100000</v>
      </c>
      <c r="G763" s="84">
        <f t="shared" si="90"/>
        <v>4000</v>
      </c>
    </row>
    <row r="764" spans="1:7">
      <c r="A764" s="8">
        <v>3</v>
      </c>
      <c r="B764" s="1" t="s">
        <v>10</v>
      </c>
      <c r="C764" s="8" t="s">
        <v>11</v>
      </c>
      <c r="D764" s="9" t="s">
        <v>8</v>
      </c>
      <c r="E764" s="10" t="s">
        <v>51</v>
      </c>
      <c r="F764" s="83">
        <f>VLOOKUP(B764,'HSD UPAH,BAHAN,ALAT'!$C$6:F999,4,FALSE)</f>
        <v>120000</v>
      </c>
      <c r="G764" s="84">
        <f t="shared" si="90"/>
        <v>1560</v>
      </c>
    </row>
    <row r="765" spans="1:7">
      <c r="A765" s="8">
        <v>4</v>
      </c>
      <c r="B765" s="1" t="s">
        <v>13</v>
      </c>
      <c r="C765" s="8" t="s">
        <v>14</v>
      </c>
      <c r="D765" s="9" t="s">
        <v>8</v>
      </c>
      <c r="E765" s="10" t="s">
        <v>52</v>
      </c>
      <c r="F765" s="83">
        <f>VLOOKUP(B765,'HSD UPAH,BAHAN,ALAT'!$C$6:F1000,4,FALSE)</f>
        <v>100000</v>
      </c>
      <c r="G765" s="84">
        <f t="shared" si="90"/>
        <v>430</v>
      </c>
    </row>
    <row r="766" spans="1:7">
      <c r="A766" s="261" t="s">
        <v>420</v>
      </c>
      <c r="B766" s="261"/>
      <c r="C766" s="261"/>
      <c r="D766" s="261"/>
      <c r="E766" s="261"/>
      <c r="F766" s="261"/>
      <c r="G766" s="85">
        <f>SUM(G762:G765)</f>
        <v>9990</v>
      </c>
    </row>
    <row r="767" spans="1:7">
      <c r="A767" s="8" t="s">
        <v>16</v>
      </c>
      <c r="B767" s="1" t="s">
        <v>17</v>
      </c>
      <c r="C767" s="8"/>
      <c r="D767" s="9"/>
      <c r="E767" s="19"/>
      <c r="F767" s="2"/>
      <c r="G767" s="2"/>
    </row>
    <row r="768" spans="1:7" ht="30">
      <c r="A768" s="17" t="s">
        <v>208</v>
      </c>
      <c r="B768" s="5" t="s">
        <v>259</v>
      </c>
      <c r="C768" s="17"/>
      <c r="D768" s="12" t="s">
        <v>86</v>
      </c>
      <c r="E768" s="7" t="s">
        <v>87</v>
      </c>
      <c r="F768" s="83">
        <f>VLOOKUP(B768,'HSD UPAH,BAHAN,ALAT'!$C$6:F1003,4,FALSE)</f>
        <v>10000</v>
      </c>
      <c r="G768" s="84">
        <f t="shared" ref="G768:G769" si="91">E768*F768</f>
        <v>10500</v>
      </c>
    </row>
    <row r="769" spans="1:7">
      <c r="A769" s="8">
        <v>2</v>
      </c>
      <c r="B769" s="1" t="s">
        <v>18</v>
      </c>
      <c r="C769" s="8"/>
      <c r="D769" s="9" t="s">
        <v>19</v>
      </c>
      <c r="E769" s="10" t="s">
        <v>53</v>
      </c>
      <c r="F769" s="83">
        <f>VLOOKUP(B769,'HSD UPAH,BAHAN,ALAT'!$C$6:F1004,4,FALSE)</f>
        <v>10000</v>
      </c>
      <c r="G769" s="84">
        <f t="shared" si="91"/>
        <v>100</v>
      </c>
    </row>
    <row r="770" spans="1:7">
      <c r="A770" s="8">
        <v>3</v>
      </c>
      <c r="B770" s="1" t="s">
        <v>21</v>
      </c>
      <c r="C770" s="8"/>
      <c r="D770" s="9"/>
      <c r="E770" s="19"/>
      <c r="F770" s="2"/>
      <c r="G770" s="2"/>
    </row>
    <row r="771" spans="1:7">
      <c r="A771" s="8" t="s">
        <v>22</v>
      </c>
      <c r="B771" s="1" t="s">
        <v>54</v>
      </c>
      <c r="C771" s="8"/>
      <c r="D771" s="9" t="s">
        <v>24</v>
      </c>
      <c r="E771" s="10" t="s">
        <v>55</v>
      </c>
      <c r="F771" s="83">
        <f>VLOOKUP(B771,'HSD UPAH,BAHAN,ALAT'!$C$6:F1006,4,FALSE)</f>
        <v>10000</v>
      </c>
      <c r="G771" s="84">
        <f t="shared" ref="G771:G772" si="92">E771*F771</f>
        <v>120000</v>
      </c>
    </row>
    <row r="772" spans="1:7">
      <c r="A772" s="8" t="s">
        <v>30</v>
      </c>
      <c r="B772" s="1" t="s">
        <v>56</v>
      </c>
      <c r="C772" s="8"/>
      <c r="D772" s="9" t="s">
        <v>24</v>
      </c>
      <c r="E772" s="10" t="s">
        <v>57</v>
      </c>
      <c r="F772" s="83">
        <f>VLOOKUP(B772,'HSD UPAH,BAHAN,ALAT'!$C$6:F1007,4,FALSE)</f>
        <v>10000</v>
      </c>
      <c r="G772" s="84">
        <f t="shared" si="92"/>
        <v>100000</v>
      </c>
    </row>
    <row r="773" spans="1:7">
      <c r="A773" s="8">
        <v>4</v>
      </c>
      <c r="B773" s="1" t="s">
        <v>26</v>
      </c>
      <c r="C773" s="8"/>
      <c r="D773" s="9"/>
      <c r="E773" s="19"/>
      <c r="F773" s="2"/>
      <c r="G773" s="2"/>
    </row>
    <row r="774" spans="1:7">
      <c r="A774" s="8" t="s">
        <v>22</v>
      </c>
      <c r="B774" s="1" t="s">
        <v>27</v>
      </c>
      <c r="C774" s="8"/>
      <c r="D774" s="9" t="s">
        <v>28</v>
      </c>
      <c r="E774" s="10" t="s">
        <v>58</v>
      </c>
      <c r="F774" s="83">
        <f>VLOOKUP(B774,'HSD UPAH,BAHAN,ALAT'!$C$6:F1009,4,FALSE)</f>
        <v>10000</v>
      </c>
      <c r="G774" s="84">
        <f t="shared" ref="G774:G776" si="93">E774*F774</f>
        <v>490</v>
      </c>
    </row>
    <row r="775" spans="1:7">
      <c r="A775" s="8" t="s">
        <v>30</v>
      </c>
      <c r="B775" s="1" t="s">
        <v>31</v>
      </c>
      <c r="C775" s="8"/>
      <c r="D775" s="9" t="s">
        <v>28</v>
      </c>
      <c r="E775" s="10" t="s">
        <v>51</v>
      </c>
      <c r="F775" s="83">
        <f>VLOOKUP(B775,'HSD UPAH,BAHAN,ALAT'!$C$6:F1010,4,FALSE)</f>
        <v>10000</v>
      </c>
      <c r="G775" s="84">
        <f t="shared" si="93"/>
        <v>130</v>
      </c>
    </row>
    <row r="776" spans="1:7">
      <c r="A776" s="8" t="s">
        <v>33</v>
      </c>
      <c r="B776" s="1" t="s">
        <v>34</v>
      </c>
      <c r="C776" s="8"/>
      <c r="D776" s="9" t="s">
        <v>28</v>
      </c>
      <c r="E776" s="10" t="s">
        <v>59</v>
      </c>
      <c r="F776" s="83">
        <f>VLOOKUP(B776,'HSD UPAH,BAHAN,ALAT'!$C$6:F1011,4,FALSE)</f>
        <v>10000</v>
      </c>
      <c r="G776" s="84">
        <f t="shared" si="93"/>
        <v>30</v>
      </c>
    </row>
    <row r="777" spans="1:7">
      <c r="A777" s="261" t="s">
        <v>421</v>
      </c>
      <c r="B777" s="261"/>
      <c r="C777" s="261"/>
      <c r="D777" s="261"/>
      <c r="E777" s="261"/>
      <c r="F777" s="261"/>
      <c r="G777" s="85">
        <f>SUM(G768:G776)</f>
        <v>231250</v>
      </c>
    </row>
    <row r="778" spans="1:7">
      <c r="A778" s="8" t="s">
        <v>36</v>
      </c>
      <c r="B778" s="1" t="s">
        <v>37</v>
      </c>
      <c r="C778" s="8"/>
      <c r="D778" s="9"/>
      <c r="E778" s="19"/>
      <c r="F778" s="2"/>
      <c r="G778" s="2"/>
    </row>
    <row r="779" spans="1:7">
      <c r="A779" s="263" t="s">
        <v>419</v>
      </c>
      <c r="B779" s="263"/>
      <c r="C779" s="263"/>
      <c r="D779" s="263"/>
      <c r="E779" s="263"/>
      <c r="F779" s="263"/>
      <c r="G779" s="80">
        <f>SUM(G778)</f>
        <v>0</v>
      </c>
    </row>
    <row r="780" spans="1:7">
      <c r="A780" s="81" t="s">
        <v>38</v>
      </c>
      <c r="B780" s="262" t="s">
        <v>39</v>
      </c>
      <c r="C780" s="262"/>
      <c r="D780" s="262"/>
      <c r="E780" s="262"/>
      <c r="F780" s="262"/>
      <c r="G780" s="80">
        <f>SUM(G762:G779)/2</f>
        <v>241240</v>
      </c>
    </row>
    <row r="781" spans="1:7">
      <c r="A781" s="81" t="s">
        <v>40</v>
      </c>
      <c r="B781" s="262" t="s">
        <v>180</v>
      </c>
      <c r="C781" s="262"/>
      <c r="D781" s="262"/>
      <c r="E781" s="262"/>
      <c r="F781" s="82">
        <v>0.1</v>
      </c>
      <c r="G781" s="80">
        <f>G780*F781</f>
        <v>24124</v>
      </c>
    </row>
    <row r="782" spans="1:7">
      <c r="A782" s="81" t="s">
        <v>41</v>
      </c>
      <c r="B782" s="262" t="s">
        <v>42</v>
      </c>
      <c r="C782" s="262"/>
      <c r="D782" s="262"/>
      <c r="E782" s="262"/>
      <c r="F782" s="262"/>
      <c r="G782" s="80">
        <f>G780+G781</f>
        <v>265364</v>
      </c>
    </row>
    <row r="783" spans="1:7">
      <c r="A783" s="90"/>
      <c r="B783" s="91"/>
      <c r="C783" s="91"/>
      <c r="D783" s="91"/>
      <c r="E783" s="91"/>
      <c r="F783" s="91"/>
      <c r="G783" s="92"/>
    </row>
    <row r="784" spans="1:7">
      <c r="A784" s="4" t="s">
        <v>494</v>
      </c>
      <c r="B784" s="91"/>
      <c r="C784" s="91"/>
      <c r="D784" s="91"/>
      <c r="E784" s="91"/>
      <c r="F784" s="91"/>
      <c r="G784" s="92"/>
    </row>
    <row r="785" spans="1:7" ht="30">
      <c r="A785" s="79" t="s">
        <v>0</v>
      </c>
      <c r="B785" s="79" t="s">
        <v>1</v>
      </c>
      <c r="C785" s="79" t="s">
        <v>207</v>
      </c>
      <c r="D785" s="79" t="s">
        <v>3</v>
      </c>
      <c r="E785" s="79" t="s">
        <v>2</v>
      </c>
      <c r="F785" s="79" t="s">
        <v>417</v>
      </c>
      <c r="G785" s="79" t="s">
        <v>418</v>
      </c>
    </row>
    <row r="786" spans="1:7">
      <c r="A786" s="8" t="s">
        <v>4</v>
      </c>
      <c r="B786" s="1" t="s">
        <v>5</v>
      </c>
      <c r="C786" s="8"/>
      <c r="D786" s="9"/>
      <c r="E786" s="19"/>
      <c r="F786" s="2"/>
      <c r="G786" s="2"/>
    </row>
    <row r="787" spans="1:7">
      <c r="A787" s="8">
        <v>1</v>
      </c>
      <c r="B787" s="1" t="s">
        <v>48</v>
      </c>
      <c r="C787" s="8" t="s">
        <v>49</v>
      </c>
      <c r="D787" s="9" t="s">
        <v>8</v>
      </c>
      <c r="E787" s="10" t="s">
        <v>50</v>
      </c>
      <c r="F787" s="83">
        <f>VLOOKUP(B787,'HSD UPAH,BAHAN,ALAT'!$C$6:F1020,4,FALSE)</f>
        <v>100000</v>
      </c>
      <c r="G787" s="84">
        <f t="shared" ref="G787:G790" si="94">E787*F787</f>
        <v>4000</v>
      </c>
    </row>
    <row r="788" spans="1:7">
      <c r="A788" s="8">
        <v>2</v>
      </c>
      <c r="B788" s="1" t="s">
        <v>6</v>
      </c>
      <c r="C788" s="8" t="s">
        <v>7</v>
      </c>
      <c r="D788" s="9" t="s">
        <v>8</v>
      </c>
      <c r="E788" s="10" t="s">
        <v>50</v>
      </c>
      <c r="F788" s="83">
        <f>VLOOKUP(B788,'HSD UPAH,BAHAN,ALAT'!$C$6:F1021,4,FALSE)</f>
        <v>100000</v>
      </c>
      <c r="G788" s="84">
        <f t="shared" si="94"/>
        <v>4000</v>
      </c>
    </row>
    <row r="789" spans="1:7">
      <c r="A789" s="8">
        <v>3</v>
      </c>
      <c r="B789" s="1" t="s">
        <v>10</v>
      </c>
      <c r="C789" s="8" t="s">
        <v>11</v>
      </c>
      <c r="D789" s="9" t="s">
        <v>8</v>
      </c>
      <c r="E789" s="10" t="s">
        <v>51</v>
      </c>
      <c r="F789" s="83">
        <f>VLOOKUP(B789,'HSD UPAH,BAHAN,ALAT'!$C$6:F1022,4,FALSE)</f>
        <v>120000</v>
      </c>
      <c r="G789" s="84">
        <f t="shared" si="94"/>
        <v>1560</v>
      </c>
    </row>
    <row r="790" spans="1:7">
      <c r="A790" s="8">
        <v>4</v>
      </c>
      <c r="B790" s="1" t="s">
        <v>13</v>
      </c>
      <c r="C790" s="8" t="s">
        <v>14</v>
      </c>
      <c r="D790" s="9" t="s">
        <v>8</v>
      </c>
      <c r="E790" s="10" t="s">
        <v>52</v>
      </c>
      <c r="F790" s="83">
        <f>VLOOKUP(B790,'HSD UPAH,BAHAN,ALAT'!$C$6:F1023,4,FALSE)</f>
        <v>100000</v>
      </c>
      <c r="G790" s="84">
        <f t="shared" si="94"/>
        <v>430</v>
      </c>
    </row>
    <row r="791" spans="1:7">
      <c r="A791" s="261" t="s">
        <v>420</v>
      </c>
      <c r="B791" s="261"/>
      <c r="C791" s="261"/>
      <c r="D791" s="261"/>
      <c r="E791" s="261"/>
      <c r="F791" s="261"/>
      <c r="G791" s="85">
        <f>SUM(G787:G790)</f>
        <v>9990</v>
      </c>
    </row>
    <row r="792" spans="1:7">
      <c r="A792" s="8" t="s">
        <v>16</v>
      </c>
      <c r="B792" s="1" t="s">
        <v>17</v>
      </c>
      <c r="C792" s="8"/>
      <c r="D792" s="9"/>
      <c r="E792" s="19"/>
      <c r="F792" s="2"/>
      <c r="G792" s="2"/>
    </row>
    <row r="793" spans="1:7" ht="30">
      <c r="A793" s="17" t="s">
        <v>208</v>
      </c>
      <c r="B793" s="5" t="s">
        <v>260</v>
      </c>
      <c r="C793" s="17"/>
      <c r="D793" s="12" t="s">
        <v>86</v>
      </c>
      <c r="E793" s="7" t="s">
        <v>87</v>
      </c>
      <c r="F793" s="83">
        <f>VLOOKUP(B793,'HSD UPAH,BAHAN,ALAT'!$C$6:F1026,4,FALSE)</f>
        <v>10000</v>
      </c>
      <c r="G793" s="84">
        <f t="shared" ref="G793:G794" si="95">E793*F793</f>
        <v>10500</v>
      </c>
    </row>
    <row r="794" spans="1:7">
      <c r="A794" s="8">
        <v>2</v>
      </c>
      <c r="B794" s="1" t="s">
        <v>18</v>
      </c>
      <c r="C794" s="8"/>
      <c r="D794" s="9" t="s">
        <v>19</v>
      </c>
      <c r="E794" s="10" t="s">
        <v>53</v>
      </c>
      <c r="F794" s="83">
        <f>VLOOKUP(B794,'HSD UPAH,BAHAN,ALAT'!$C$6:F1027,4,FALSE)</f>
        <v>10000</v>
      </c>
      <c r="G794" s="84">
        <f t="shared" si="95"/>
        <v>100</v>
      </c>
    </row>
    <row r="795" spans="1:7">
      <c r="A795" s="8">
        <v>3</v>
      </c>
      <c r="B795" s="1" t="s">
        <v>21</v>
      </c>
      <c r="C795" s="8"/>
      <c r="D795" s="9"/>
      <c r="E795" s="19"/>
      <c r="F795" s="2"/>
      <c r="G795" s="2"/>
    </row>
    <row r="796" spans="1:7">
      <c r="A796" s="8" t="s">
        <v>22</v>
      </c>
      <c r="B796" s="1" t="s">
        <v>54</v>
      </c>
      <c r="C796" s="8"/>
      <c r="D796" s="9" t="s">
        <v>24</v>
      </c>
      <c r="E796" s="10" t="s">
        <v>55</v>
      </c>
      <c r="F796" s="83">
        <f>VLOOKUP(B796,'HSD UPAH,BAHAN,ALAT'!$C$6:F1029,4,FALSE)</f>
        <v>10000</v>
      </c>
      <c r="G796" s="84">
        <f t="shared" ref="G796:G797" si="96">E796*F796</f>
        <v>120000</v>
      </c>
    </row>
    <row r="797" spans="1:7">
      <c r="A797" s="8" t="s">
        <v>30</v>
      </c>
      <c r="B797" s="1" t="s">
        <v>56</v>
      </c>
      <c r="C797" s="8"/>
      <c r="D797" s="9" t="s">
        <v>24</v>
      </c>
      <c r="E797" s="10" t="s">
        <v>57</v>
      </c>
      <c r="F797" s="83">
        <f>VLOOKUP(B797,'HSD UPAH,BAHAN,ALAT'!$C$6:F1030,4,FALSE)</f>
        <v>10000</v>
      </c>
      <c r="G797" s="84">
        <f t="shared" si="96"/>
        <v>100000</v>
      </c>
    </row>
    <row r="798" spans="1:7">
      <c r="A798" s="8">
        <v>4</v>
      </c>
      <c r="B798" s="1" t="s">
        <v>26</v>
      </c>
      <c r="C798" s="8"/>
      <c r="D798" s="9"/>
      <c r="E798" s="19"/>
      <c r="F798" s="2"/>
      <c r="G798" s="2"/>
    </row>
    <row r="799" spans="1:7">
      <c r="A799" s="8" t="s">
        <v>22</v>
      </c>
      <c r="B799" s="1" t="s">
        <v>27</v>
      </c>
      <c r="C799" s="8"/>
      <c r="D799" s="9" t="s">
        <v>28</v>
      </c>
      <c r="E799" s="10" t="s">
        <v>58</v>
      </c>
      <c r="F799" s="83">
        <f>VLOOKUP(B799,'HSD UPAH,BAHAN,ALAT'!$C$6:F1032,4,FALSE)</f>
        <v>10000</v>
      </c>
      <c r="G799" s="84">
        <f t="shared" ref="G799:G801" si="97">E799*F799</f>
        <v>490</v>
      </c>
    </row>
    <row r="800" spans="1:7">
      <c r="A800" s="8" t="s">
        <v>30</v>
      </c>
      <c r="B800" s="1" t="s">
        <v>31</v>
      </c>
      <c r="C800" s="8"/>
      <c r="D800" s="9" t="s">
        <v>28</v>
      </c>
      <c r="E800" s="10" t="s">
        <v>51</v>
      </c>
      <c r="F800" s="83">
        <f>VLOOKUP(B800,'HSD UPAH,BAHAN,ALAT'!$C$6:F1033,4,FALSE)</f>
        <v>10000</v>
      </c>
      <c r="G800" s="84">
        <f t="shared" si="97"/>
        <v>130</v>
      </c>
    </row>
    <row r="801" spans="1:7">
      <c r="A801" s="8" t="s">
        <v>33</v>
      </c>
      <c r="B801" s="1" t="s">
        <v>34</v>
      </c>
      <c r="C801" s="8"/>
      <c r="D801" s="9" t="s">
        <v>28</v>
      </c>
      <c r="E801" s="10" t="s">
        <v>59</v>
      </c>
      <c r="F801" s="83">
        <f>VLOOKUP(B801,'HSD UPAH,BAHAN,ALAT'!$C$6:F1034,4,FALSE)</f>
        <v>10000</v>
      </c>
      <c r="G801" s="84">
        <f t="shared" si="97"/>
        <v>30</v>
      </c>
    </row>
    <row r="802" spans="1:7">
      <c r="A802" s="261" t="s">
        <v>421</v>
      </c>
      <c r="B802" s="261"/>
      <c r="C802" s="261"/>
      <c r="D802" s="261"/>
      <c r="E802" s="261"/>
      <c r="F802" s="261"/>
      <c r="G802" s="85">
        <f>SUM(G793:G801)</f>
        <v>231250</v>
      </c>
    </row>
    <row r="803" spans="1:7">
      <c r="A803" s="8" t="s">
        <v>36</v>
      </c>
      <c r="B803" s="1" t="s">
        <v>37</v>
      </c>
      <c r="C803" s="8"/>
      <c r="D803" s="9"/>
      <c r="E803" s="19"/>
      <c r="F803" s="2"/>
      <c r="G803" s="2"/>
    </row>
    <row r="804" spans="1:7">
      <c r="A804" s="263" t="s">
        <v>419</v>
      </c>
      <c r="B804" s="263"/>
      <c r="C804" s="263"/>
      <c r="D804" s="263"/>
      <c r="E804" s="263"/>
      <c r="F804" s="263"/>
      <c r="G804" s="80">
        <f>SUM(G803)</f>
        <v>0</v>
      </c>
    </row>
    <row r="805" spans="1:7">
      <c r="A805" s="81" t="s">
        <v>38</v>
      </c>
      <c r="B805" s="262" t="s">
        <v>39</v>
      </c>
      <c r="C805" s="262"/>
      <c r="D805" s="262"/>
      <c r="E805" s="262"/>
      <c r="F805" s="262"/>
      <c r="G805" s="80">
        <f>SUM(G787:G804)/2</f>
        <v>241240</v>
      </c>
    </row>
    <row r="806" spans="1:7">
      <c r="A806" s="81" t="s">
        <v>40</v>
      </c>
      <c r="B806" s="262" t="s">
        <v>180</v>
      </c>
      <c r="C806" s="262"/>
      <c r="D806" s="262"/>
      <c r="E806" s="262"/>
      <c r="F806" s="82">
        <v>0.1</v>
      </c>
      <c r="G806" s="80">
        <f>G805*F806</f>
        <v>24124</v>
      </c>
    </row>
    <row r="807" spans="1:7">
      <c r="A807" s="81" t="s">
        <v>41</v>
      </c>
      <c r="B807" s="262" t="s">
        <v>42</v>
      </c>
      <c r="C807" s="262"/>
      <c r="D807" s="262"/>
      <c r="E807" s="262"/>
      <c r="F807" s="262"/>
      <c r="G807" s="80">
        <f>G805+G806</f>
        <v>265364</v>
      </c>
    </row>
    <row r="808" spans="1:7">
      <c r="A808" s="90"/>
      <c r="B808" s="91"/>
      <c r="C808" s="91"/>
      <c r="D808" s="91"/>
      <c r="E808" s="91"/>
      <c r="F808" s="91"/>
      <c r="G808" s="92"/>
    </row>
    <row r="809" spans="1:7">
      <c r="A809" s="4" t="s">
        <v>495</v>
      </c>
      <c r="B809" s="91"/>
      <c r="C809" s="91"/>
      <c r="D809" s="91"/>
      <c r="E809" s="91"/>
      <c r="F809" s="91"/>
      <c r="G809" s="92"/>
    </row>
    <row r="810" spans="1:7" ht="30">
      <c r="A810" s="79" t="s">
        <v>0</v>
      </c>
      <c r="B810" s="79" t="s">
        <v>1</v>
      </c>
      <c r="C810" s="79" t="s">
        <v>207</v>
      </c>
      <c r="D810" s="79" t="s">
        <v>3</v>
      </c>
      <c r="E810" s="79" t="s">
        <v>2</v>
      </c>
      <c r="F810" s="79" t="s">
        <v>417</v>
      </c>
      <c r="G810" s="79" t="s">
        <v>418</v>
      </c>
    </row>
    <row r="811" spans="1:7">
      <c r="A811" s="8" t="s">
        <v>4</v>
      </c>
      <c r="B811" s="1" t="s">
        <v>5</v>
      </c>
      <c r="C811" s="8"/>
      <c r="D811" s="9"/>
      <c r="E811" s="19"/>
      <c r="F811" s="2"/>
      <c r="G811" s="2"/>
    </row>
    <row r="812" spans="1:7">
      <c r="A812" s="8">
        <v>1</v>
      </c>
      <c r="B812" s="1" t="s">
        <v>48</v>
      </c>
      <c r="C812" s="8" t="s">
        <v>49</v>
      </c>
      <c r="D812" s="9" t="s">
        <v>8</v>
      </c>
      <c r="E812" s="10" t="s">
        <v>50</v>
      </c>
      <c r="F812" s="83">
        <f>VLOOKUP(B812,'HSD UPAH,BAHAN,ALAT'!$C$6:F1043,4,FALSE)</f>
        <v>100000</v>
      </c>
      <c r="G812" s="84">
        <f t="shared" ref="G812:G815" si="98">E812*F812</f>
        <v>4000</v>
      </c>
    </row>
    <row r="813" spans="1:7">
      <c r="A813" s="8">
        <v>2</v>
      </c>
      <c r="B813" s="1" t="s">
        <v>6</v>
      </c>
      <c r="C813" s="8" t="s">
        <v>7</v>
      </c>
      <c r="D813" s="9" t="s">
        <v>8</v>
      </c>
      <c r="E813" s="10" t="s">
        <v>50</v>
      </c>
      <c r="F813" s="83">
        <f>VLOOKUP(B813,'HSD UPAH,BAHAN,ALAT'!$C$6:F1044,4,FALSE)</f>
        <v>100000</v>
      </c>
      <c r="G813" s="84">
        <f t="shared" si="98"/>
        <v>4000</v>
      </c>
    </row>
    <row r="814" spans="1:7">
      <c r="A814" s="8">
        <v>3</v>
      </c>
      <c r="B814" s="1" t="s">
        <v>10</v>
      </c>
      <c r="C814" s="8" t="s">
        <v>11</v>
      </c>
      <c r="D814" s="9" t="s">
        <v>8</v>
      </c>
      <c r="E814" s="10" t="s">
        <v>51</v>
      </c>
      <c r="F814" s="83">
        <f>VLOOKUP(B814,'HSD UPAH,BAHAN,ALAT'!$C$6:F1045,4,FALSE)</f>
        <v>120000</v>
      </c>
      <c r="G814" s="84">
        <f t="shared" si="98"/>
        <v>1560</v>
      </c>
    </row>
    <row r="815" spans="1:7">
      <c r="A815" s="8">
        <v>4</v>
      </c>
      <c r="B815" s="1" t="s">
        <v>13</v>
      </c>
      <c r="C815" s="8" t="s">
        <v>14</v>
      </c>
      <c r="D815" s="9" t="s">
        <v>8</v>
      </c>
      <c r="E815" s="10" t="s">
        <v>52</v>
      </c>
      <c r="F815" s="83">
        <f>VLOOKUP(B815,'HSD UPAH,BAHAN,ALAT'!$C$6:F1046,4,FALSE)</f>
        <v>100000</v>
      </c>
      <c r="G815" s="84">
        <f t="shared" si="98"/>
        <v>430</v>
      </c>
    </row>
    <row r="816" spans="1:7">
      <c r="A816" s="261" t="s">
        <v>420</v>
      </c>
      <c r="B816" s="261"/>
      <c r="C816" s="261"/>
      <c r="D816" s="261"/>
      <c r="E816" s="261"/>
      <c r="F816" s="261"/>
      <c r="G816" s="85">
        <f>SUM(G812:G815)</f>
        <v>9990</v>
      </c>
    </row>
    <row r="817" spans="1:7">
      <c r="A817" s="8" t="s">
        <v>16</v>
      </c>
      <c r="B817" s="1" t="s">
        <v>17</v>
      </c>
      <c r="C817" s="8"/>
      <c r="D817" s="9"/>
      <c r="E817" s="19"/>
      <c r="F817" s="2"/>
      <c r="G817" s="2"/>
    </row>
    <row r="818" spans="1:7">
      <c r="A818" s="17" t="s">
        <v>208</v>
      </c>
      <c r="B818" s="1" t="s">
        <v>261</v>
      </c>
      <c r="C818" s="8"/>
      <c r="D818" s="7" t="s">
        <v>86</v>
      </c>
      <c r="E818" s="6" t="s">
        <v>87</v>
      </c>
      <c r="F818" s="83">
        <f>VLOOKUP(B818,'HSD UPAH,BAHAN,ALAT'!$C$6:F1049,4,FALSE)</f>
        <v>10000</v>
      </c>
      <c r="G818" s="84">
        <f t="shared" ref="G818:G819" si="99">E818*F818</f>
        <v>10500</v>
      </c>
    </row>
    <row r="819" spans="1:7">
      <c r="A819" s="8">
        <v>2</v>
      </c>
      <c r="B819" s="1" t="s">
        <v>18</v>
      </c>
      <c r="C819" s="8"/>
      <c r="D819" s="9" t="s">
        <v>19</v>
      </c>
      <c r="E819" s="10" t="s">
        <v>53</v>
      </c>
      <c r="F819" s="83">
        <f>VLOOKUP(B819,'HSD UPAH,BAHAN,ALAT'!$C$6:F1050,4,FALSE)</f>
        <v>10000</v>
      </c>
      <c r="G819" s="84">
        <f t="shared" si="99"/>
        <v>100</v>
      </c>
    </row>
    <row r="820" spans="1:7">
      <c r="A820" s="8">
        <v>3</v>
      </c>
      <c r="B820" s="1" t="s">
        <v>21</v>
      </c>
      <c r="C820" s="8"/>
      <c r="D820" s="9"/>
      <c r="E820" s="19"/>
      <c r="F820" s="2"/>
      <c r="G820" s="2"/>
    </row>
    <row r="821" spans="1:7">
      <c r="A821" s="8" t="s">
        <v>22</v>
      </c>
      <c r="B821" s="1" t="s">
        <v>54</v>
      </c>
      <c r="C821" s="8"/>
      <c r="D821" s="9" t="s">
        <v>24</v>
      </c>
      <c r="E821" s="10" t="s">
        <v>55</v>
      </c>
      <c r="F821" s="83">
        <f>VLOOKUP(B821,'HSD UPAH,BAHAN,ALAT'!$C$6:F1052,4,FALSE)</f>
        <v>10000</v>
      </c>
      <c r="G821" s="84">
        <f t="shared" ref="G821:G822" si="100">E821*F821</f>
        <v>120000</v>
      </c>
    </row>
    <row r="822" spans="1:7">
      <c r="A822" s="8" t="s">
        <v>30</v>
      </c>
      <c r="B822" s="1" t="s">
        <v>56</v>
      </c>
      <c r="C822" s="8"/>
      <c r="D822" s="9" t="s">
        <v>24</v>
      </c>
      <c r="E822" s="10" t="s">
        <v>57</v>
      </c>
      <c r="F822" s="83">
        <f>VLOOKUP(B822,'HSD UPAH,BAHAN,ALAT'!$C$6:F1053,4,FALSE)</f>
        <v>10000</v>
      </c>
      <c r="G822" s="84">
        <f t="shared" si="100"/>
        <v>100000</v>
      </c>
    </row>
    <row r="823" spans="1:7">
      <c r="A823" s="8">
        <v>4</v>
      </c>
      <c r="B823" s="1" t="s">
        <v>26</v>
      </c>
      <c r="C823" s="8"/>
      <c r="D823" s="9"/>
      <c r="E823" s="19"/>
      <c r="F823" s="2"/>
      <c r="G823" s="2"/>
    </row>
    <row r="824" spans="1:7">
      <c r="A824" s="8" t="s">
        <v>22</v>
      </c>
      <c r="B824" s="1" t="s">
        <v>27</v>
      </c>
      <c r="C824" s="8"/>
      <c r="D824" s="9" t="s">
        <v>28</v>
      </c>
      <c r="E824" s="10" t="s">
        <v>58</v>
      </c>
      <c r="F824" s="83">
        <f>VLOOKUP(B824,'HSD UPAH,BAHAN,ALAT'!$C$6:F1055,4,FALSE)</f>
        <v>10000</v>
      </c>
      <c r="G824" s="84">
        <f t="shared" ref="G824:G826" si="101">E824*F824</f>
        <v>490</v>
      </c>
    </row>
    <row r="825" spans="1:7">
      <c r="A825" s="8" t="s">
        <v>30</v>
      </c>
      <c r="B825" s="1" t="s">
        <v>31</v>
      </c>
      <c r="C825" s="8"/>
      <c r="D825" s="9" t="s">
        <v>28</v>
      </c>
      <c r="E825" s="10" t="s">
        <v>51</v>
      </c>
      <c r="F825" s="83">
        <f>VLOOKUP(B825,'HSD UPAH,BAHAN,ALAT'!$C$6:F1056,4,FALSE)</f>
        <v>10000</v>
      </c>
      <c r="G825" s="84">
        <f t="shared" si="101"/>
        <v>130</v>
      </c>
    </row>
    <row r="826" spans="1:7">
      <c r="A826" s="8" t="s">
        <v>33</v>
      </c>
      <c r="B826" s="1" t="s">
        <v>34</v>
      </c>
      <c r="C826" s="8"/>
      <c r="D826" s="9" t="s">
        <v>28</v>
      </c>
      <c r="E826" s="10" t="s">
        <v>59</v>
      </c>
      <c r="F826" s="83">
        <f>VLOOKUP(B826,'HSD UPAH,BAHAN,ALAT'!$C$6:F1057,4,FALSE)</f>
        <v>10000</v>
      </c>
      <c r="G826" s="84">
        <f t="shared" si="101"/>
        <v>30</v>
      </c>
    </row>
    <row r="827" spans="1:7">
      <c r="A827" s="261" t="s">
        <v>421</v>
      </c>
      <c r="B827" s="261"/>
      <c r="C827" s="261"/>
      <c r="D827" s="261"/>
      <c r="E827" s="261"/>
      <c r="F827" s="261"/>
      <c r="G827" s="85">
        <f>SUM(G818:G826)</f>
        <v>231250</v>
      </c>
    </row>
    <row r="828" spans="1:7">
      <c r="A828" s="8" t="s">
        <v>36</v>
      </c>
      <c r="B828" s="1" t="s">
        <v>37</v>
      </c>
      <c r="C828" s="8"/>
      <c r="D828" s="9"/>
      <c r="E828" s="19"/>
      <c r="F828" s="2"/>
      <c r="G828" s="2"/>
    </row>
    <row r="829" spans="1:7">
      <c r="A829" s="263" t="s">
        <v>419</v>
      </c>
      <c r="B829" s="263"/>
      <c r="C829" s="263"/>
      <c r="D829" s="263"/>
      <c r="E829" s="263"/>
      <c r="F829" s="263"/>
      <c r="G829" s="80">
        <f>SUM(G828)</f>
        <v>0</v>
      </c>
    </row>
    <row r="830" spans="1:7">
      <c r="A830" s="81" t="s">
        <v>38</v>
      </c>
      <c r="B830" s="262" t="s">
        <v>39</v>
      </c>
      <c r="C830" s="262"/>
      <c r="D830" s="262"/>
      <c r="E830" s="262"/>
      <c r="F830" s="262"/>
      <c r="G830" s="80">
        <f>SUM(G812:G829)/2</f>
        <v>241240</v>
      </c>
    </row>
    <row r="831" spans="1:7">
      <c r="A831" s="81" t="s">
        <v>40</v>
      </c>
      <c r="B831" s="262" t="s">
        <v>180</v>
      </c>
      <c r="C831" s="262"/>
      <c r="D831" s="262"/>
      <c r="E831" s="262"/>
      <c r="F831" s="82">
        <v>0.1</v>
      </c>
      <c r="G831" s="80">
        <f>G830*F831</f>
        <v>24124</v>
      </c>
    </row>
    <row r="832" spans="1:7">
      <c r="A832" s="81" t="s">
        <v>41</v>
      </c>
      <c r="B832" s="262" t="s">
        <v>42</v>
      </c>
      <c r="C832" s="262"/>
      <c r="D832" s="262"/>
      <c r="E832" s="262"/>
      <c r="F832" s="262"/>
      <c r="G832" s="80">
        <f>G830+G831</f>
        <v>265364</v>
      </c>
    </row>
    <row r="833" spans="1:7">
      <c r="A833" s="90"/>
      <c r="B833" s="91"/>
      <c r="C833" s="91"/>
      <c r="D833" s="91"/>
      <c r="E833" s="91"/>
      <c r="F833" s="91"/>
      <c r="G833" s="92"/>
    </row>
    <row r="834" spans="1:7">
      <c r="A834" s="4" t="s">
        <v>496</v>
      </c>
      <c r="B834" s="91"/>
      <c r="C834" s="91"/>
      <c r="D834" s="91"/>
      <c r="E834" s="91"/>
      <c r="F834" s="91"/>
      <c r="G834" s="92"/>
    </row>
    <row r="835" spans="1:7" ht="30">
      <c r="A835" s="79" t="s">
        <v>0</v>
      </c>
      <c r="B835" s="79" t="s">
        <v>1</v>
      </c>
      <c r="C835" s="79" t="s">
        <v>207</v>
      </c>
      <c r="D835" s="79" t="s">
        <v>3</v>
      </c>
      <c r="E835" s="79" t="s">
        <v>2</v>
      </c>
      <c r="F835" s="79" t="s">
        <v>417</v>
      </c>
      <c r="G835" s="79" t="s">
        <v>418</v>
      </c>
    </row>
    <row r="836" spans="1:7">
      <c r="A836" s="8" t="s">
        <v>4</v>
      </c>
      <c r="B836" s="1" t="s">
        <v>5</v>
      </c>
      <c r="C836" s="8"/>
      <c r="D836" s="9"/>
      <c r="E836" s="19"/>
      <c r="F836" s="2"/>
      <c r="G836" s="2"/>
    </row>
    <row r="837" spans="1:7">
      <c r="A837" s="8">
        <v>1</v>
      </c>
      <c r="B837" s="1" t="s">
        <v>48</v>
      </c>
      <c r="C837" s="8" t="s">
        <v>49</v>
      </c>
      <c r="D837" s="9" t="s">
        <v>8</v>
      </c>
      <c r="E837" s="10" t="s">
        <v>50</v>
      </c>
      <c r="F837" s="83">
        <f>VLOOKUP(B837,'HSD UPAH,BAHAN,ALAT'!$C$6:F1066,4,FALSE)</f>
        <v>100000</v>
      </c>
      <c r="G837" s="84">
        <f t="shared" ref="G837:G840" si="102">E837*F837</f>
        <v>4000</v>
      </c>
    </row>
    <row r="838" spans="1:7">
      <c r="A838" s="8">
        <v>2</v>
      </c>
      <c r="B838" s="1" t="s">
        <v>6</v>
      </c>
      <c r="C838" s="8" t="s">
        <v>7</v>
      </c>
      <c r="D838" s="9" t="s">
        <v>8</v>
      </c>
      <c r="E838" s="10" t="s">
        <v>50</v>
      </c>
      <c r="F838" s="83">
        <f>VLOOKUP(B838,'HSD UPAH,BAHAN,ALAT'!$C$6:F1067,4,FALSE)</f>
        <v>100000</v>
      </c>
      <c r="G838" s="84">
        <f t="shared" si="102"/>
        <v>4000</v>
      </c>
    </row>
    <row r="839" spans="1:7">
      <c r="A839" s="8">
        <v>3</v>
      </c>
      <c r="B839" s="1" t="s">
        <v>10</v>
      </c>
      <c r="C839" s="8" t="s">
        <v>11</v>
      </c>
      <c r="D839" s="9" t="s">
        <v>8</v>
      </c>
      <c r="E839" s="10" t="s">
        <v>51</v>
      </c>
      <c r="F839" s="83">
        <f>VLOOKUP(B839,'HSD UPAH,BAHAN,ALAT'!$C$6:F1068,4,FALSE)</f>
        <v>120000</v>
      </c>
      <c r="G839" s="84">
        <f t="shared" si="102"/>
        <v>1560</v>
      </c>
    </row>
    <row r="840" spans="1:7">
      <c r="A840" s="8">
        <v>4</v>
      </c>
      <c r="B840" s="1" t="s">
        <v>13</v>
      </c>
      <c r="C840" s="8" t="s">
        <v>14</v>
      </c>
      <c r="D840" s="9" t="s">
        <v>8</v>
      </c>
      <c r="E840" s="10" t="s">
        <v>52</v>
      </c>
      <c r="F840" s="83">
        <f>VLOOKUP(B840,'HSD UPAH,BAHAN,ALAT'!$C$6:F1069,4,FALSE)</f>
        <v>100000</v>
      </c>
      <c r="G840" s="84">
        <f t="shared" si="102"/>
        <v>430</v>
      </c>
    </row>
    <row r="841" spans="1:7">
      <c r="A841" s="261" t="s">
        <v>420</v>
      </c>
      <c r="B841" s="261"/>
      <c r="C841" s="261"/>
      <c r="D841" s="261"/>
      <c r="E841" s="261"/>
      <c r="F841" s="261"/>
      <c r="G841" s="85">
        <f>SUM(G837:G840)</f>
        <v>9990</v>
      </c>
    </row>
    <row r="842" spans="1:7">
      <c r="A842" s="8" t="s">
        <v>16</v>
      </c>
      <c r="B842" s="1" t="s">
        <v>17</v>
      </c>
      <c r="C842" s="8"/>
      <c r="D842" s="9"/>
      <c r="E842" s="19"/>
      <c r="F842" s="2"/>
      <c r="G842" s="2"/>
    </row>
    <row r="843" spans="1:7" ht="30">
      <c r="A843" s="17" t="s">
        <v>208</v>
      </c>
      <c r="B843" s="5" t="s">
        <v>262</v>
      </c>
      <c r="C843" s="17"/>
      <c r="D843" s="12" t="s">
        <v>86</v>
      </c>
      <c r="E843" s="7" t="s">
        <v>87</v>
      </c>
      <c r="F843" s="83">
        <f>VLOOKUP(B843,'HSD UPAH,BAHAN,ALAT'!$C$6:F1072,4,FALSE)</f>
        <v>10000</v>
      </c>
      <c r="G843" s="84">
        <f t="shared" ref="G843:G844" si="103">E843*F843</f>
        <v>10500</v>
      </c>
    </row>
    <row r="844" spans="1:7">
      <c r="A844" s="8">
        <v>2</v>
      </c>
      <c r="B844" s="1" t="s">
        <v>18</v>
      </c>
      <c r="C844" s="8"/>
      <c r="D844" s="9" t="s">
        <v>19</v>
      </c>
      <c r="E844" s="10" t="s">
        <v>53</v>
      </c>
      <c r="F844" s="83">
        <f>VLOOKUP(B844,'HSD UPAH,BAHAN,ALAT'!$C$6:F1073,4,FALSE)</f>
        <v>10000</v>
      </c>
      <c r="G844" s="84">
        <f t="shared" si="103"/>
        <v>100</v>
      </c>
    </row>
    <row r="845" spans="1:7">
      <c r="A845" s="8">
        <v>3</v>
      </c>
      <c r="B845" s="1" t="s">
        <v>21</v>
      </c>
      <c r="C845" s="8"/>
      <c r="D845" s="9"/>
      <c r="E845" s="19"/>
      <c r="F845" s="2"/>
      <c r="G845" s="2"/>
    </row>
    <row r="846" spans="1:7">
      <c r="A846" s="8" t="s">
        <v>22</v>
      </c>
      <c r="B846" s="1" t="s">
        <v>54</v>
      </c>
      <c r="C846" s="8"/>
      <c r="D846" s="9" t="s">
        <v>24</v>
      </c>
      <c r="E846" s="10" t="s">
        <v>55</v>
      </c>
      <c r="F846" s="83">
        <f>VLOOKUP(B846,'HSD UPAH,BAHAN,ALAT'!$C$6:F1075,4,FALSE)</f>
        <v>10000</v>
      </c>
      <c r="G846" s="84">
        <f t="shared" ref="G846:G847" si="104">E846*F846</f>
        <v>120000</v>
      </c>
    </row>
    <row r="847" spans="1:7">
      <c r="A847" s="8" t="s">
        <v>30</v>
      </c>
      <c r="B847" s="1" t="s">
        <v>56</v>
      </c>
      <c r="C847" s="8"/>
      <c r="D847" s="9" t="s">
        <v>24</v>
      </c>
      <c r="E847" s="10" t="s">
        <v>57</v>
      </c>
      <c r="F847" s="83">
        <f>VLOOKUP(B847,'HSD UPAH,BAHAN,ALAT'!$C$6:F1076,4,FALSE)</f>
        <v>10000</v>
      </c>
      <c r="G847" s="84">
        <f t="shared" si="104"/>
        <v>100000</v>
      </c>
    </row>
    <row r="848" spans="1:7">
      <c r="A848" s="8">
        <v>4</v>
      </c>
      <c r="B848" s="1" t="s">
        <v>26</v>
      </c>
      <c r="C848" s="8"/>
      <c r="D848" s="9"/>
      <c r="E848" s="19"/>
      <c r="F848" s="2"/>
      <c r="G848" s="2"/>
    </row>
    <row r="849" spans="1:7">
      <c r="A849" s="8" t="s">
        <v>22</v>
      </c>
      <c r="B849" s="1" t="s">
        <v>27</v>
      </c>
      <c r="C849" s="8"/>
      <c r="D849" s="9" t="s">
        <v>28</v>
      </c>
      <c r="E849" s="10" t="s">
        <v>58</v>
      </c>
      <c r="F849" s="83">
        <f>VLOOKUP(B849,'HSD UPAH,BAHAN,ALAT'!$C$6:F1078,4,FALSE)</f>
        <v>10000</v>
      </c>
      <c r="G849" s="84">
        <f t="shared" ref="G849:G851" si="105">E849*F849</f>
        <v>490</v>
      </c>
    </row>
    <row r="850" spans="1:7">
      <c r="A850" s="8" t="s">
        <v>30</v>
      </c>
      <c r="B850" s="1" t="s">
        <v>31</v>
      </c>
      <c r="C850" s="8"/>
      <c r="D850" s="9" t="s">
        <v>28</v>
      </c>
      <c r="E850" s="10" t="s">
        <v>51</v>
      </c>
      <c r="F850" s="83">
        <f>VLOOKUP(B850,'HSD UPAH,BAHAN,ALAT'!$C$6:F1079,4,FALSE)</f>
        <v>10000</v>
      </c>
      <c r="G850" s="84">
        <f t="shared" si="105"/>
        <v>130</v>
      </c>
    </row>
    <row r="851" spans="1:7">
      <c r="A851" s="8" t="s">
        <v>33</v>
      </c>
      <c r="B851" s="1" t="s">
        <v>34</v>
      </c>
      <c r="C851" s="8"/>
      <c r="D851" s="9" t="s">
        <v>28</v>
      </c>
      <c r="E851" s="10" t="s">
        <v>59</v>
      </c>
      <c r="F851" s="83">
        <f>VLOOKUP(B851,'HSD UPAH,BAHAN,ALAT'!$C$6:F1080,4,FALSE)</f>
        <v>10000</v>
      </c>
      <c r="G851" s="84">
        <f t="shared" si="105"/>
        <v>30</v>
      </c>
    </row>
    <row r="852" spans="1:7">
      <c r="A852" s="261" t="s">
        <v>421</v>
      </c>
      <c r="B852" s="261"/>
      <c r="C852" s="261"/>
      <c r="D852" s="261"/>
      <c r="E852" s="261"/>
      <c r="F852" s="261"/>
      <c r="G852" s="85">
        <f>SUM(G843:G851)</f>
        <v>231250</v>
      </c>
    </row>
    <row r="853" spans="1:7">
      <c r="A853" s="8" t="s">
        <v>36</v>
      </c>
      <c r="B853" s="1" t="s">
        <v>37</v>
      </c>
      <c r="C853" s="8"/>
      <c r="D853" s="9"/>
      <c r="E853" s="19"/>
      <c r="F853" s="2"/>
      <c r="G853" s="2"/>
    </row>
    <row r="854" spans="1:7">
      <c r="A854" s="263" t="s">
        <v>419</v>
      </c>
      <c r="B854" s="263"/>
      <c r="C854" s="263"/>
      <c r="D854" s="263"/>
      <c r="E854" s="263"/>
      <c r="F854" s="263"/>
      <c r="G854" s="80">
        <f>SUM(G853)</f>
        <v>0</v>
      </c>
    </row>
    <row r="855" spans="1:7">
      <c r="A855" s="81" t="s">
        <v>38</v>
      </c>
      <c r="B855" s="262" t="s">
        <v>39</v>
      </c>
      <c r="C855" s="262"/>
      <c r="D855" s="262"/>
      <c r="E855" s="262"/>
      <c r="F855" s="262"/>
      <c r="G855" s="80">
        <f>SUM(G837:G854)/2</f>
        <v>241240</v>
      </c>
    </row>
    <row r="856" spans="1:7">
      <c r="A856" s="81" t="s">
        <v>40</v>
      </c>
      <c r="B856" s="262" t="s">
        <v>180</v>
      </c>
      <c r="C856" s="262"/>
      <c r="D856" s="262"/>
      <c r="E856" s="262"/>
      <c r="F856" s="82">
        <v>0.1</v>
      </c>
      <c r="G856" s="80">
        <f>G855*F856</f>
        <v>24124</v>
      </c>
    </row>
    <row r="857" spans="1:7">
      <c r="A857" s="81" t="s">
        <v>41</v>
      </c>
      <c r="B857" s="262" t="s">
        <v>42</v>
      </c>
      <c r="C857" s="262"/>
      <c r="D857" s="262"/>
      <c r="E857" s="262"/>
      <c r="F857" s="262"/>
      <c r="G857" s="80">
        <f>G855+G856</f>
        <v>265364</v>
      </c>
    </row>
    <row r="858" spans="1:7">
      <c r="A858" s="90"/>
      <c r="B858" s="91"/>
      <c r="C858" s="91"/>
      <c r="D858" s="91"/>
      <c r="E858" s="91"/>
      <c r="F858" s="91"/>
      <c r="G858" s="92"/>
    </row>
    <row r="859" spans="1:7">
      <c r="A859" s="4" t="s">
        <v>529</v>
      </c>
      <c r="B859" s="91"/>
      <c r="C859" s="91"/>
      <c r="D859" s="91"/>
      <c r="E859" s="91"/>
      <c r="F859" s="91"/>
      <c r="G859" s="92"/>
    </row>
    <row r="860" spans="1:7" ht="30">
      <c r="A860" s="79" t="s">
        <v>0</v>
      </c>
      <c r="B860" s="79" t="s">
        <v>1</v>
      </c>
      <c r="C860" s="79" t="s">
        <v>207</v>
      </c>
      <c r="D860" s="79" t="s">
        <v>3</v>
      </c>
      <c r="E860" s="79" t="s">
        <v>2</v>
      </c>
      <c r="F860" s="79" t="s">
        <v>417</v>
      </c>
      <c r="G860" s="79" t="s">
        <v>418</v>
      </c>
    </row>
    <row r="861" spans="1:7">
      <c r="A861" s="8" t="s">
        <v>4</v>
      </c>
      <c r="B861" s="1" t="s">
        <v>5</v>
      </c>
      <c r="C861" s="8"/>
      <c r="D861" s="9"/>
      <c r="E861" s="19"/>
      <c r="F861" s="2"/>
      <c r="G861" s="2"/>
    </row>
    <row r="862" spans="1:7">
      <c r="A862" s="8">
        <v>1</v>
      </c>
      <c r="B862" s="1" t="s">
        <v>48</v>
      </c>
      <c r="C862" s="8" t="s">
        <v>49</v>
      </c>
      <c r="D862" s="9" t="s">
        <v>8</v>
      </c>
      <c r="E862" s="10" t="s">
        <v>50</v>
      </c>
      <c r="F862" s="83">
        <f>VLOOKUP(B862,'HSD UPAH,BAHAN,ALAT'!$C$6:F1089,4,FALSE)</f>
        <v>100000</v>
      </c>
      <c r="G862" s="84">
        <f t="shared" ref="G862:G865" si="106">E862*F862</f>
        <v>4000</v>
      </c>
    </row>
    <row r="863" spans="1:7">
      <c r="A863" s="8">
        <v>2</v>
      </c>
      <c r="B863" s="1" t="s">
        <v>6</v>
      </c>
      <c r="C863" s="8" t="s">
        <v>7</v>
      </c>
      <c r="D863" s="9" t="s">
        <v>8</v>
      </c>
      <c r="E863" s="10" t="s">
        <v>50</v>
      </c>
      <c r="F863" s="83">
        <f>VLOOKUP(B863,'HSD UPAH,BAHAN,ALAT'!$C$6:F1090,4,FALSE)</f>
        <v>100000</v>
      </c>
      <c r="G863" s="84">
        <f t="shared" si="106"/>
        <v>4000</v>
      </c>
    </row>
    <row r="864" spans="1:7">
      <c r="A864" s="8">
        <v>3</v>
      </c>
      <c r="B864" s="1" t="s">
        <v>10</v>
      </c>
      <c r="C864" s="8" t="s">
        <v>11</v>
      </c>
      <c r="D864" s="9" t="s">
        <v>8</v>
      </c>
      <c r="E864" s="10" t="s">
        <v>51</v>
      </c>
      <c r="F864" s="83">
        <f>VLOOKUP(B864,'HSD UPAH,BAHAN,ALAT'!$C$6:F1091,4,FALSE)</f>
        <v>120000</v>
      </c>
      <c r="G864" s="84">
        <f t="shared" si="106"/>
        <v>1560</v>
      </c>
    </row>
    <row r="865" spans="1:7">
      <c r="A865" s="8">
        <v>4</v>
      </c>
      <c r="B865" s="1" t="s">
        <v>13</v>
      </c>
      <c r="C865" s="8" t="s">
        <v>14</v>
      </c>
      <c r="D865" s="9" t="s">
        <v>8</v>
      </c>
      <c r="E865" s="10" t="s">
        <v>52</v>
      </c>
      <c r="F865" s="83">
        <f>VLOOKUP(B865,'HSD UPAH,BAHAN,ALAT'!$C$6:F1092,4,FALSE)</f>
        <v>100000</v>
      </c>
      <c r="G865" s="84">
        <f t="shared" si="106"/>
        <v>430</v>
      </c>
    </row>
    <row r="866" spans="1:7">
      <c r="A866" s="261" t="s">
        <v>420</v>
      </c>
      <c r="B866" s="261"/>
      <c r="C866" s="261"/>
      <c r="D866" s="261"/>
      <c r="E866" s="261"/>
      <c r="F866" s="261"/>
      <c r="G866" s="85">
        <f>SUM(G862:G865)</f>
        <v>9990</v>
      </c>
    </row>
    <row r="867" spans="1:7">
      <c r="A867" s="8" t="s">
        <v>16</v>
      </c>
      <c r="B867" s="1" t="s">
        <v>17</v>
      </c>
      <c r="C867" s="8"/>
      <c r="D867" s="9"/>
      <c r="E867" s="19"/>
      <c r="F867" s="2"/>
      <c r="G867" s="2"/>
    </row>
    <row r="868" spans="1:7">
      <c r="A868" s="17" t="s">
        <v>208</v>
      </c>
      <c r="B868" s="1" t="s">
        <v>263</v>
      </c>
      <c r="C868" s="8"/>
      <c r="D868" s="7" t="s">
        <v>86</v>
      </c>
      <c r="E868" s="6" t="s">
        <v>87</v>
      </c>
      <c r="F868" s="83">
        <f>VLOOKUP(B868,'HSD UPAH,BAHAN,ALAT'!$C$6:F1095,4,FALSE)</f>
        <v>10000</v>
      </c>
      <c r="G868" s="84">
        <f t="shared" ref="G868:G869" si="107">E868*F868</f>
        <v>10500</v>
      </c>
    </row>
    <row r="869" spans="1:7">
      <c r="A869" s="8">
        <v>2</v>
      </c>
      <c r="B869" s="1" t="s">
        <v>18</v>
      </c>
      <c r="C869" s="8"/>
      <c r="D869" s="9" t="s">
        <v>19</v>
      </c>
      <c r="E869" s="10" t="s">
        <v>53</v>
      </c>
      <c r="F869" s="83">
        <f>VLOOKUP(B869,'HSD UPAH,BAHAN,ALAT'!$C$6:F1096,4,FALSE)</f>
        <v>10000</v>
      </c>
      <c r="G869" s="84">
        <f t="shared" si="107"/>
        <v>100</v>
      </c>
    </row>
    <row r="870" spans="1:7">
      <c r="A870" s="8">
        <v>3</v>
      </c>
      <c r="B870" s="1" t="s">
        <v>21</v>
      </c>
      <c r="C870" s="8"/>
      <c r="D870" s="9"/>
      <c r="E870" s="19"/>
      <c r="F870" s="2"/>
      <c r="G870" s="2"/>
    </row>
    <row r="871" spans="1:7">
      <c r="A871" s="8" t="s">
        <v>22</v>
      </c>
      <c r="B871" s="1" t="s">
        <v>54</v>
      </c>
      <c r="C871" s="8"/>
      <c r="D871" s="9" t="s">
        <v>24</v>
      </c>
      <c r="E871" s="10" t="s">
        <v>55</v>
      </c>
      <c r="F871" s="83">
        <f>VLOOKUP(B871,'HSD UPAH,BAHAN,ALAT'!$C$6:F1098,4,FALSE)</f>
        <v>10000</v>
      </c>
      <c r="G871" s="84">
        <f t="shared" ref="G871:G872" si="108">E871*F871</f>
        <v>120000</v>
      </c>
    </row>
    <row r="872" spans="1:7">
      <c r="A872" s="8" t="s">
        <v>30</v>
      </c>
      <c r="B872" s="1" t="s">
        <v>56</v>
      </c>
      <c r="C872" s="8"/>
      <c r="D872" s="9" t="s">
        <v>24</v>
      </c>
      <c r="E872" s="10" t="s">
        <v>57</v>
      </c>
      <c r="F872" s="83">
        <f>VLOOKUP(B872,'HSD UPAH,BAHAN,ALAT'!$C$6:F1099,4,FALSE)</f>
        <v>10000</v>
      </c>
      <c r="G872" s="84">
        <f t="shared" si="108"/>
        <v>100000</v>
      </c>
    </row>
    <row r="873" spans="1:7">
      <c r="A873" s="8">
        <v>4</v>
      </c>
      <c r="B873" s="1" t="s">
        <v>26</v>
      </c>
      <c r="C873" s="8"/>
      <c r="D873" s="9"/>
      <c r="E873" s="19"/>
      <c r="F873" s="2"/>
      <c r="G873" s="2"/>
    </row>
    <row r="874" spans="1:7">
      <c r="A874" s="8" t="s">
        <v>22</v>
      </c>
      <c r="B874" s="1" t="s">
        <v>27</v>
      </c>
      <c r="C874" s="8"/>
      <c r="D874" s="9" t="s">
        <v>28</v>
      </c>
      <c r="E874" s="10" t="s">
        <v>58</v>
      </c>
      <c r="F874" s="83">
        <f>VLOOKUP(B874,'HSD UPAH,BAHAN,ALAT'!$C$6:F1101,4,FALSE)</f>
        <v>10000</v>
      </c>
      <c r="G874" s="84">
        <f t="shared" ref="G874:G876" si="109">E874*F874</f>
        <v>490</v>
      </c>
    </row>
    <row r="875" spans="1:7">
      <c r="A875" s="8" t="s">
        <v>30</v>
      </c>
      <c r="B875" s="1" t="s">
        <v>31</v>
      </c>
      <c r="C875" s="8"/>
      <c r="D875" s="9" t="s">
        <v>28</v>
      </c>
      <c r="E875" s="10" t="s">
        <v>51</v>
      </c>
      <c r="F875" s="83">
        <f>VLOOKUP(B875,'HSD UPAH,BAHAN,ALAT'!$C$6:F1102,4,FALSE)</f>
        <v>10000</v>
      </c>
      <c r="G875" s="84">
        <f t="shared" si="109"/>
        <v>130</v>
      </c>
    </row>
    <row r="876" spans="1:7">
      <c r="A876" s="8" t="s">
        <v>33</v>
      </c>
      <c r="B876" s="1" t="s">
        <v>34</v>
      </c>
      <c r="C876" s="8"/>
      <c r="D876" s="9" t="s">
        <v>28</v>
      </c>
      <c r="E876" s="10" t="s">
        <v>59</v>
      </c>
      <c r="F876" s="83">
        <f>VLOOKUP(B876,'HSD UPAH,BAHAN,ALAT'!$C$6:F1103,4,FALSE)</f>
        <v>10000</v>
      </c>
      <c r="G876" s="84">
        <f t="shared" si="109"/>
        <v>30</v>
      </c>
    </row>
    <row r="877" spans="1:7">
      <c r="A877" s="261" t="s">
        <v>421</v>
      </c>
      <c r="B877" s="261"/>
      <c r="C877" s="261"/>
      <c r="D877" s="261"/>
      <c r="E877" s="261"/>
      <c r="F877" s="261"/>
      <c r="G877" s="85">
        <f>SUM(G868:G876)</f>
        <v>231250</v>
      </c>
    </row>
    <row r="878" spans="1:7">
      <c r="A878" s="8" t="s">
        <v>36</v>
      </c>
      <c r="B878" s="1" t="s">
        <v>37</v>
      </c>
      <c r="C878" s="8"/>
      <c r="D878" s="9"/>
      <c r="E878" s="19"/>
      <c r="F878" s="2"/>
      <c r="G878" s="2"/>
    </row>
    <row r="879" spans="1:7">
      <c r="A879" s="263" t="s">
        <v>419</v>
      </c>
      <c r="B879" s="263"/>
      <c r="C879" s="263"/>
      <c r="D879" s="263"/>
      <c r="E879" s="263"/>
      <c r="F879" s="263"/>
      <c r="G879" s="80">
        <f>SUM(G878)</f>
        <v>0</v>
      </c>
    </row>
    <row r="880" spans="1:7">
      <c r="A880" s="81" t="s">
        <v>38</v>
      </c>
      <c r="B880" s="262" t="s">
        <v>39</v>
      </c>
      <c r="C880" s="262"/>
      <c r="D880" s="262"/>
      <c r="E880" s="262"/>
      <c r="F880" s="262"/>
      <c r="G880" s="80">
        <f>SUM(G862:G879)/2</f>
        <v>241240</v>
      </c>
    </row>
    <row r="881" spans="1:7">
      <c r="A881" s="81" t="s">
        <v>40</v>
      </c>
      <c r="B881" s="262" t="s">
        <v>180</v>
      </c>
      <c r="C881" s="262"/>
      <c r="D881" s="262"/>
      <c r="E881" s="262"/>
      <c r="F881" s="82">
        <v>0.1</v>
      </c>
      <c r="G881" s="80">
        <f>G880*F881</f>
        <v>24124</v>
      </c>
    </row>
    <row r="882" spans="1:7">
      <c r="A882" s="81" t="s">
        <v>41</v>
      </c>
      <c r="B882" s="262" t="s">
        <v>42</v>
      </c>
      <c r="C882" s="262"/>
      <c r="D882" s="262"/>
      <c r="E882" s="262"/>
      <c r="F882" s="262"/>
      <c r="G882" s="80">
        <f>G880+G881</f>
        <v>265364</v>
      </c>
    </row>
    <row r="883" spans="1:7">
      <c r="A883" s="90"/>
      <c r="B883" s="91"/>
      <c r="C883" s="91"/>
      <c r="D883" s="91"/>
      <c r="E883" s="91"/>
      <c r="F883" s="91"/>
      <c r="G883" s="92"/>
    </row>
    <row r="884" spans="1:7">
      <c r="A884" s="4" t="s">
        <v>530</v>
      </c>
      <c r="B884" s="91"/>
      <c r="C884" s="91"/>
      <c r="D884" s="91"/>
      <c r="E884" s="91"/>
      <c r="F884" s="91"/>
      <c r="G884" s="92"/>
    </row>
    <row r="885" spans="1:7" ht="30">
      <c r="A885" s="79" t="s">
        <v>0</v>
      </c>
      <c r="B885" s="79" t="s">
        <v>1</v>
      </c>
      <c r="C885" s="79" t="s">
        <v>207</v>
      </c>
      <c r="D885" s="79" t="s">
        <v>3</v>
      </c>
      <c r="E885" s="79" t="s">
        <v>2</v>
      </c>
      <c r="F885" s="79" t="s">
        <v>417</v>
      </c>
      <c r="G885" s="79" t="s">
        <v>418</v>
      </c>
    </row>
    <row r="886" spans="1:7">
      <c r="A886" s="8" t="s">
        <v>4</v>
      </c>
      <c r="B886" s="1" t="s">
        <v>5</v>
      </c>
      <c r="C886" s="8"/>
      <c r="D886" s="9"/>
      <c r="E886" s="19"/>
      <c r="F886" s="2"/>
      <c r="G886" s="2"/>
    </row>
    <row r="887" spans="1:7">
      <c r="A887" s="8">
        <v>1</v>
      </c>
      <c r="B887" s="1" t="s">
        <v>48</v>
      </c>
      <c r="C887" s="8" t="s">
        <v>49</v>
      </c>
      <c r="D887" s="9" t="s">
        <v>8</v>
      </c>
      <c r="E887" s="10" t="s">
        <v>50</v>
      </c>
      <c r="F887" s="83">
        <f>VLOOKUP(B887,'HSD UPAH,BAHAN,ALAT'!$C$6:F1112,4,FALSE)</f>
        <v>100000</v>
      </c>
      <c r="G887" s="84">
        <f t="shared" ref="G887:G890" si="110">E887*F887</f>
        <v>4000</v>
      </c>
    </row>
    <row r="888" spans="1:7">
      <c r="A888" s="8">
        <v>2</v>
      </c>
      <c r="B888" s="1" t="s">
        <v>6</v>
      </c>
      <c r="C888" s="8" t="s">
        <v>7</v>
      </c>
      <c r="D888" s="9" t="s">
        <v>8</v>
      </c>
      <c r="E888" s="10" t="s">
        <v>50</v>
      </c>
      <c r="F888" s="83">
        <f>VLOOKUP(B888,'HSD UPAH,BAHAN,ALAT'!$C$6:F1113,4,FALSE)</f>
        <v>100000</v>
      </c>
      <c r="G888" s="84">
        <f t="shared" si="110"/>
        <v>4000</v>
      </c>
    </row>
    <row r="889" spans="1:7">
      <c r="A889" s="8">
        <v>3</v>
      </c>
      <c r="B889" s="1" t="s">
        <v>10</v>
      </c>
      <c r="C889" s="8" t="s">
        <v>11</v>
      </c>
      <c r="D889" s="9" t="s">
        <v>8</v>
      </c>
      <c r="E889" s="10" t="s">
        <v>51</v>
      </c>
      <c r="F889" s="83">
        <f>VLOOKUP(B889,'HSD UPAH,BAHAN,ALAT'!$C$6:F1114,4,FALSE)</f>
        <v>120000</v>
      </c>
      <c r="G889" s="84">
        <f t="shared" si="110"/>
        <v>1560</v>
      </c>
    </row>
    <row r="890" spans="1:7">
      <c r="A890" s="8">
        <v>4</v>
      </c>
      <c r="B890" s="1" t="s">
        <v>13</v>
      </c>
      <c r="C890" s="8" t="s">
        <v>14</v>
      </c>
      <c r="D890" s="9" t="s">
        <v>8</v>
      </c>
      <c r="E890" s="10" t="s">
        <v>52</v>
      </c>
      <c r="F890" s="83">
        <f>VLOOKUP(B890,'HSD UPAH,BAHAN,ALAT'!$C$6:F1115,4,FALSE)</f>
        <v>100000</v>
      </c>
      <c r="G890" s="84">
        <f t="shared" si="110"/>
        <v>430</v>
      </c>
    </row>
    <row r="891" spans="1:7">
      <c r="A891" s="261" t="s">
        <v>420</v>
      </c>
      <c r="B891" s="261"/>
      <c r="C891" s="261"/>
      <c r="D891" s="261"/>
      <c r="E891" s="261"/>
      <c r="F891" s="261"/>
      <c r="G891" s="85">
        <f>SUM(G887:G890)</f>
        <v>9990</v>
      </c>
    </row>
    <row r="892" spans="1:7">
      <c r="A892" s="8" t="s">
        <v>16</v>
      </c>
      <c r="B892" s="1" t="s">
        <v>17</v>
      </c>
      <c r="C892" s="8"/>
      <c r="D892" s="9"/>
      <c r="E892" s="19"/>
      <c r="F892" s="2"/>
      <c r="G892" s="2"/>
    </row>
    <row r="893" spans="1:7" ht="30">
      <c r="A893" s="17" t="s">
        <v>208</v>
      </c>
      <c r="B893" s="5" t="s">
        <v>264</v>
      </c>
      <c r="C893" s="17"/>
      <c r="D893" s="12" t="s">
        <v>86</v>
      </c>
      <c r="E893" s="7" t="s">
        <v>87</v>
      </c>
      <c r="F893" s="83">
        <f>VLOOKUP(B893,'HSD UPAH,BAHAN,ALAT'!$C$6:F1118,4,FALSE)</f>
        <v>10000</v>
      </c>
      <c r="G893" s="84">
        <f t="shared" ref="G893:G894" si="111">E893*F893</f>
        <v>10500</v>
      </c>
    </row>
    <row r="894" spans="1:7">
      <c r="A894" s="8">
        <v>2</v>
      </c>
      <c r="B894" s="1" t="s">
        <v>18</v>
      </c>
      <c r="C894" s="8"/>
      <c r="D894" s="9" t="s">
        <v>19</v>
      </c>
      <c r="E894" s="10" t="s">
        <v>53</v>
      </c>
      <c r="F894" s="83">
        <f>VLOOKUP(B894,'HSD UPAH,BAHAN,ALAT'!$C$6:F1119,4,FALSE)</f>
        <v>10000</v>
      </c>
      <c r="G894" s="84">
        <f t="shared" si="111"/>
        <v>100</v>
      </c>
    </row>
    <row r="895" spans="1:7">
      <c r="A895" s="8">
        <v>3</v>
      </c>
      <c r="B895" s="1" t="s">
        <v>21</v>
      </c>
      <c r="C895" s="8"/>
      <c r="D895" s="9"/>
      <c r="E895" s="19"/>
      <c r="F895" s="2"/>
      <c r="G895" s="2"/>
    </row>
    <row r="896" spans="1:7">
      <c r="A896" s="8" t="s">
        <v>22</v>
      </c>
      <c r="B896" s="1" t="s">
        <v>54</v>
      </c>
      <c r="C896" s="8"/>
      <c r="D896" s="9" t="s">
        <v>24</v>
      </c>
      <c r="E896" s="10" t="s">
        <v>55</v>
      </c>
      <c r="F896" s="83">
        <f>VLOOKUP(B896,'HSD UPAH,BAHAN,ALAT'!$C$6:F1121,4,FALSE)</f>
        <v>10000</v>
      </c>
      <c r="G896" s="84">
        <f t="shared" ref="G896:G897" si="112">E896*F896</f>
        <v>120000</v>
      </c>
    </row>
    <row r="897" spans="1:7">
      <c r="A897" s="8" t="s">
        <v>30</v>
      </c>
      <c r="B897" s="1" t="s">
        <v>56</v>
      </c>
      <c r="C897" s="8"/>
      <c r="D897" s="9" t="s">
        <v>24</v>
      </c>
      <c r="E897" s="10" t="s">
        <v>57</v>
      </c>
      <c r="F897" s="83">
        <f>VLOOKUP(B897,'HSD UPAH,BAHAN,ALAT'!$C$6:F1122,4,FALSE)</f>
        <v>10000</v>
      </c>
      <c r="G897" s="84">
        <f t="shared" si="112"/>
        <v>100000</v>
      </c>
    </row>
    <row r="898" spans="1:7">
      <c r="A898" s="8">
        <v>4</v>
      </c>
      <c r="B898" s="1" t="s">
        <v>26</v>
      </c>
      <c r="C898" s="8"/>
      <c r="D898" s="9"/>
      <c r="E898" s="19"/>
      <c r="F898" s="2"/>
      <c r="G898" s="2"/>
    </row>
    <row r="899" spans="1:7">
      <c r="A899" s="8" t="s">
        <v>22</v>
      </c>
      <c r="B899" s="1" t="s">
        <v>27</v>
      </c>
      <c r="C899" s="8"/>
      <c r="D899" s="9" t="s">
        <v>28</v>
      </c>
      <c r="E899" s="10" t="s">
        <v>58</v>
      </c>
      <c r="F899" s="83">
        <f>VLOOKUP(B899,'HSD UPAH,BAHAN,ALAT'!$C$6:F1124,4,FALSE)</f>
        <v>10000</v>
      </c>
      <c r="G899" s="84">
        <f t="shared" ref="G899:G901" si="113">E899*F899</f>
        <v>490</v>
      </c>
    </row>
    <row r="900" spans="1:7">
      <c r="A900" s="8" t="s">
        <v>30</v>
      </c>
      <c r="B900" s="1" t="s">
        <v>31</v>
      </c>
      <c r="C900" s="8"/>
      <c r="D900" s="9" t="s">
        <v>28</v>
      </c>
      <c r="E900" s="10" t="s">
        <v>51</v>
      </c>
      <c r="F900" s="83">
        <f>VLOOKUP(B900,'HSD UPAH,BAHAN,ALAT'!$C$6:F1125,4,FALSE)</f>
        <v>10000</v>
      </c>
      <c r="G900" s="84">
        <f t="shared" si="113"/>
        <v>130</v>
      </c>
    </row>
    <row r="901" spans="1:7">
      <c r="A901" s="8" t="s">
        <v>33</v>
      </c>
      <c r="B901" s="1" t="s">
        <v>34</v>
      </c>
      <c r="C901" s="8"/>
      <c r="D901" s="9" t="s">
        <v>28</v>
      </c>
      <c r="E901" s="10" t="s">
        <v>59</v>
      </c>
      <c r="F901" s="83">
        <f>VLOOKUP(B901,'HSD UPAH,BAHAN,ALAT'!$C$6:F1126,4,FALSE)</f>
        <v>10000</v>
      </c>
      <c r="G901" s="84">
        <f t="shared" si="113"/>
        <v>30</v>
      </c>
    </row>
    <row r="902" spans="1:7">
      <c r="A902" s="261" t="s">
        <v>421</v>
      </c>
      <c r="B902" s="261"/>
      <c r="C902" s="261"/>
      <c r="D902" s="261"/>
      <c r="E902" s="261"/>
      <c r="F902" s="261"/>
      <c r="G902" s="85">
        <f>SUM(G893:G901)</f>
        <v>231250</v>
      </c>
    </row>
    <row r="903" spans="1:7">
      <c r="A903" s="8" t="s">
        <v>36</v>
      </c>
      <c r="B903" s="1" t="s">
        <v>37</v>
      </c>
      <c r="C903" s="8"/>
      <c r="D903" s="9"/>
      <c r="E903" s="19"/>
      <c r="F903" s="2"/>
      <c r="G903" s="2"/>
    </row>
    <row r="904" spans="1:7">
      <c r="A904" s="263" t="s">
        <v>419</v>
      </c>
      <c r="B904" s="263"/>
      <c r="C904" s="263"/>
      <c r="D904" s="263"/>
      <c r="E904" s="263"/>
      <c r="F904" s="263"/>
      <c r="G904" s="80">
        <f>SUM(G903)</f>
        <v>0</v>
      </c>
    </row>
    <row r="905" spans="1:7">
      <c r="A905" s="81" t="s">
        <v>38</v>
      </c>
      <c r="B905" s="262" t="s">
        <v>39</v>
      </c>
      <c r="C905" s="262"/>
      <c r="D905" s="262"/>
      <c r="E905" s="262"/>
      <c r="F905" s="262"/>
      <c r="G905" s="80">
        <f>SUM(G887:G904)/2</f>
        <v>241240</v>
      </c>
    </row>
    <row r="906" spans="1:7">
      <c r="A906" s="81" t="s">
        <v>40</v>
      </c>
      <c r="B906" s="262" t="s">
        <v>180</v>
      </c>
      <c r="C906" s="262"/>
      <c r="D906" s="262"/>
      <c r="E906" s="262"/>
      <c r="F906" s="82">
        <v>0.1</v>
      </c>
      <c r="G906" s="80">
        <f>G905*F906</f>
        <v>24124</v>
      </c>
    </row>
    <row r="907" spans="1:7">
      <c r="A907" s="81" t="s">
        <v>41</v>
      </c>
      <c r="B907" s="262" t="s">
        <v>42</v>
      </c>
      <c r="C907" s="262"/>
      <c r="D907" s="262"/>
      <c r="E907" s="262"/>
      <c r="F907" s="262"/>
      <c r="G907" s="80">
        <f>G905+G906</f>
        <v>265364</v>
      </c>
    </row>
    <row r="908" spans="1:7">
      <c r="A908" s="90"/>
      <c r="B908" s="91"/>
      <c r="C908" s="91"/>
      <c r="D908" s="91"/>
      <c r="E908" s="91"/>
      <c r="F908" s="91"/>
      <c r="G908" s="92"/>
    </row>
    <row r="909" spans="1:7">
      <c r="A909" s="4" t="s">
        <v>531</v>
      </c>
      <c r="B909" s="91"/>
      <c r="C909" s="91"/>
      <c r="D909" s="91"/>
      <c r="E909" s="91"/>
      <c r="F909" s="91"/>
      <c r="G909" s="92"/>
    </row>
    <row r="910" spans="1:7" ht="30">
      <c r="A910" s="156" t="s">
        <v>0</v>
      </c>
      <c r="B910" s="156" t="s">
        <v>1</v>
      </c>
      <c r="C910" s="156" t="s">
        <v>207</v>
      </c>
      <c r="D910" s="156" t="s">
        <v>3</v>
      </c>
      <c r="E910" s="156" t="s">
        <v>2</v>
      </c>
      <c r="F910" s="156" t="s">
        <v>417</v>
      </c>
      <c r="G910" s="156" t="s">
        <v>418</v>
      </c>
    </row>
    <row r="911" spans="1:7">
      <c r="A911" s="157" t="s">
        <v>4</v>
      </c>
      <c r="B911" s="158" t="s">
        <v>5</v>
      </c>
      <c r="C911" s="157"/>
      <c r="D911" s="159"/>
      <c r="E911" s="160"/>
      <c r="F911" s="88"/>
      <c r="G911" s="88"/>
    </row>
    <row r="912" spans="1:7">
      <c r="A912" s="157">
        <v>1</v>
      </c>
      <c r="B912" s="158" t="s">
        <v>48</v>
      </c>
      <c r="C912" s="157" t="s">
        <v>49</v>
      </c>
      <c r="D912" s="159" t="s">
        <v>8</v>
      </c>
      <c r="E912" s="161" t="s">
        <v>50</v>
      </c>
      <c r="F912" s="86">
        <f>VLOOKUP(B912,'HSD UPAH,BAHAN,ALAT'!$C$6:F1135,4,FALSE)</f>
        <v>100000</v>
      </c>
      <c r="G912" s="87">
        <f t="shared" ref="G912:G915" si="114">E912*F912</f>
        <v>4000</v>
      </c>
    </row>
    <row r="913" spans="1:7">
      <c r="A913" s="157">
        <v>2</v>
      </c>
      <c r="B913" s="158" t="s">
        <v>6</v>
      </c>
      <c r="C913" s="157" t="s">
        <v>7</v>
      </c>
      <c r="D913" s="159" t="s">
        <v>8</v>
      </c>
      <c r="E913" s="161" t="s">
        <v>50</v>
      </c>
      <c r="F913" s="86">
        <f>VLOOKUP(B913,'HSD UPAH,BAHAN,ALAT'!$C$6:F1136,4,FALSE)</f>
        <v>100000</v>
      </c>
      <c r="G913" s="87">
        <f t="shared" si="114"/>
        <v>4000</v>
      </c>
    </row>
    <row r="914" spans="1:7">
      <c r="A914" s="157">
        <v>3</v>
      </c>
      <c r="B914" s="158" t="s">
        <v>10</v>
      </c>
      <c r="C914" s="157" t="s">
        <v>11</v>
      </c>
      <c r="D914" s="159" t="s">
        <v>8</v>
      </c>
      <c r="E914" s="161" t="s">
        <v>51</v>
      </c>
      <c r="F914" s="86">
        <f>VLOOKUP(B914,'HSD UPAH,BAHAN,ALAT'!$C$6:F1137,4,FALSE)</f>
        <v>120000</v>
      </c>
      <c r="G914" s="87">
        <f t="shared" si="114"/>
        <v>1560</v>
      </c>
    </row>
    <row r="915" spans="1:7">
      <c r="A915" s="157">
        <v>4</v>
      </c>
      <c r="B915" s="158" t="s">
        <v>13</v>
      </c>
      <c r="C915" s="157" t="s">
        <v>14</v>
      </c>
      <c r="D915" s="159" t="s">
        <v>8</v>
      </c>
      <c r="E915" s="161" t="s">
        <v>52</v>
      </c>
      <c r="F915" s="86">
        <f>VLOOKUP(B915,'HSD UPAH,BAHAN,ALAT'!$C$6:F1138,4,FALSE)</f>
        <v>100000</v>
      </c>
      <c r="G915" s="87">
        <f t="shared" si="114"/>
        <v>430</v>
      </c>
    </row>
    <row r="916" spans="1:7">
      <c r="A916" s="266" t="s">
        <v>420</v>
      </c>
      <c r="B916" s="266"/>
      <c r="C916" s="266"/>
      <c r="D916" s="266"/>
      <c r="E916" s="266"/>
      <c r="F916" s="266"/>
      <c r="G916" s="162">
        <f>SUM(G912:G915)</f>
        <v>9990</v>
      </c>
    </row>
    <row r="917" spans="1:7">
      <c r="A917" s="157" t="s">
        <v>16</v>
      </c>
      <c r="B917" s="158" t="s">
        <v>17</v>
      </c>
      <c r="C917" s="157"/>
      <c r="D917" s="159"/>
      <c r="E917" s="160"/>
      <c r="F917" s="88"/>
      <c r="G917" s="88"/>
    </row>
    <row r="918" spans="1:7" ht="30">
      <c r="A918" s="163" t="s">
        <v>208</v>
      </c>
      <c r="B918" s="164" t="s">
        <v>265</v>
      </c>
      <c r="C918" s="163"/>
      <c r="D918" s="165" t="s">
        <v>86</v>
      </c>
      <c r="E918" s="166" t="s">
        <v>87</v>
      </c>
      <c r="F918" s="86">
        <f>VLOOKUP(B918,'HSD UPAH,BAHAN,ALAT'!$C$6:F1141,4,FALSE)</f>
        <v>10000</v>
      </c>
      <c r="G918" s="87">
        <f t="shared" ref="G918:G926" si="115">E918*F918</f>
        <v>10500</v>
      </c>
    </row>
    <row r="919" spans="1:7">
      <c r="A919" s="157">
        <v>2</v>
      </c>
      <c r="B919" s="158" t="s">
        <v>18</v>
      </c>
      <c r="C919" s="157"/>
      <c r="D919" s="159" t="s">
        <v>19</v>
      </c>
      <c r="E919" s="161" t="s">
        <v>53</v>
      </c>
      <c r="F919" s="86">
        <f>VLOOKUP(B919,'HSD UPAH,BAHAN,ALAT'!$C$6:F1142,4,FALSE)</f>
        <v>10000</v>
      </c>
      <c r="G919" s="87">
        <f t="shared" si="115"/>
        <v>100</v>
      </c>
    </row>
    <row r="920" spans="1:7">
      <c r="A920" s="157">
        <v>3</v>
      </c>
      <c r="B920" s="158" t="s">
        <v>21</v>
      </c>
      <c r="C920" s="157"/>
      <c r="D920" s="159"/>
      <c r="E920" s="160"/>
      <c r="F920" s="86"/>
      <c r="G920" s="87">
        <f t="shared" si="115"/>
        <v>0</v>
      </c>
    </row>
    <row r="921" spans="1:7">
      <c r="A921" s="157" t="s">
        <v>22</v>
      </c>
      <c r="B921" s="158" t="s">
        <v>54</v>
      </c>
      <c r="C921" s="157"/>
      <c r="D921" s="159" t="s">
        <v>24</v>
      </c>
      <c r="E921" s="161" t="s">
        <v>55</v>
      </c>
      <c r="F921" s="86">
        <f>VLOOKUP(B921,'HSD UPAH,BAHAN,ALAT'!$C$6:F1144,4,FALSE)</f>
        <v>10000</v>
      </c>
      <c r="G921" s="87">
        <f t="shared" si="115"/>
        <v>120000</v>
      </c>
    </row>
    <row r="922" spans="1:7">
      <c r="A922" s="157" t="s">
        <v>30</v>
      </c>
      <c r="B922" s="158" t="s">
        <v>56</v>
      </c>
      <c r="C922" s="157"/>
      <c r="D922" s="159" t="s">
        <v>24</v>
      </c>
      <c r="E922" s="161" t="s">
        <v>57</v>
      </c>
      <c r="F922" s="86">
        <f>VLOOKUP(B922,'HSD UPAH,BAHAN,ALAT'!$C$6:F1145,4,FALSE)</f>
        <v>10000</v>
      </c>
      <c r="G922" s="87">
        <f t="shared" si="115"/>
        <v>100000</v>
      </c>
    </row>
    <row r="923" spans="1:7">
      <c r="A923" s="157">
        <v>4</v>
      </c>
      <c r="B923" s="158" t="s">
        <v>26</v>
      </c>
      <c r="C923" s="157"/>
      <c r="D923" s="159"/>
      <c r="E923" s="160"/>
      <c r="F923" s="86"/>
      <c r="G923" s="87">
        <f t="shared" si="115"/>
        <v>0</v>
      </c>
    </row>
    <row r="924" spans="1:7">
      <c r="A924" s="157" t="s">
        <v>22</v>
      </c>
      <c r="B924" s="158" t="s">
        <v>27</v>
      </c>
      <c r="C924" s="157"/>
      <c r="D924" s="159" t="s">
        <v>28</v>
      </c>
      <c r="E924" s="161" t="s">
        <v>58</v>
      </c>
      <c r="F924" s="86">
        <f>VLOOKUP(B924,'HSD UPAH,BAHAN,ALAT'!$C$6:F1147,4,FALSE)</f>
        <v>10000</v>
      </c>
      <c r="G924" s="87">
        <f t="shared" si="115"/>
        <v>490</v>
      </c>
    </row>
    <row r="925" spans="1:7">
      <c r="A925" s="157" t="s">
        <v>30</v>
      </c>
      <c r="B925" s="158" t="s">
        <v>31</v>
      </c>
      <c r="C925" s="157"/>
      <c r="D925" s="159" t="s">
        <v>28</v>
      </c>
      <c r="E925" s="161" t="s">
        <v>51</v>
      </c>
      <c r="F925" s="86">
        <f>VLOOKUP(B925,'HSD UPAH,BAHAN,ALAT'!$C$6:F1148,4,FALSE)</f>
        <v>10000</v>
      </c>
      <c r="G925" s="87">
        <f t="shared" si="115"/>
        <v>130</v>
      </c>
    </row>
    <row r="926" spans="1:7">
      <c r="A926" s="157" t="s">
        <v>33</v>
      </c>
      <c r="B926" s="158" t="s">
        <v>34</v>
      </c>
      <c r="C926" s="157"/>
      <c r="D926" s="159" t="s">
        <v>28</v>
      </c>
      <c r="E926" s="161" t="s">
        <v>59</v>
      </c>
      <c r="F926" s="86">
        <f>VLOOKUP(B926,'HSD UPAH,BAHAN,ALAT'!$C$6:F1149,4,FALSE)</f>
        <v>10000</v>
      </c>
      <c r="G926" s="87">
        <f t="shared" si="115"/>
        <v>30</v>
      </c>
    </row>
    <row r="927" spans="1:7">
      <c r="A927" s="266" t="s">
        <v>421</v>
      </c>
      <c r="B927" s="266"/>
      <c r="C927" s="266"/>
      <c r="D927" s="266"/>
      <c r="E927" s="266"/>
      <c r="F927" s="266"/>
      <c r="G927" s="162">
        <f>SUM(G918:G926)</f>
        <v>231250</v>
      </c>
    </row>
    <row r="928" spans="1:7">
      <c r="A928" s="157" t="s">
        <v>36</v>
      </c>
      <c r="B928" s="158" t="s">
        <v>37</v>
      </c>
      <c r="C928" s="157"/>
      <c r="D928" s="159"/>
      <c r="E928" s="160"/>
      <c r="F928" s="88"/>
      <c r="G928" s="88"/>
    </row>
    <row r="929" spans="1:7">
      <c r="A929" s="265" t="s">
        <v>419</v>
      </c>
      <c r="B929" s="265"/>
      <c r="C929" s="265"/>
      <c r="D929" s="265"/>
      <c r="E929" s="265"/>
      <c r="F929" s="265"/>
      <c r="G929" s="167">
        <f>SUM(G928)</f>
        <v>0</v>
      </c>
    </row>
    <row r="930" spans="1:7">
      <c r="A930" s="168" t="s">
        <v>38</v>
      </c>
      <c r="B930" s="264" t="s">
        <v>39</v>
      </c>
      <c r="C930" s="264"/>
      <c r="D930" s="264"/>
      <c r="E930" s="264"/>
      <c r="F930" s="264"/>
      <c r="G930" s="167">
        <f>SUM(G912:G929)/2</f>
        <v>241240</v>
      </c>
    </row>
    <row r="931" spans="1:7">
      <c r="A931" s="168" t="s">
        <v>40</v>
      </c>
      <c r="B931" s="264" t="s">
        <v>180</v>
      </c>
      <c r="C931" s="264"/>
      <c r="D931" s="264"/>
      <c r="E931" s="264"/>
      <c r="F931" s="169">
        <v>0.1</v>
      </c>
      <c r="G931" s="167">
        <f>G930*F931</f>
        <v>24124</v>
      </c>
    </row>
    <row r="932" spans="1:7">
      <c r="A932" s="168" t="s">
        <v>41</v>
      </c>
      <c r="B932" s="264" t="s">
        <v>42</v>
      </c>
      <c r="C932" s="264"/>
      <c r="D932" s="264"/>
      <c r="E932" s="264"/>
      <c r="F932" s="264"/>
      <c r="G932" s="167">
        <f>G930+G931</f>
        <v>265364</v>
      </c>
    </row>
    <row r="933" spans="1:7">
      <c r="A933" s="170"/>
      <c r="B933" s="171"/>
      <c r="C933" s="170"/>
      <c r="D933" s="170"/>
      <c r="E933" s="172"/>
      <c r="F933" s="173"/>
      <c r="G933" s="173"/>
    </row>
    <row r="934" spans="1:7">
      <c r="A934" s="174" t="s">
        <v>532</v>
      </c>
      <c r="B934" s="171"/>
      <c r="C934" s="170"/>
      <c r="D934" s="175"/>
      <c r="E934" s="176"/>
      <c r="F934" s="177"/>
      <c r="G934" s="177"/>
    </row>
    <row r="935" spans="1:7" ht="30">
      <c r="A935" s="79" t="s">
        <v>0</v>
      </c>
      <c r="B935" s="79" t="s">
        <v>1</v>
      </c>
      <c r="C935" s="79" t="s">
        <v>207</v>
      </c>
      <c r="D935" s="79" t="s">
        <v>3</v>
      </c>
      <c r="E935" s="79" t="s">
        <v>2</v>
      </c>
      <c r="F935" s="79" t="s">
        <v>417</v>
      </c>
      <c r="G935" s="79" t="s">
        <v>418</v>
      </c>
    </row>
    <row r="936" spans="1:7">
      <c r="A936" s="8" t="s">
        <v>4</v>
      </c>
      <c r="B936" s="1" t="s">
        <v>5</v>
      </c>
      <c r="C936" s="8"/>
      <c r="D936" s="9"/>
      <c r="E936" s="19"/>
      <c r="F936" s="2"/>
      <c r="G936" s="2"/>
    </row>
    <row r="937" spans="1:7">
      <c r="A937" s="8">
        <v>1</v>
      </c>
      <c r="B937" s="1" t="s">
        <v>48</v>
      </c>
      <c r="C937" s="8" t="s">
        <v>49</v>
      </c>
      <c r="D937" s="9" t="s">
        <v>8</v>
      </c>
      <c r="E937" s="10" t="s">
        <v>50</v>
      </c>
      <c r="F937" s="83">
        <f>VLOOKUP(B937,'HSD UPAH,BAHAN,ALAT'!$C$6:F1158,4,FALSE)</f>
        <v>100000</v>
      </c>
      <c r="G937" s="84">
        <f t="shared" ref="G937:G940" si="116">E937*F937</f>
        <v>4000</v>
      </c>
    </row>
    <row r="938" spans="1:7">
      <c r="A938" s="8">
        <v>2</v>
      </c>
      <c r="B938" s="1" t="s">
        <v>6</v>
      </c>
      <c r="C938" s="8" t="s">
        <v>7</v>
      </c>
      <c r="D938" s="9" t="s">
        <v>8</v>
      </c>
      <c r="E938" s="10" t="s">
        <v>50</v>
      </c>
      <c r="F938" s="83">
        <f>VLOOKUP(B938,'HSD UPAH,BAHAN,ALAT'!$C$6:F1159,4,FALSE)</f>
        <v>100000</v>
      </c>
      <c r="G938" s="84">
        <f t="shared" si="116"/>
        <v>4000</v>
      </c>
    </row>
    <row r="939" spans="1:7">
      <c r="A939" s="8">
        <v>3</v>
      </c>
      <c r="B939" s="1" t="s">
        <v>10</v>
      </c>
      <c r="C939" s="8" t="s">
        <v>11</v>
      </c>
      <c r="D939" s="9" t="s">
        <v>8</v>
      </c>
      <c r="E939" s="10" t="s">
        <v>51</v>
      </c>
      <c r="F939" s="83">
        <f>VLOOKUP(B939,'HSD UPAH,BAHAN,ALAT'!$C$6:F1160,4,FALSE)</f>
        <v>120000</v>
      </c>
      <c r="G939" s="84">
        <f t="shared" si="116"/>
        <v>1560</v>
      </c>
    </row>
    <row r="940" spans="1:7">
      <c r="A940" s="8">
        <v>4</v>
      </c>
      <c r="B940" s="1" t="s">
        <v>13</v>
      </c>
      <c r="C940" s="8" t="s">
        <v>14</v>
      </c>
      <c r="D940" s="9" t="s">
        <v>8</v>
      </c>
      <c r="E940" s="10" t="s">
        <v>52</v>
      </c>
      <c r="F940" s="83">
        <f>VLOOKUP(B940,'HSD UPAH,BAHAN,ALAT'!$C$6:F1161,4,FALSE)</f>
        <v>100000</v>
      </c>
      <c r="G940" s="84">
        <f t="shared" si="116"/>
        <v>430</v>
      </c>
    </row>
    <row r="941" spans="1:7">
      <c r="A941" s="261" t="s">
        <v>420</v>
      </c>
      <c r="B941" s="261"/>
      <c r="C941" s="261"/>
      <c r="D941" s="261"/>
      <c r="E941" s="261"/>
      <c r="F941" s="261"/>
      <c r="G941" s="85">
        <f>SUM(G937:G940)</f>
        <v>9990</v>
      </c>
    </row>
    <row r="942" spans="1:7">
      <c r="A942" s="8" t="s">
        <v>16</v>
      </c>
      <c r="B942" s="1" t="s">
        <v>17</v>
      </c>
      <c r="C942" s="8"/>
      <c r="D942" s="9"/>
      <c r="E942" s="19"/>
      <c r="F942" s="2"/>
      <c r="G942" s="2"/>
    </row>
    <row r="943" spans="1:7" ht="30">
      <c r="A943" s="17" t="s">
        <v>208</v>
      </c>
      <c r="B943" s="5" t="s">
        <v>266</v>
      </c>
      <c r="C943" s="17"/>
      <c r="D943" s="12" t="s">
        <v>86</v>
      </c>
      <c r="E943" s="7" t="s">
        <v>87</v>
      </c>
      <c r="F943" s="83">
        <f>VLOOKUP(B943,'HSD UPAH,BAHAN,ALAT'!$C$6:F1164,4,FALSE)</f>
        <v>10000</v>
      </c>
      <c r="G943" s="84">
        <f t="shared" ref="G943:G944" si="117">E943*F943</f>
        <v>10500</v>
      </c>
    </row>
    <row r="944" spans="1:7">
      <c r="A944" s="8">
        <v>2</v>
      </c>
      <c r="B944" s="1" t="s">
        <v>18</v>
      </c>
      <c r="C944" s="8"/>
      <c r="D944" s="9" t="s">
        <v>19</v>
      </c>
      <c r="E944" s="10" t="s">
        <v>53</v>
      </c>
      <c r="F944" s="83">
        <f>VLOOKUP(B944,'HSD UPAH,BAHAN,ALAT'!$C$6:F1165,4,FALSE)</f>
        <v>10000</v>
      </c>
      <c r="G944" s="84">
        <f t="shared" si="117"/>
        <v>100</v>
      </c>
    </row>
    <row r="945" spans="1:7">
      <c r="A945" s="8">
        <v>3</v>
      </c>
      <c r="B945" s="1" t="s">
        <v>21</v>
      </c>
      <c r="C945" s="8"/>
      <c r="D945" s="9"/>
      <c r="E945" s="19"/>
      <c r="F945" s="83"/>
      <c r="G945" s="84">
        <f t="shared" ref="G945:G947" si="118">E945*F945</f>
        <v>0</v>
      </c>
    </row>
    <row r="946" spans="1:7">
      <c r="A946" s="8" t="s">
        <v>22</v>
      </c>
      <c r="B946" s="1" t="s">
        <v>54</v>
      </c>
      <c r="C946" s="8"/>
      <c r="D946" s="9" t="s">
        <v>24</v>
      </c>
      <c r="E946" s="10" t="s">
        <v>55</v>
      </c>
      <c r="F946" s="83">
        <f>VLOOKUP(B946,'HSD UPAH,BAHAN,ALAT'!$C$6:F1167,4,FALSE)</f>
        <v>10000</v>
      </c>
      <c r="G946" s="84">
        <f t="shared" si="118"/>
        <v>120000</v>
      </c>
    </row>
    <row r="947" spans="1:7">
      <c r="A947" s="8" t="s">
        <v>30</v>
      </c>
      <c r="B947" s="1" t="s">
        <v>56</v>
      </c>
      <c r="C947" s="8"/>
      <c r="D947" s="9" t="s">
        <v>24</v>
      </c>
      <c r="E947" s="10" t="s">
        <v>57</v>
      </c>
      <c r="F947" s="83">
        <f>VLOOKUP(B947,'HSD UPAH,BAHAN,ALAT'!$C$6:F1168,4,FALSE)</f>
        <v>10000</v>
      </c>
      <c r="G947" s="84">
        <f t="shared" si="118"/>
        <v>100000</v>
      </c>
    </row>
    <row r="948" spans="1:7">
      <c r="A948" s="8">
        <v>4</v>
      </c>
      <c r="B948" s="1" t="s">
        <v>26</v>
      </c>
      <c r="C948" s="8"/>
      <c r="D948" s="9"/>
      <c r="E948" s="19"/>
      <c r="F948" s="2"/>
      <c r="G948" s="2"/>
    </row>
    <row r="949" spans="1:7">
      <c r="A949" s="8" t="s">
        <v>22</v>
      </c>
      <c r="B949" s="1" t="s">
        <v>27</v>
      </c>
      <c r="C949" s="8"/>
      <c r="D949" s="9" t="s">
        <v>28</v>
      </c>
      <c r="E949" s="10" t="s">
        <v>58</v>
      </c>
      <c r="F949" s="83">
        <f>VLOOKUP(B949,'HSD UPAH,BAHAN,ALAT'!$C$6:F1170,4,FALSE)</f>
        <v>10000</v>
      </c>
      <c r="G949" s="84">
        <f t="shared" ref="G949:G951" si="119">E949*F949</f>
        <v>490</v>
      </c>
    </row>
    <row r="950" spans="1:7">
      <c r="A950" s="8" t="s">
        <v>30</v>
      </c>
      <c r="B950" s="1" t="s">
        <v>31</v>
      </c>
      <c r="C950" s="8"/>
      <c r="D950" s="9" t="s">
        <v>28</v>
      </c>
      <c r="E950" s="10" t="s">
        <v>51</v>
      </c>
      <c r="F950" s="83">
        <f>VLOOKUP(B950,'HSD UPAH,BAHAN,ALAT'!$C$6:F1171,4,FALSE)</f>
        <v>10000</v>
      </c>
      <c r="G950" s="84">
        <f t="shared" si="119"/>
        <v>130</v>
      </c>
    </row>
    <row r="951" spans="1:7">
      <c r="A951" s="8" t="s">
        <v>33</v>
      </c>
      <c r="B951" s="1" t="s">
        <v>34</v>
      </c>
      <c r="C951" s="8"/>
      <c r="D951" s="9" t="s">
        <v>28</v>
      </c>
      <c r="E951" s="10" t="s">
        <v>59</v>
      </c>
      <c r="F951" s="83">
        <f>VLOOKUP(B951,'HSD UPAH,BAHAN,ALAT'!$C$6:F1172,4,FALSE)</f>
        <v>10000</v>
      </c>
      <c r="G951" s="84">
        <f t="shared" si="119"/>
        <v>30</v>
      </c>
    </row>
    <row r="952" spans="1:7">
      <c r="A952" s="261" t="s">
        <v>421</v>
      </c>
      <c r="B952" s="261"/>
      <c r="C952" s="261"/>
      <c r="D952" s="261"/>
      <c r="E952" s="261"/>
      <c r="F952" s="261"/>
      <c r="G952" s="85">
        <f>SUM(G943:G951)</f>
        <v>231250</v>
      </c>
    </row>
    <row r="953" spans="1:7">
      <c r="A953" s="8" t="s">
        <v>36</v>
      </c>
      <c r="B953" s="1" t="s">
        <v>37</v>
      </c>
      <c r="C953" s="8"/>
      <c r="D953" s="9"/>
      <c r="E953" s="19"/>
      <c r="F953" s="2"/>
      <c r="G953" s="2"/>
    </row>
    <row r="954" spans="1:7">
      <c r="A954" s="263" t="s">
        <v>419</v>
      </c>
      <c r="B954" s="263"/>
      <c r="C954" s="263"/>
      <c r="D954" s="263"/>
      <c r="E954" s="263"/>
      <c r="F954" s="263"/>
      <c r="G954" s="80">
        <f>SUM(G953)</f>
        <v>0</v>
      </c>
    </row>
    <row r="955" spans="1:7">
      <c r="A955" s="81" t="s">
        <v>38</v>
      </c>
      <c r="B955" s="262" t="s">
        <v>39</v>
      </c>
      <c r="C955" s="262"/>
      <c r="D955" s="262"/>
      <c r="E955" s="262"/>
      <c r="F955" s="262"/>
      <c r="G955" s="80">
        <f>SUM(G937:G954)/2</f>
        <v>241240</v>
      </c>
    </row>
    <row r="956" spans="1:7">
      <c r="A956" s="81" t="s">
        <v>40</v>
      </c>
      <c r="B956" s="262" t="s">
        <v>180</v>
      </c>
      <c r="C956" s="262"/>
      <c r="D956" s="262"/>
      <c r="E956" s="262"/>
      <c r="F956" s="82">
        <v>0.1</v>
      </c>
      <c r="G956" s="80">
        <f>G955*F956</f>
        <v>24124</v>
      </c>
    </row>
    <row r="957" spans="1:7">
      <c r="A957" s="81" t="s">
        <v>41</v>
      </c>
      <c r="B957" s="262" t="s">
        <v>42</v>
      </c>
      <c r="C957" s="262"/>
      <c r="D957" s="262"/>
      <c r="E957" s="262"/>
      <c r="F957" s="262"/>
      <c r="G957" s="80">
        <f>G955+G956</f>
        <v>265364</v>
      </c>
    </row>
    <row r="958" spans="1:7" ht="17.25" customHeight="1">
      <c r="A958" s="90"/>
      <c r="B958" s="91"/>
      <c r="C958" s="91"/>
      <c r="D958" s="91"/>
      <c r="E958" s="91"/>
      <c r="F958" s="91"/>
      <c r="G958" s="92"/>
    </row>
    <row r="959" spans="1:7" s="183" customFormat="1">
      <c r="A959" s="187" t="s">
        <v>741</v>
      </c>
      <c r="B959" s="188"/>
      <c r="C959" s="189"/>
      <c r="D959" s="190"/>
      <c r="E959" s="191"/>
      <c r="F959" s="192"/>
      <c r="G959" s="192"/>
    </row>
    <row r="960" spans="1:7" s="183" customFormat="1" ht="30">
      <c r="A960" s="193" t="s">
        <v>0</v>
      </c>
      <c r="B960" s="193" t="s">
        <v>1</v>
      </c>
      <c r="C960" s="193" t="s">
        <v>207</v>
      </c>
      <c r="D960" s="193" t="s">
        <v>3</v>
      </c>
      <c r="E960" s="193" t="s">
        <v>2</v>
      </c>
      <c r="F960" s="193" t="s">
        <v>417</v>
      </c>
      <c r="G960" s="193" t="s">
        <v>418</v>
      </c>
    </row>
    <row r="961" spans="1:7" s="183" customFormat="1">
      <c r="A961" s="194" t="s">
        <v>4</v>
      </c>
      <c r="B961" s="195" t="s">
        <v>5</v>
      </c>
      <c r="C961" s="194"/>
      <c r="D961" s="196"/>
      <c r="E961" s="197"/>
      <c r="F961" s="198"/>
      <c r="G961" s="198"/>
    </row>
    <row r="962" spans="1:7" s="183" customFormat="1">
      <c r="A962" s="194">
        <v>1</v>
      </c>
      <c r="B962" s="195" t="s">
        <v>48</v>
      </c>
      <c r="C962" s="194" t="s">
        <v>49</v>
      </c>
      <c r="D962" s="196" t="s">
        <v>8</v>
      </c>
      <c r="E962" s="199" t="s">
        <v>50</v>
      </c>
      <c r="F962" s="200">
        <f>VLOOKUP(B962,'HSD UPAH,BAHAN,ALAT'!$C$6:F1183,4,FALSE)</f>
        <v>100000</v>
      </c>
      <c r="G962" s="201">
        <f t="shared" ref="G962:G965" si="120">E962*F962</f>
        <v>4000</v>
      </c>
    </row>
    <row r="963" spans="1:7" s="183" customFormat="1">
      <c r="A963" s="194">
        <v>2</v>
      </c>
      <c r="B963" s="195" t="s">
        <v>6</v>
      </c>
      <c r="C963" s="194" t="s">
        <v>7</v>
      </c>
      <c r="D963" s="196" t="s">
        <v>8</v>
      </c>
      <c r="E963" s="199" t="s">
        <v>50</v>
      </c>
      <c r="F963" s="200">
        <f>VLOOKUP(B963,'HSD UPAH,BAHAN,ALAT'!$C$6:F1184,4,FALSE)</f>
        <v>100000</v>
      </c>
      <c r="G963" s="201">
        <f t="shared" si="120"/>
        <v>4000</v>
      </c>
    </row>
    <row r="964" spans="1:7" s="183" customFormat="1">
      <c r="A964" s="194">
        <v>3</v>
      </c>
      <c r="B964" s="195" t="s">
        <v>10</v>
      </c>
      <c r="C964" s="194" t="s">
        <v>11</v>
      </c>
      <c r="D964" s="196" t="s">
        <v>8</v>
      </c>
      <c r="E964" s="199" t="s">
        <v>51</v>
      </c>
      <c r="F964" s="200">
        <f>VLOOKUP(B964,'HSD UPAH,BAHAN,ALAT'!$C$6:F1185,4,FALSE)</f>
        <v>120000</v>
      </c>
      <c r="G964" s="201">
        <f t="shared" si="120"/>
        <v>1560</v>
      </c>
    </row>
    <row r="965" spans="1:7" s="183" customFormat="1">
      <c r="A965" s="194">
        <v>4</v>
      </c>
      <c r="B965" s="195" t="s">
        <v>13</v>
      </c>
      <c r="C965" s="194" t="s">
        <v>14</v>
      </c>
      <c r="D965" s="196" t="s">
        <v>8</v>
      </c>
      <c r="E965" s="199" t="s">
        <v>52</v>
      </c>
      <c r="F965" s="200">
        <f>VLOOKUP(B965,'HSD UPAH,BAHAN,ALAT'!$C$6:F1186,4,FALSE)</f>
        <v>100000</v>
      </c>
      <c r="G965" s="201">
        <f t="shared" si="120"/>
        <v>430</v>
      </c>
    </row>
    <row r="966" spans="1:7" s="183" customFormat="1">
      <c r="A966" s="260" t="s">
        <v>420</v>
      </c>
      <c r="B966" s="260"/>
      <c r="C966" s="260"/>
      <c r="D966" s="260"/>
      <c r="E966" s="260"/>
      <c r="F966" s="260"/>
      <c r="G966" s="202">
        <f>SUM(G962:G965)</f>
        <v>9990</v>
      </c>
    </row>
    <row r="967" spans="1:7" s="183" customFormat="1">
      <c r="A967" s="194" t="s">
        <v>16</v>
      </c>
      <c r="B967" s="195" t="s">
        <v>17</v>
      </c>
      <c r="C967" s="194"/>
      <c r="D967" s="196"/>
      <c r="E967" s="197"/>
      <c r="F967" s="198"/>
      <c r="G967" s="198"/>
    </row>
    <row r="968" spans="1:7" s="183" customFormat="1" ht="30">
      <c r="A968" s="203" t="s">
        <v>208</v>
      </c>
      <c r="B968" s="204" t="s">
        <v>742</v>
      </c>
      <c r="C968" s="203"/>
      <c r="D968" s="205" t="s">
        <v>86</v>
      </c>
      <c r="E968" s="206" t="s">
        <v>87</v>
      </c>
      <c r="F968" s="200">
        <f>VLOOKUP(B968,'HSD UPAH,BAHAN,ALAT'!$C$6:F1189,4,FALSE)</f>
        <v>10000</v>
      </c>
      <c r="G968" s="201">
        <f t="shared" ref="G968:G972" si="121">E968*F968</f>
        <v>10500</v>
      </c>
    </row>
    <row r="969" spans="1:7" s="183" customFormat="1">
      <c r="A969" s="194">
        <v>2</v>
      </c>
      <c r="B969" s="195" t="s">
        <v>18</v>
      </c>
      <c r="C969" s="194"/>
      <c r="D969" s="196" t="s">
        <v>19</v>
      </c>
      <c r="E969" s="199" t="s">
        <v>53</v>
      </c>
      <c r="F969" s="200">
        <f>VLOOKUP(B969,'HSD UPAH,BAHAN,ALAT'!$C$6:F1190,4,FALSE)</f>
        <v>10000</v>
      </c>
      <c r="G969" s="201">
        <f t="shared" si="121"/>
        <v>100</v>
      </c>
    </row>
    <row r="970" spans="1:7" s="183" customFormat="1">
      <c r="A970" s="194">
        <v>3</v>
      </c>
      <c r="B970" s="195" t="s">
        <v>21</v>
      </c>
      <c r="C970" s="194"/>
      <c r="D970" s="196"/>
      <c r="E970" s="197"/>
      <c r="F970" s="200"/>
      <c r="G970" s="201">
        <f t="shared" si="121"/>
        <v>0</v>
      </c>
    </row>
    <row r="971" spans="1:7" s="183" customFormat="1">
      <c r="A971" s="194" t="s">
        <v>22</v>
      </c>
      <c r="B971" s="195" t="s">
        <v>54</v>
      </c>
      <c r="C971" s="194"/>
      <c r="D971" s="196" t="s">
        <v>24</v>
      </c>
      <c r="E971" s="199" t="s">
        <v>55</v>
      </c>
      <c r="F971" s="200">
        <f>VLOOKUP(B971,'HSD UPAH,BAHAN,ALAT'!$C$6:F1192,4,FALSE)</f>
        <v>10000</v>
      </c>
      <c r="G971" s="201">
        <f t="shared" si="121"/>
        <v>120000</v>
      </c>
    </row>
    <row r="972" spans="1:7" s="183" customFormat="1">
      <c r="A972" s="194" t="s">
        <v>30</v>
      </c>
      <c r="B972" s="195" t="s">
        <v>56</v>
      </c>
      <c r="C972" s="194"/>
      <c r="D972" s="196" t="s">
        <v>24</v>
      </c>
      <c r="E972" s="199" t="s">
        <v>57</v>
      </c>
      <c r="F972" s="200">
        <f>VLOOKUP(B972,'HSD UPAH,BAHAN,ALAT'!$C$6:F1193,4,FALSE)</f>
        <v>10000</v>
      </c>
      <c r="G972" s="201">
        <f t="shared" si="121"/>
        <v>100000</v>
      </c>
    </row>
    <row r="973" spans="1:7" s="183" customFormat="1">
      <c r="A973" s="194">
        <v>4</v>
      </c>
      <c r="B973" s="195" t="s">
        <v>26</v>
      </c>
      <c r="C973" s="194"/>
      <c r="D973" s="196"/>
      <c r="E973" s="197"/>
      <c r="F973" s="198"/>
      <c r="G973" s="198"/>
    </row>
    <row r="974" spans="1:7" s="183" customFormat="1">
      <c r="A974" s="194" t="s">
        <v>22</v>
      </c>
      <c r="B974" s="195" t="s">
        <v>27</v>
      </c>
      <c r="C974" s="194"/>
      <c r="D974" s="196" t="s">
        <v>28</v>
      </c>
      <c r="E974" s="199" t="s">
        <v>58</v>
      </c>
      <c r="F974" s="200">
        <f>VLOOKUP(B974,'HSD UPAH,BAHAN,ALAT'!$C$6:F1195,4,FALSE)</f>
        <v>10000</v>
      </c>
      <c r="G974" s="201">
        <f t="shared" ref="G974:G976" si="122">E974*F974</f>
        <v>490</v>
      </c>
    </row>
    <row r="975" spans="1:7" s="183" customFormat="1">
      <c r="A975" s="194" t="s">
        <v>30</v>
      </c>
      <c r="B975" s="195" t="s">
        <v>31</v>
      </c>
      <c r="C975" s="194"/>
      <c r="D975" s="196" t="s">
        <v>28</v>
      </c>
      <c r="E975" s="199" t="s">
        <v>51</v>
      </c>
      <c r="F975" s="200">
        <f>VLOOKUP(B975,'HSD UPAH,BAHAN,ALAT'!$C$6:F1196,4,FALSE)</f>
        <v>10000</v>
      </c>
      <c r="G975" s="201">
        <f t="shared" si="122"/>
        <v>130</v>
      </c>
    </row>
    <row r="976" spans="1:7" s="183" customFormat="1">
      <c r="A976" s="194" t="s">
        <v>33</v>
      </c>
      <c r="B976" s="195" t="s">
        <v>34</v>
      </c>
      <c r="C976" s="194"/>
      <c r="D976" s="196" t="s">
        <v>28</v>
      </c>
      <c r="E976" s="199" t="s">
        <v>59</v>
      </c>
      <c r="F976" s="200">
        <f>VLOOKUP(B976,'HSD UPAH,BAHAN,ALAT'!$C$6:F1197,4,FALSE)</f>
        <v>10000</v>
      </c>
      <c r="G976" s="201">
        <f t="shared" si="122"/>
        <v>30</v>
      </c>
    </row>
    <row r="977" spans="1:7" s="183" customFormat="1">
      <c r="A977" s="260" t="s">
        <v>421</v>
      </c>
      <c r="B977" s="260"/>
      <c r="C977" s="260"/>
      <c r="D977" s="260"/>
      <c r="E977" s="260"/>
      <c r="F977" s="260"/>
      <c r="G977" s="202">
        <f>SUM(G968:G976)</f>
        <v>231250</v>
      </c>
    </row>
    <row r="978" spans="1:7" s="183" customFormat="1">
      <c r="A978" s="194" t="s">
        <v>36</v>
      </c>
      <c r="B978" s="195" t="s">
        <v>37</v>
      </c>
      <c r="C978" s="194"/>
      <c r="D978" s="196"/>
      <c r="E978" s="197"/>
      <c r="F978" s="198"/>
      <c r="G978" s="198"/>
    </row>
    <row r="979" spans="1:7" s="183" customFormat="1">
      <c r="A979" s="258" t="s">
        <v>419</v>
      </c>
      <c r="B979" s="258"/>
      <c r="C979" s="258"/>
      <c r="D979" s="258"/>
      <c r="E979" s="258"/>
      <c r="F979" s="258"/>
      <c r="G979" s="207">
        <f>SUM(G978)</f>
        <v>0</v>
      </c>
    </row>
    <row r="980" spans="1:7" s="183" customFormat="1">
      <c r="A980" s="208" t="s">
        <v>38</v>
      </c>
      <c r="B980" s="259" t="s">
        <v>39</v>
      </c>
      <c r="C980" s="259"/>
      <c r="D980" s="259"/>
      <c r="E980" s="259"/>
      <c r="F980" s="259"/>
      <c r="G980" s="207">
        <f>SUM(G962:G979)/2</f>
        <v>241240</v>
      </c>
    </row>
    <row r="981" spans="1:7" s="183" customFormat="1">
      <c r="A981" s="208" t="s">
        <v>40</v>
      </c>
      <c r="B981" s="259" t="s">
        <v>180</v>
      </c>
      <c r="C981" s="259"/>
      <c r="D981" s="259"/>
      <c r="E981" s="259"/>
      <c r="F981" s="209">
        <v>0.1</v>
      </c>
      <c r="G981" s="207">
        <f>G980*F981</f>
        <v>24124</v>
      </c>
    </row>
    <row r="982" spans="1:7" s="183" customFormat="1">
      <c r="A982" s="208" t="s">
        <v>41</v>
      </c>
      <c r="B982" s="259" t="s">
        <v>42</v>
      </c>
      <c r="C982" s="259"/>
      <c r="D982" s="259"/>
      <c r="E982" s="259"/>
      <c r="F982" s="259"/>
      <c r="G982" s="207">
        <f>G980+G981</f>
        <v>265364</v>
      </c>
    </row>
    <row r="983" spans="1:7" s="183" customFormat="1">
      <c r="A983" s="210"/>
      <c r="B983" s="211"/>
      <c r="C983" s="211"/>
      <c r="D983" s="211"/>
      <c r="E983" s="211"/>
      <c r="F983" s="211"/>
      <c r="G983" s="212"/>
    </row>
    <row r="984" spans="1:7" s="183" customFormat="1">
      <c r="A984" s="187" t="s">
        <v>743</v>
      </c>
      <c r="B984" s="188"/>
      <c r="C984" s="189"/>
      <c r="D984" s="190"/>
      <c r="E984" s="191"/>
      <c r="F984" s="192"/>
      <c r="G984" s="192"/>
    </row>
    <row r="985" spans="1:7" s="183" customFormat="1" ht="30">
      <c r="A985" s="193" t="s">
        <v>0</v>
      </c>
      <c r="B985" s="193" t="s">
        <v>1</v>
      </c>
      <c r="C985" s="193" t="s">
        <v>207</v>
      </c>
      <c r="D985" s="193" t="s">
        <v>3</v>
      </c>
      <c r="E985" s="193" t="s">
        <v>2</v>
      </c>
      <c r="F985" s="193" t="s">
        <v>417</v>
      </c>
      <c r="G985" s="193" t="s">
        <v>418</v>
      </c>
    </row>
    <row r="986" spans="1:7" s="183" customFormat="1">
      <c r="A986" s="194" t="s">
        <v>4</v>
      </c>
      <c r="B986" s="195" t="s">
        <v>5</v>
      </c>
      <c r="C986" s="194"/>
      <c r="D986" s="196"/>
      <c r="E986" s="197"/>
      <c r="F986" s="198"/>
      <c r="G986" s="198"/>
    </row>
    <row r="987" spans="1:7" s="183" customFormat="1">
      <c r="A987" s="194">
        <v>1</v>
      </c>
      <c r="B987" s="195" t="s">
        <v>48</v>
      </c>
      <c r="C987" s="194" t="s">
        <v>49</v>
      </c>
      <c r="D987" s="196" t="s">
        <v>8</v>
      </c>
      <c r="E987" s="199" t="s">
        <v>50</v>
      </c>
      <c r="F987" s="200">
        <f>VLOOKUP(B987,'HSD UPAH,BAHAN,ALAT'!$C$6:F1207,4,FALSE)</f>
        <v>100000</v>
      </c>
      <c r="G987" s="201">
        <f t="shared" ref="G987:G990" si="123">E987*F987</f>
        <v>4000</v>
      </c>
    </row>
    <row r="988" spans="1:7" s="183" customFormat="1">
      <c r="A988" s="194">
        <v>2</v>
      </c>
      <c r="B988" s="195" t="s">
        <v>6</v>
      </c>
      <c r="C988" s="194" t="s">
        <v>7</v>
      </c>
      <c r="D988" s="196" t="s">
        <v>8</v>
      </c>
      <c r="E988" s="199" t="s">
        <v>50</v>
      </c>
      <c r="F988" s="200">
        <f>VLOOKUP(B988,'HSD UPAH,BAHAN,ALAT'!$C$6:F1208,4,FALSE)</f>
        <v>100000</v>
      </c>
      <c r="G988" s="201">
        <f t="shared" si="123"/>
        <v>4000</v>
      </c>
    </row>
    <row r="989" spans="1:7" s="183" customFormat="1">
      <c r="A989" s="194">
        <v>3</v>
      </c>
      <c r="B989" s="195" t="s">
        <v>10</v>
      </c>
      <c r="C989" s="194" t="s">
        <v>11</v>
      </c>
      <c r="D989" s="196" t="s">
        <v>8</v>
      </c>
      <c r="E989" s="199" t="s">
        <v>51</v>
      </c>
      <c r="F989" s="200">
        <f>VLOOKUP(B989,'HSD UPAH,BAHAN,ALAT'!$C$6:F1209,4,FALSE)</f>
        <v>120000</v>
      </c>
      <c r="G989" s="201">
        <f t="shared" si="123"/>
        <v>1560</v>
      </c>
    </row>
    <row r="990" spans="1:7" s="183" customFormat="1">
      <c r="A990" s="194">
        <v>4</v>
      </c>
      <c r="B990" s="195" t="s">
        <v>13</v>
      </c>
      <c r="C990" s="194" t="s">
        <v>14</v>
      </c>
      <c r="D990" s="196" t="s">
        <v>8</v>
      </c>
      <c r="E990" s="199" t="s">
        <v>52</v>
      </c>
      <c r="F990" s="200">
        <f>VLOOKUP(B990,'HSD UPAH,BAHAN,ALAT'!$C$6:F1210,4,FALSE)</f>
        <v>100000</v>
      </c>
      <c r="G990" s="201">
        <f t="shared" si="123"/>
        <v>430</v>
      </c>
    </row>
    <row r="991" spans="1:7" s="183" customFormat="1">
      <c r="A991" s="260" t="s">
        <v>420</v>
      </c>
      <c r="B991" s="260"/>
      <c r="C991" s="260"/>
      <c r="D991" s="260"/>
      <c r="E991" s="260"/>
      <c r="F991" s="260"/>
      <c r="G991" s="202">
        <f>SUM(G987:G990)</f>
        <v>9990</v>
      </c>
    </row>
    <row r="992" spans="1:7" s="183" customFormat="1">
      <c r="A992" s="194" t="s">
        <v>16</v>
      </c>
      <c r="B992" s="195" t="s">
        <v>17</v>
      </c>
      <c r="C992" s="194"/>
      <c r="D992" s="196"/>
      <c r="E992" s="197"/>
      <c r="F992" s="198"/>
      <c r="G992" s="198"/>
    </row>
    <row r="993" spans="1:7" s="183" customFormat="1" ht="30">
      <c r="A993" s="203" t="s">
        <v>208</v>
      </c>
      <c r="B993" s="204" t="s">
        <v>744</v>
      </c>
      <c r="C993" s="203"/>
      <c r="D993" s="205" t="s">
        <v>86</v>
      </c>
      <c r="E993" s="206" t="s">
        <v>87</v>
      </c>
      <c r="F993" s="200">
        <f>VLOOKUP(B993,'HSD UPAH,BAHAN,ALAT'!$C$6:F1213,4,FALSE)</f>
        <v>10000</v>
      </c>
      <c r="G993" s="201">
        <f t="shared" ref="G993:G997" si="124">E993*F993</f>
        <v>10500</v>
      </c>
    </row>
    <row r="994" spans="1:7" s="183" customFormat="1">
      <c r="A994" s="194">
        <v>2</v>
      </c>
      <c r="B994" s="195" t="s">
        <v>18</v>
      </c>
      <c r="C994" s="194"/>
      <c r="D994" s="196" t="s">
        <v>19</v>
      </c>
      <c r="E994" s="199" t="s">
        <v>53</v>
      </c>
      <c r="F994" s="200">
        <f>VLOOKUP(B994,'HSD UPAH,BAHAN,ALAT'!$C$6:F1214,4,FALSE)</f>
        <v>10000</v>
      </c>
      <c r="G994" s="201">
        <f t="shared" si="124"/>
        <v>100</v>
      </c>
    </row>
    <row r="995" spans="1:7" s="183" customFormat="1">
      <c r="A995" s="194">
        <v>3</v>
      </c>
      <c r="B995" s="195" t="s">
        <v>21</v>
      </c>
      <c r="C995" s="194"/>
      <c r="D995" s="196"/>
      <c r="E995" s="197"/>
      <c r="F995" s="200"/>
      <c r="G995" s="201">
        <f t="shared" si="124"/>
        <v>0</v>
      </c>
    </row>
    <row r="996" spans="1:7" s="183" customFormat="1">
      <c r="A996" s="194" t="s">
        <v>22</v>
      </c>
      <c r="B996" s="195" t="s">
        <v>54</v>
      </c>
      <c r="C996" s="194"/>
      <c r="D996" s="196" t="s">
        <v>24</v>
      </c>
      <c r="E996" s="199" t="s">
        <v>55</v>
      </c>
      <c r="F996" s="200">
        <f>VLOOKUP(B996,'HSD UPAH,BAHAN,ALAT'!$C$6:F1216,4,FALSE)</f>
        <v>10000</v>
      </c>
      <c r="G996" s="201">
        <f t="shared" si="124"/>
        <v>120000</v>
      </c>
    </row>
    <row r="997" spans="1:7" s="183" customFormat="1">
      <c r="A997" s="194" t="s">
        <v>30</v>
      </c>
      <c r="B997" s="195" t="s">
        <v>56</v>
      </c>
      <c r="C997" s="194"/>
      <c r="D997" s="196" t="s">
        <v>24</v>
      </c>
      <c r="E997" s="199" t="s">
        <v>57</v>
      </c>
      <c r="F997" s="200">
        <f>VLOOKUP(B997,'HSD UPAH,BAHAN,ALAT'!$C$6:F1217,4,FALSE)</f>
        <v>10000</v>
      </c>
      <c r="G997" s="201">
        <f t="shared" si="124"/>
        <v>100000</v>
      </c>
    </row>
    <row r="998" spans="1:7" s="183" customFormat="1">
      <c r="A998" s="194">
        <v>4</v>
      </c>
      <c r="B998" s="195" t="s">
        <v>26</v>
      </c>
      <c r="C998" s="194"/>
      <c r="D998" s="196"/>
      <c r="E998" s="197"/>
      <c r="F998" s="198"/>
      <c r="G998" s="198"/>
    </row>
    <row r="999" spans="1:7" s="183" customFormat="1">
      <c r="A999" s="194" t="s">
        <v>22</v>
      </c>
      <c r="B999" s="195" t="s">
        <v>27</v>
      </c>
      <c r="C999" s="194"/>
      <c r="D999" s="196" t="s">
        <v>28</v>
      </c>
      <c r="E999" s="199" t="s">
        <v>58</v>
      </c>
      <c r="F999" s="200">
        <f>VLOOKUP(B999,'HSD UPAH,BAHAN,ALAT'!$C$6:F1219,4,FALSE)</f>
        <v>10000</v>
      </c>
      <c r="G999" s="201">
        <f t="shared" ref="G999:G1001" si="125">E999*F999</f>
        <v>490</v>
      </c>
    </row>
    <row r="1000" spans="1:7" s="183" customFormat="1">
      <c r="A1000" s="194" t="s">
        <v>30</v>
      </c>
      <c r="B1000" s="195" t="s">
        <v>31</v>
      </c>
      <c r="C1000" s="194"/>
      <c r="D1000" s="196" t="s">
        <v>28</v>
      </c>
      <c r="E1000" s="199" t="s">
        <v>51</v>
      </c>
      <c r="F1000" s="200">
        <f>VLOOKUP(B1000,'HSD UPAH,BAHAN,ALAT'!$C$6:F1220,4,FALSE)</f>
        <v>10000</v>
      </c>
      <c r="G1000" s="201">
        <f t="shared" si="125"/>
        <v>130</v>
      </c>
    </row>
    <row r="1001" spans="1:7" s="183" customFormat="1">
      <c r="A1001" s="194" t="s">
        <v>33</v>
      </c>
      <c r="B1001" s="195" t="s">
        <v>34</v>
      </c>
      <c r="C1001" s="194"/>
      <c r="D1001" s="196" t="s">
        <v>28</v>
      </c>
      <c r="E1001" s="199" t="s">
        <v>59</v>
      </c>
      <c r="F1001" s="200">
        <f>VLOOKUP(B1001,'HSD UPAH,BAHAN,ALAT'!$C$6:F1221,4,FALSE)</f>
        <v>10000</v>
      </c>
      <c r="G1001" s="201">
        <f t="shared" si="125"/>
        <v>30</v>
      </c>
    </row>
    <row r="1002" spans="1:7" s="183" customFormat="1">
      <c r="A1002" s="260" t="s">
        <v>421</v>
      </c>
      <c r="B1002" s="260"/>
      <c r="C1002" s="260"/>
      <c r="D1002" s="260"/>
      <c r="E1002" s="260"/>
      <c r="F1002" s="260"/>
      <c r="G1002" s="202">
        <f>SUM(G993:G1001)</f>
        <v>231250</v>
      </c>
    </row>
    <row r="1003" spans="1:7" s="183" customFormat="1">
      <c r="A1003" s="194" t="s">
        <v>36</v>
      </c>
      <c r="B1003" s="195" t="s">
        <v>37</v>
      </c>
      <c r="C1003" s="194"/>
      <c r="D1003" s="196"/>
      <c r="E1003" s="197"/>
      <c r="F1003" s="198"/>
      <c r="G1003" s="198"/>
    </row>
    <row r="1004" spans="1:7" s="183" customFormat="1">
      <c r="A1004" s="258" t="s">
        <v>419</v>
      </c>
      <c r="B1004" s="258"/>
      <c r="C1004" s="258"/>
      <c r="D1004" s="258"/>
      <c r="E1004" s="258"/>
      <c r="F1004" s="258"/>
      <c r="G1004" s="207">
        <f>SUM(G1003)</f>
        <v>0</v>
      </c>
    </row>
    <row r="1005" spans="1:7" s="183" customFormat="1">
      <c r="A1005" s="208" t="s">
        <v>38</v>
      </c>
      <c r="B1005" s="259" t="s">
        <v>39</v>
      </c>
      <c r="C1005" s="259"/>
      <c r="D1005" s="259"/>
      <c r="E1005" s="259"/>
      <c r="F1005" s="259"/>
      <c r="G1005" s="207">
        <f>SUM(G987:G1004)/2</f>
        <v>241240</v>
      </c>
    </row>
    <row r="1006" spans="1:7" s="183" customFormat="1">
      <c r="A1006" s="208" t="s">
        <v>40</v>
      </c>
      <c r="B1006" s="259" t="s">
        <v>180</v>
      </c>
      <c r="C1006" s="259"/>
      <c r="D1006" s="259"/>
      <c r="E1006" s="259"/>
      <c r="F1006" s="209">
        <v>0.1</v>
      </c>
      <c r="G1006" s="207">
        <f>G1005*F1006</f>
        <v>24124</v>
      </c>
    </row>
    <row r="1007" spans="1:7" s="183" customFormat="1">
      <c r="A1007" s="208" t="s">
        <v>41</v>
      </c>
      <c r="B1007" s="259" t="s">
        <v>42</v>
      </c>
      <c r="C1007" s="259"/>
      <c r="D1007" s="259"/>
      <c r="E1007" s="259"/>
      <c r="F1007" s="259"/>
      <c r="G1007" s="207">
        <f>G1005+G1006</f>
        <v>265364</v>
      </c>
    </row>
    <row r="1008" spans="1:7" s="183" customFormat="1">
      <c r="A1008" s="210"/>
      <c r="B1008" s="211"/>
      <c r="C1008" s="211"/>
      <c r="D1008" s="211"/>
      <c r="E1008" s="211"/>
      <c r="F1008" s="211"/>
      <c r="G1008" s="212"/>
    </row>
    <row r="1009" spans="1:7" s="183" customFormat="1">
      <c r="A1009" s="187" t="s">
        <v>745</v>
      </c>
      <c r="B1009" s="188"/>
      <c r="C1009" s="189"/>
      <c r="D1009" s="190"/>
      <c r="E1009" s="191"/>
      <c r="F1009" s="192"/>
      <c r="G1009" s="192"/>
    </row>
    <row r="1010" spans="1:7" s="183" customFormat="1" ht="30">
      <c r="A1010" s="193" t="s">
        <v>0</v>
      </c>
      <c r="B1010" s="193" t="s">
        <v>1</v>
      </c>
      <c r="C1010" s="193" t="s">
        <v>207</v>
      </c>
      <c r="D1010" s="193" t="s">
        <v>3</v>
      </c>
      <c r="E1010" s="193" t="s">
        <v>2</v>
      </c>
      <c r="F1010" s="193" t="s">
        <v>417</v>
      </c>
      <c r="G1010" s="193" t="s">
        <v>418</v>
      </c>
    </row>
    <row r="1011" spans="1:7" s="183" customFormat="1">
      <c r="A1011" s="194" t="s">
        <v>4</v>
      </c>
      <c r="B1011" s="195" t="s">
        <v>5</v>
      </c>
      <c r="C1011" s="194"/>
      <c r="D1011" s="196"/>
      <c r="E1011" s="197"/>
      <c r="F1011" s="198"/>
      <c r="G1011" s="198"/>
    </row>
    <row r="1012" spans="1:7" s="183" customFormat="1">
      <c r="A1012" s="194">
        <v>1</v>
      </c>
      <c r="B1012" s="195" t="s">
        <v>48</v>
      </c>
      <c r="C1012" s="194" t="s">
        <v>49</v>
      </c>
      <c r="D1012" s="196" t="s">
        <v>8</v>
      </c>
      <c r="E1012" s="199" t="s">
        <v>50</v>
      </c>
      <c r="F1012" s="200">
        <f>VLOOKUP(B1012,'HSD UPAH,BAHAN,ALAT'!$C$6:F1231,4,FALSE)</f>
        <v>100000</v>
      </c>
      <c r="G1012" s="201">
        <f t="shared" ref="G1012:G1015" si="126">E1012*F1012</f>
        <v>4000</v>
      </c>
    </row>
    <row r="1013" spans="1:7" s="183" customFormat="1">
      <c r="A1013" s="194">
        <v>2</v>
      </c>
      <c r="B1013" s="195" t="s">
        <v>6</v>
      </c>
      <c r="C1013" s="194" t="s">
        <v>7</v>
      </c>
      <c r="D1013" s="196" t="s">
        <v>8</v>
      </c>
      <c r="E1013" s="199" t="s">
        <v>50</v>
      </c>
      <c r="F1013" s="200">
        <f>VLOOKUP(B1013,'HSD UPAH,BAHAN,ALAT'!$C$6:F1232,4,FALSE)</f>
        <v>100000</v>
      </c>
      <c r="G1013" s="201">
        <f t="shared" si="126"/>
        <v>4000</v>
      </c>
    </row>
    <row r="1014" spans="1:7" s="183" customFormat="1">
      <c r="A1014" s="194">
        <v>3</v>
      </c>
      <c r="B1014" s="195" t="s">
        <v>10</v>
      </c>
      <c r="C1014" s="194" t="s">
        <v>11</v>
      </c>
      <c r="D1014" s="196" t="s">
        <v>8</v>
      </c>
      <c r="E1014" s="199" t="s">
        <v>51</v>
      </c>
      <c r="F1014" s="200">
        <f>VLOOKUP(B1014,'HSD UPAH,BAHAN,ALAT'!$C$6:F1233,4,FALSE)</f>
        <v>120000</v>
      </c>
      <c r="G1014" s="201">
        <f t="shared" si="126"/>
        <v>1560</v>
      </c>
    </row>
    <row r="1015" spans="1:7" s="183" customFormat="1">
      <c r="A1015" s="194">
        <v>4</v>
      </c>
      <c r="B1015" s="195" t="s">
        <v>13</v>
      </c>
      <c r="C1015" s="194" t="s">
        <v>14</v>
      </c>
      <c r="D1015" s="196" t="s">
        <v>8</v>
      </c>
      <c r="E1015" s="199" t="s">
        <v>52</v>
      </c>
      <c r="F1015" s="200">
        <f>VLOOKUP(B1015,'HSD UPAH,BAHAN,ALAT'!$C$6:F1234,4,FALSE)</f>
        <v>100000</v>
      </c>
      <c r="G1015" s="201">
        <f t="shared" si="126"/>
        <v>430</v>
      </c>
    </row>
    <row r="1016" spans="1:7" s="183" customFormat="1">
      <c r="A1016" s="260" t="s">
        <v>420</v>
      </c>
      <c r="B1016" s="260"/>
      <c r="C1016" s="260"/>
      <c r="D1016" s="260"/>
      <c r="E1016" s="260"/>
      <c r="F1016" s="260"/>
      <c r="G1016" s="202">
        <f>SUM(G1012:G1015)</f>
        <v>9990</v>
      </c>
    </row>
    <row r="1017" spans="1:7" s="183" customFormat="1">
      <c r="A1017" s="194" t="s">
        <v>16</v>
      </c>
      <c r="B1017" s="195" t="s">
        <v>17</v>
      </c>
      <c r="C1017" s="194"/>
      <c r="D1017" s="196"/>
      <c r="E1017" s="197"/>
      <c r="F1017" s="198"/>
      <c r="G1017" s="198"/>
    </row>
    <row r="1018" spans="1:7" s="183" customFormat="1" ht="30">
      <c r="A1018" s="203" t="s">
        <v>208</v>
      </c>
      <c r="B1018" s="204" t="s">
        <v>746</v>
      </c>
      <c r="C1018" s="203"/>
      <c r="D1018" s="205" t="s">
        <v>86</v>
      </c>
      <c r="E1018" s="206" t="s">
        <v>87</v>
      </c>
      <c r="F1018" s="200">
        <f>VLOOKUP(B1018,'HSD UPAH,BAHAN,ALAT'!$C$6:F1237,4,FALSE)</f>
        <v>10000</v>
      </c>
      <c r="G1018" s="201">
        <f t="shared" ref="G1018:G1022" si="127">E1018*F1018</f>
        <v>10500</v>
      </c>
    </row>
    <row r="1019" spans="1:7" s="183" customFormat="1">
      <c r="A1019" s="194">
        <v>2</v>
      </c>
      <c r="B1019" s="195" t="s">
        <v>18</v>
      </c>
      <c r="C1019" s="194"/>
      <c r="D1019" s="196" t="s">
        <v>19</v>
      </c>
      <c r="E1019" s="199" t="s">
        <v>53</v>
      </c>
      <c r="F1019" s="200">
        <f>VLOOKUP(B1019,'HSD UPAH,BAHAN,ALAT'!$C$6:F1238,4,FALSE)</f>
        <v>10000</v>
      </c>
      <c r="G1019" s="201">
        <f t="shared" si="127"/>
        <v>100</v>
      </c>
    </row>
    <row r="1020" spans="1:7" s="183" customFormat="1">
      <c r="A1020" s="194">
        <v>3</v>
      </c>
      <c r="B1020" s="195" t="s">
        <v>21</v>
      </c>
      <c r="C1020" s="194"/>
      <c r="D1020" s="196"/>
      <c r="E1020" s="197"/>
      <c r="F1020" s="200"/>
      <c r="G1020" s="201">
        <f t="shared" si="127"/>
        <v>0</v>
      </c>
    </row>
    <row r="1021" spans="1:7" s="183" customFormat="1">
      <c r="A1021" s="194" t="s">
        <v>22</v>
      </c>
      <c r="B1021" s="195" t="s">
        <v>54</v>
      </c>
      <c r="C1021" s="194"/>
      <c r="D1021" s="196" t="s">
        <v>24</v>
      </c>
      <c r="E1021" s="199" t="s">
        <v>55</v>
      </c>
      <c r="F1021" s="200">
        <f>VLOOKUP(B1021,'HSD UPAH,BAHAN,ALAT'!$C$6:F1240,4,FALSE)</f>
        <v>10000</v>
      </c>
      <c r="G1021" s="201">
        <f t="shared" si="127"/>
        <v>120000</v>
      </c>
    </row>
    <row r="1022" spans="1:7" s="183" customFormat="1">
      <c r="A1022" s="194" t="s">
        <v>30</v>
      </c>
      <c r="B1022" s="195" t="s">
        <v>56</v>
      </c>
      <c r="C1022" s="194"/>
      <c r="D1022" s="196" t="s">
        <v>24</v>
      </c>
      <c r="E1022" s="199" t="s">
        <v>57</v>
      </c>
      <c r="F1022" s="200">
        <f>VLOOKUP(B1022,'HSD UPAH,BAHAN,ALAT'!$C$6:F1241,4,FALSE)</f>
        <v>10000</v>
      </c>
      <c r="G1022" s="201">
        <f t="shared" si="127"/>
        <v>100000</v>
      </c>
    </row>
    <row r="1023" spans="1:7" s="183" customFormat="1">
      <c r="A1023" s="194">
        <v>4</v>
      </c>
      <c r="B1023" s="195" t="s">
        <v>26</v>
      </c>
      <c r="C1023" s="194"/>
      <c r="D1023" s="196"/>
      <c r="E1023" s="197"/>
      <c r="F1023" s="198"/>
      <c r="G1023" s="198"/>
    </row>
    <row r="1024" spans="1:7" s="183" customFormat="1">
      <c r="A1024" s="194" t="s">
        <v>22</v>
      </c>
      <c r="B1024" s="195" t="s">
        <v>27</v>
      </c>
      <c r="C1024" s="194"/>
      <c r="D1024" s="196" t="s">
        <v>28</v>
      </c>
      <c r="E1024" s="199" t="s">
        <v>58</v>
      </c>
      <c r="F1024" s="200">
        <f>VLOOKUP(B1024,'HSD UPAH,BAHAN,ALAT'!$C$6:F1243,4,FALSE)</f>
        <v>10000</v>
      </c>
      <c r="G1024" s="201">
        <f t="shared" ref="G1024:G1026" si="128">E1024*F1024</f>
        <v>490</v>
      </c>
    </row>
    <row r="1025" spans="1:7" s="183" customFormat="1">
      <c r="A1025" s="194" t="s">
        <v>30</v>
      </c>
      <c r="B1025" s="195" t="s">
        <v>31</v>
      </c>
      <c r="C1025" s="194"/>
      <c r="D1025" s="196" t="s">
        <v>28</v>
      </c>
      <c r="E1025" s="199" t="s">
        <v>51</v>
      </c>
      <c r="F1025" s="200">
        <f>VLOOKUP(B1025,'HSD UPAH,BAHAN,ALAT'!$C$6:F1244,4,FALSE)</f>
        <v>10000</v>
      </c>
      <c r="G1025" s="201">
        <f t="shared" si="128"/>
        <v>130</v>
      </c>
    </row>
    <row r="1026" spans="1:7" s="183" customFormat="1">
      <c r="A1026" s="194" t="s">
        <v>33</v>
      </c>
      <c r="B1026" s="195" t="s">
        <v>34</v>
      </c>
      <c r="C1026" s="194"/>
      <c r="D1026" s="196" t="s">
        <v>28</v>
      </c>
      <c r="E1026" s="199" t="s">
        <v>59</v>
      </c>
      <c r="F1026" s="200">
        <f>VLOOKUP(B1026,'HSD UPAH,BAHAN,ALAT'!$C$6:F1245,4,FALSE)</f>
        <v>10000</v>
      </c>
      <c r="G1026" s="201">
        <f t="shared" si="128"/>
        <v>30</v>
      </c>
    </row>
    <row r="1027" spans="1:7" s="183" customFormat="1">
      <c r="A1027" s="260" t="s">
        <v>421</v>
      </c>
      <c r="B1027" s="260"/>
      <c r="C1027" s="260"/>
      <c r="D1027" s="260"/>
      <c r="E1027" s="260"/>
      <c r="F1027" s="260"/>
      <c r="G1027" s="202">
        <f>SUM(G1018:G1026)</f>
        <v>231250</v>
      </c>
    </row>
    <row r="1028" spans="1:7" s="183" customFormat="1">
      <c r="A1028" s="194" t="s">
        <v>36</v>
      </c>
      <c r="B1028" s="195" t="s">
        <v>37</v>
      </c>
      <c r="C1028" s="194"/>
      <c r="D1028" s="196"/>
      <c r="E1028" s="197"/>
      <c r="F1028" s="198"/>
      <c r="G1028" s="198"/>
    </row>
    <row r="1029" spans="1:7" s="183" customFormat="1">
      <c r="A1029" s="258" t="s">
        <v>419</v>
      </c>
      <c r="B1029" s="258"/>
      <c r="C1029" s="258"/>
      <c r="D1029" s="258"/>
      <c r="E1029" s="258"/>
      <c r="F1029" s="258"/>
      <c r="G1029" s="207">
        <f>SUM(G1028)</f>
        <v>0</v>
      </c>
    </row>
    <row r="1030" spans="1:7" s="183" customFormat="1">
      <c r="A1030" s="208" t="s">
        <v>38</v>
      </c>
      <c r="B1030" s="259" t="s">
        <v>39</v>
      </c>
      <c r="C1030" s="259"/>
      <c r="D1030" s="259"/>
      <c r="E1030" s="259"/>
      <c r="F1030" s="259"/>
      <c r="G1030" s="207">
        <f>SUM(G1012:G1029)/2</f>
        <v>241240</v>
      </c>
    </row>
    <row r="1031" spans="1:7" s="183" customFormat="1">
      <c r="A1031" s="208" t="s">
        <v>40</v>
      </c>
      <c r="B1031" s="259" t="s">
        <v>180</v>
      </c>
      <c r="C1031" s="259"/>
      <c r="D1031" s="259"/>
      <c r="E1031" s="259"/>
      <c r="F1031" s="209">
        <v>0.1</v>
      </c>
      <c r="G1031" s="207">
        <f>G1030*F1031</f>
        <v>24124</v>
      </c>
    </row>
    <row r="1032" spans="1:7" s="183" customFormat="1">
      <c r="A1032" s="208" t="s">
        <v>41</v>
      </c>
      <c r="B1032" s="259" t="s">
        <v>42</v>
      </c>
      <c r="C1032" s="259"/>
      <c r="D1032" s="259"/>
      <c r="E1032" s="259"/>
      <c r="F1032" s="259"/>
      <c r="G1032" s="207">
        <f>G1030+G1031</f>
        <v>265364</v>
      </c>
    </row>
    <row r="1033" spans="1:7" s="183" customFormat="1">
      <c r="A1033" s="210"/>
      <c r="B1033" s="211"/>
      <c r="C1033" s="211"/>
      <c r="D1033" s="211"/>
      <c r="E1033" s="211"/>
      <c r="F1033" s="211"/>
      <c r="G1033" s="212"/>
    </row>
    <row r="1034" spans="1:7" s="183" customFormat="1">
      <c r="A1034" s="187" t="s">
        <v>747</v>
      </c>
      <c r="B1034" s="188"/>
      <c r="C1034" s="189"/>
      <c r="D1034" s="190"/>
      <c r="E1034" s="191"/>
      <c r="F1034" s="192"/>
      <c r="G1034" s="192"/>
    </row>
    <row r="1035" spans="1:7" s="183" customFormat="1" ht="30">
      <c r="A1035" s="193" t="s">
        <v>0</v>
      </c>
      <c r="B1035" s="193" t="s">
        <v>1</v>
      </c>
      <c r="C1035" s="193" t="s">
        <v>207</v>
      </c>
      <c r="D1035" s="193" t="s">
        <v>3</v>
      </c>
      <c r="E1035" s="193" t="s">
        <v>2</v>
      </c>
      <c r="F1035" s="193" t="s">
        <v>417</v>
      </c>
      <c r="G1035" s="193" t="s">
        <v>418</v>
      </c>
    </row>
    <row r="1036" spans="1:7" s="183" customFormat="1">
      <c r="A1036" s="194" t="s">
        <v>4</v>
      </c>
      <c r="B1036" s="195" t="s">
        <v>5</v>
      </c>
      <c r="C1036" s="194"/>
      <c r="D1036" s="196"/>
      <c r="E1036" s="197"/>
      <c r="F1036" s="198"/>
      <c r="G1036" s="198"/>
    </row>
    <row r="1037" spans="1:7" s="183" customFormat="1">
      <c r="A1037" s="194">
        <v>1</v>
      </c>
      <c r="B1037" s="195" t="s">
        <v>48</v>
      </c>
      <c r="C1037" s="194" t="s">
        <v>49</v>
      </c>
      <c r="D1037" s="196" t="s">
        <v>8</v>
      </c>
      <c r="E1037" s="199" t="s">
        <v>50</v>
      </c>
      <c r="F1037" s="200">
        <f>VLOOKUP(B1037,'HSD UPAH,BAHAN,ALAT'!$C$6:F1255,4,FALSE)</f>
        <v>100000</v>
      </c>
      <c r="G1037" s="201">
        <f t="shared" ref="G1037:G1040" si="129">E1037*F1037</f>
        <v>4000</v>
      </c>
    </row>
    <row r="1038" spans="1:7" s="183" customFormat="1">
      <c r="A1038" s="194">
        <v>2</v>
      </c>
      <c r="B1038" s="195" t="s">
        <v>6</v>
      </c>
      <c r="C1038" s="194" t="s">
        <v>7</v>
      </c>
      <c r="D1038" s="196" t="s">
        <v>8</v>
      </c>
      <c r="E1038" s="199" t="s">
        <v>50</v>
      </c>
      <c r="F1038" s="200">
        <f>VLOOKUP(B1038,'HSD UPAH,BAHAN,ALAT'!$C$6:F1256,4,FALSE)</f>
        <v>100000</v>
      </c>
      <c r="G1038" s="201">
        <f t="shared" si="129"/>
        <v>4000</v>
      </c>
    </row>
    <row r="1039" spans="1:7" s="183" customFormat="1">
      <c r="A1039" s="194">
        <v>3</v>
      </c>
      <c r="B1039" s="195" t="s">
        <v>10</v>
      </c>
      <c r="C1039" s="194" t="s">
        <v>11</v>
      </c>
      <c r="D1039" s="196" t="s">
        <v>8</v>
      </c>
      <c r="E1039" s="199" t="s">
        <v>51</v>
      </c>
      <c r="F1039" s="200">
        <f>VLOOKUP(B1039,'HSD UPAH,BAHAN,ALAT'!$C$6:F1257,4,FALSE)</f>
        <v>120000</v>
      </c>
      <c r="G1039" s="201">
        <f t="shared" si="129"/>
        <v>1560</v>
      </c>
    </row>
    <row r="1040" spans="1:7" s="183" customFormat="1">
      <c r="A1040" s="194">
        <v>4</v>
      </c>
      <c r="B1040" s="195" t="s">
        <v>13</v>
      </c>
      <c r="C1040" s="194" t="s">
        <v>14</v>
      </c>
      <c r="D1040" s="196" t="s">
        <v>8</v>
      </c>
      <c r="E1040" s="199" t="s">
        <v>52</v>
      </c>
      <c r="F1040" s="200">
        <f>VLOOKUP(B1040,'HSD UPAH,BAHAN,ALAT'!$C$6:F1258,4,FALSE)</f>
        <v>100000</v>
      </c>
      <c r="G1040" s="201">
        <f t="shared" si="129"/>
        <v>430</v>
      </c>
    </row>
    <row r="1041" spans="1:7" s="183" customFormat="1">
      <c r="A1041" s="260" t="s">
        <v>420</v>
      </c>
      <c r="B1041" s="260"/>
      <c r="C1041" s="260"/>
      <c r="D1041" s="260"/>
      <c r="E1041" s="260"/>
      <c r="F1041" s="260"/>
      <c r="G1041" s="202">
        <f>SUM(G1037:G1040)</f>
        <v>9990</v>
      </c>
    </row>
    <row r="1042" spans="1:7" s="183" customFormat="1">
      <c r="A1042" s="194" t="s">
        <v>16</v>
      </c>
      <c r="B1042" s="195" t="s">
        <v>17</v>
      </c>
      <c r="C1042" s="194"/>
      <c r="D1042" s="196"/>
      <c r="E1042" s="197"/>
      <c r="F1042" s="198"/>
      <c r="G1042" s="198"/>
    </row>
    <row r="1043" spans="1:7" s="183" customFormat="1" ht="45">
      <c r="A1043" s="203" t="s">
        <v>208</v>
      </c>
      <c r="B1043" s="204" t="s">
        <v>748</v>
      </c>
      <c r="C1043" s="203"/>
      <c r="D1043" s="205" t="s">
        <v>86</v>
      </c>
      <c r="E1043" s="206" t="s">
        <v>87</v>
      </c>
      <c r="F1043" s="200">
        <f>VLOOKUP(B1043,'HSD UPAH,BAHAN,ALAT'!$C$6:F1261,4,FALSE)</f>
        <v>10000</v>
      </c>
      <c r="G1043" s="201">
        <f t="shared" ref="G1043:G1047" si="130">E1043*F1043</f>
        <v>10500</v>
      </c>
    </row>
    <row r="1044" spans="1:7" s="183" customFormat="1">
      <c r="A1044" s="194">
        <v>2</v>
      </c>
      <c r="B1044" s="195" t="s">
        <v>18</v>
      </c>
      <c r="C1044" s="194"/>
      <c r="D1044" s="196" t="s">
        <v>19</v>
      </c>
      <c r="E1044" s="199" t="s">
        <v>53</v>
      </c>
      <c r="F1044" s="200">
        <f>VLOOKUP(B1044,'HSD UPAH,BAHAN,ALAT'!$C$6:F1262,4,FALSE)</f>
        <v>10000</v>
      </c>
      <c r="G1044" s="201">
        <f t="shared" si="130"/>
        <v>100</v>
      </c>
    </row>
    <row r="1045" spans="1:7" s="183" customFormat="1">
      <c r="A1045" s="194">
        <v>3</v>
      </c>
      <c r="B1045" s="195" t="s">
        <v>21</v>
      </c>
      <c r="C1045" s="194"/>
      <c r="D1045" s="196"/>
      <c r="E1045" s="197"/>
      <c r="F1045" s="200"/>
      <c r="G1045" s="201">
        <f t="shared" si="130"/>
        <v>0</v>
      </c>
    </row>
    <row r="1046" spans="1:7" s="183" customFormat="1">
      <c r="A1046" s="194" t="s">
        <v>22</v>
      </c>
      <c r="B1046" s="195" t="s">
        <v>54</v>
      </c>
      <c r="C1046" s="194"/>
      <c r="D1046" s="196" t="s">
        <v>24</v>
      </c>
      <c r="E1046" s="199" t="s">
        <v>55</v>
      </c>
      <c r="F1046" s="200">
        <f>VLOOKUP(B1046,'HSD UPAH,BAHAN,ALAT'!$C$6:F1264,4,FALSE)</f>
        <v>10000</v>
      </c>
      <c r="G1046" s="201">
        <f t="shared" si="130"/>
        <v>120000</v>
      </c>
    </row>
    <row r="1047" spans="1:7" s="183" customFormat="1">
      <c r="A1047" s="194" t="s">
        <v>30</v>
      </c>
      <c r="B1047" s="195" t="s">
        <v>56</v>
      </c>
      <c r="C1047" s="194"/>
      <c r="D1047" s="196" t="s">
        <v>24</v>
      </c>
      <c r="E1047" s="199" t="s">
        <v>57</v>
      </c>
      <c r="F1047" s="200">
        <f>VLOOKUP(B1047,'HSD UPAH,BAHAN,ALAT'!$C$6:F1265,4,FALSE)</f>
        <v>10000</v>
      </c>
      <c r="G1047" s="201">
        <f t="shared" si="130"/>
        <v>100000</v>
      </c>
    </row>
    <row r="1048" spans="1:7" s="183" customFormat="1">
      <c r="A1048" s="194">
        <v>4</v>
      </c>
      <c r="B1048" s="195" t="s">
        <v>26</v>
      </c>
      <c r="C1048" s="194"/>
      <c r="D1048" s="196"/>
      <c r="E1048" s="197"/>
      <c r="F1048" s="198"/>
      <c r="G1048" s="198"/>
    </row>
    <row r="1049" spans="1:7" s="183" customFormat="1">
      <c r="A1049" s="194" t="s">
        <v>22</v>
      </c>
      <c r="B1049" s="195" t="s">
        <v>27</v>
      </c>
      <c r="C1049" s="194"/>
      <c r="D1049" s="196" t="s">
        <v>28</v>
      </c>
      <c r="E1049" s="199" t="s">
        <v>58</v>
      </c>
      <c r="F1049" s="200">
        <f>VLOOKUP(B1049,'HSD UPAH,BAHAN,ALAT'!$C$6:F1267,4,FALSE)</f>
        <v>10000</v>
      </c>
      <c r="G1049" s="201">
        <f t="shared" ref="G1049:G1051" si="131">E1049*F1049</f>
        <v>490</v>
      </c>
    </row>
    <row r="1050" spans="1:7" s="183" customFormat="1">
      <c r="A1050" s="194" t="s">
        <v>30</v>
      </c>
      <c r="B1050" s="195" t="s">
        <v>31</v>
      </c>
      <c r="C1050" s="194"/>
      <c r="D1050" s="196" t="s">
        <v>28</v>
      </c>
      <c r="E1050" s="199" t="s">
        <v>51</v>
      </c>
      <c r="F1050" s="200">
        <f>VLOOKUP(B1050,'HSD UPAH,BAHAN,ALAT'!$C$6:F1268,4,FALSE)</f>
        <v>10000</v>
      </c>
      <c r="G1050" s="201">
        <f t="shared" si="131"/>
        <v>130</v>
      </c>
    </row>
    <row r="1051" spans="1:7" s="183" customFormat="1">
      <c r="A1051" s="194" t="s">
        <v>33</v>
      </c>
      <c r="B1051" s="195" t="s">
        <v>34</v>
      </c>
      <c r="C1051" s="194"/>
      <c r="D1051" s="196" t="s">
        <v>28</v>
      </c>
      <c r="E1051" s="199" t="s">
        <v>59</v>
      </c>
      <c r="F1051" s="200">
        <f>VLOOKUP(B1051,'HSD UPAH,BAHAN,ALAT'!$C$6:F1269,4,FALSE)</f>
        <v>10000</v>
      </c>
      <c r="G1051" s="201">
        <f t="shared" si="131"/>
        <v>30</v>
      </c>
    </row>
    <row r="1052" spans="1:7" s="183" customFormat="1">
      <c r="A1052" s="260" t="s">
        <v>421</v>
      </c>
      <c r="B1052" s="260"/>
      <c r="C1052" s="260"/>
      <c r="D1052" s="260"/>
      <c r="E1052" s="260"/>
      <c r="F1052" s="260"/>
      <c r="G1052" s="202">
        <f>SUM(G1043:G1051)</f>
        <v>231250</v>
      </c>
    </row>
    <row r="1053" spans="1:7" s="183" customFormat="1">
      <c r="A1053" s="194" t="s">
        <v>36</v>
      </c>
      <c r="B1053" s="195" t="s">
        <v>37</v>
      </c>
      <c r="C1053" s="194"/>
      <c r="D1053" s="196"/>
      <c r="E1053" s="197"/>
      <c r="F1053" s="198"/>
      <c r="G1053" s="198"/>
    </row>
    <row r="1054" spans="1:7" s="183" customFormat="1">
      <c r="A1054" s="258" t="s">
        <v>419</v>
      </c>
      <c r="B1054" s="258"/>
      <c r="C1054" s="258"/>
      <c r="D1054" s="258"/>
      <c r="E1054" s="258"/>
      <c r="F1054" s="258"/>
      <c r="G1054" s="207">
        <f>SUM(G1053)</f>
        <v>0</v>
      </c>
    </row>
    <row r="1055" spans="1:7" s="183" customFormat="1">
      <c r="A1055" s="208" t="s">
        <v>38</v>
      </c>
      <c r="B1055" s="259" t="s">
        <v>39</v>
      </c>
      <c r="C1055" s="259"/>
      <c r="D1055" s="259"/>
      <c r="E1055" s="259"/>
      <c r="F1055" s="259"/>
      <c r="G1055" s="207">
        <f>SUM(G1037:G1054)/2</f>
        <v>241240</v>
      </c>
    </row>
    <row r="1056" spans="1:7" s="183" customFormat="1">
      <c r="A1056" s="208" t="s">
        <v>40</v>
      </c>
      <c r="B1056" s="259" t="s">
        <v>180</v>
      </c>
      <c r="C1056" s="259"/>
      <c r="D1056" s="259"/>
      <c r="E1056" s="259"/>
      <c r="F1056" s="209">
        <v>0.1</v>
      </c>
      <c r="G1056" s="207">
        <f>G1055*F1056</f>
        <v>24124</v>
      </c>
    </row>
    <row r="1057" spans="1:7" s="183" customFormat="1">
      <c r="A1057" s="208" t="s">
        <v>41</v>
      </c>
      <c r="B1057" s="259" t="s">
        <v>42</v>
      </c>
      <c r="C1057" s="259"/>
      <c r="D1057" s="259"/>
      <c r="E1057" s="259"/>
      <c r="F1057" s="259"/>
      <c r="G1057" s="207">
        <f>G1055+G1056</f>
        <v>265364</v>
      </c>
    </row>
    <row r="1058" spans="1:7" s="183" customFormat="1">
      <c r="A1058" s="210"/>
      <c r="B1058" s="211"/>
      <c r="C1058" s="211"/>
      <c r="D1058" s="211"/>
      <c r="E1058" s="211"/>
      <c r="F1058" s="211"/>
      <c r="G1058" s="212"/>
    </row>
    <row r="1059" spans="1:7">
      <c r="A1059" s="4" t="s">
        <v>457</v>
      </c>
      <c r="B1059" s="91"/>
      <c r="C1059" s="91"/>
      <c r="D1059" s="91"/>
      <c r="E1059" s="91"/>
      <c r="F1059" s="91"/>
      <c r="G1059" s="92"/>
    </row>
    <row r="1060" spans="1:7">
      <c r="A1060" s="97" t="s">
        <v>458</v>
      </c>
      <c r="B1060" s="91"/>
      <c r="C1060" s="91"/>
      <c r="D1060" s="91"/>
      <c r="E1060" s="91"/>
      <c r="F1060" s="91"/>
      <c r="G1060" s="92"/>
    </row>
    <row r="1061" spans="1:7" ht="30">
      <c r="A1061" s="79" t="s">
        <v>0</v>
      </c>
      <c r="B1061" s="79" t="s">
        <v>1</v>
      </c>
      <c r="C1061" s="79" t="s">
        <v>207</v>
      </c>
      <c r="D1061" s="79" t="s">
        <v>3</v>
      </c>
      <c r="E1061" s="79" t="s">
        <v>2</v>
      </c>
      <c r="F1061" s="79" t="s">
        <v>417</v>
      </c>
      <c r="G1061" s="79" t="s">
        <v>418</v>
      </c>
    </row>
    <row r="1062" spans="1:7">
      <c r="A1062" s="8" t="s">
        <v>4</v>
      </c>
      <c r="B1062" s="1" t="s">
        <v>5</v>
      </c>
      <c r="C1062" s="8"/>
      <c r="D1062" s="9"/>
      <c r="E1062" s="19"/>
      <c r="F1062" s="2"/>
      <c r="G1062" s="2"/>
    </row>
    <row r="1063" spans="1:7">
      <c r="A1063" s="8">
        <v>1</v>
      </c>
      <c r="B1063" s="1" t="s">
        <v>48</v>
      </c>
      <c r="C1063" s="8" t="s">
        <v>49</v>
      </c>
      <c r="D1063" s="9" t="s">
        <v>8</v>
      </c>
      <c r="E1063" s="10" t="s">
        <v>60</v>
      </c>
      <c r="F1063" s="83">
        <f>VLOOKUP(B1063,'HSD UPAH,BAHAN,ALAT'!$C$6:F1181,4,FALSE)</f>
        <v>100000</v>
      </c>
      <c r="G1063" s="84">
        <f t="shared" ref="G1063:G1066" si="132">E1063*F1063</f>
        <v>6700</v>
      </c>
    </row>
    <row r="1064" spans="1:7">
      <c r="A1064" s="8">
        <v>2</v>
      </c>
      <c r="B1064" s="1" t="s">
        <v>6</v>
      </c>
      <c r="C1064" s="8" t="s">
        <v>7</v>
      </c>
      <c r="D1064" s="9" t="s">
        <v>8</v>
      </c>
      <c r="E1064" s="10" t="s">
        <v>60</v>
      </c>
      <c r="F1064" s="83">
        <f>VLOOKUP(B1064,'HSD UPAH,BAHAN,ALAT'!$C$6:F1182,4,FALSE)</f>
        <v>100000</v>
      </c>
      <c r="G1064" s="84">
        <f t="shared" si="132"/>
        <v>6700</v>
      </c>
    </row>
    <row r="1065" spans="1:7">
      <c r="A1065" s="8">
        <v>3</v>
      </c>
      <c r="B1065" s="1" t="s">
        <v>10</v>
      </c>
      <c r="C1065" s="8" t="s">
        <v>11</v>
      </c>
      <c r="D1065" s="9" t="s">
        <v>8</v>
      </c>
      <c r="E1065" s="10" t="s">
        <v>61</v>
      </c>
      <c r="F1065" s="83">
        <f>VLOOKUP(B1065,'HSD UPAH,BAHAN,ALAT'!$C$6:F1183,4,FALSE)</f>
        <v>120000</v>
      </c>
      <c r="G1065" s="84">
        <f t="shared" si="132"/>
        <v>2640</v>
      </c>
    </row>
    <row r="1066" spans="1:7">
      <c r="A1066" s="8">
        <v>4</v>
      </c>
      <c r="B1066" s="1" t="s">
        <v>13</v>
      </c>
      <c r="C1066" s="8" t="s">
        <v>14</v>
      </c>
      <c r="D1066" s="9" t="s">
        <v>8</v>
      </c>
      <c r="E1066" s="10" t="s">
        <v>62</v>
      </c>
      <c r="F1066" s="83">
        <f>VLOOKUP(B1066,'HSD UPAH,BAHAN,ALAT'!$C$6:F1184,4,FALSE)</f>
        <v>100000</v>
      </c>
      <c r="G1066" s="84">
        <f t="shared" si="132"/>
        <v>730</v>
      </c>
    </row>
    <row r="1067" spans="1:7">
      <c r="A1067" s="261" t="s">
        <v>420</v>
      </c>
      <c r="B1067" s="261"/>
      <c r="C1067" s="261"/>
      <c r="D1067" s="261"/>
      <c r="E1067" s="261"/>
      <c r="F1067" s="261"/>
      <c r="G1067" s="85">
        <f>SUM(G1063:G1066)</f>
        <v>16770</v>
      </c>
    </row>
    <row r="1068" spans="1:7">
      <c r="A1068" s="8" t="s">
        <v>16</v>
      </c>
      <c r="B1068" s="1" t="s">
        <v>17</v>
      </c>
      <c r="C1068" s="8"/>
      <c r="D1068" s="9"/>
      <c r="E1068" s="19"/>
      <c r="F1068" s="2"/>
      <c r="G1068" s="2"/>
    </row>
    <row r="1069" spans="1:7" ht="30">
      <c r="A1069" s="17" t="s">
        <v>208</v>
      </c>
      <c r="B1069" s="5" t="s">
        <v>267</v>
      </c>
      <c r="C1069" s="8"/>
      <c r="D1069" s="12" t="s">
        <v>86</v>
      </c>
      <c r="E1069" s="7" t="s">
        <v>87</v>
      </c>
      <c r="F1069" s="83">
        <f>VLOOKUP(B1069,'HSD UPAH,BAHAN,ALAT'!$C$6:F1187,4,FALSE)</f>
        <v>10000</v>
      </c>
      <c r="G1069" s="84">
        <f t="shared" ref="G1069:G1070" si="133">E1069*F1069</f>
        <v>10500</v>
      </c>
    </row>
    <row r="1070" spans="1:7">
      <c r="A1070" s="8">
        <v>2</v>
      </c>
      <c r="B1070" s="1" t="s">
        <v>18</v>
      </c>
      <c r="C1070" s="8"/>
      <c r="D1070" s="9" t="s">
        <v>19</v>
      </c>
      <c r="E1070" s="10" t="s">
        <v>53</v>
      </c>
      <c r="F1070" s="83">
        <f>VLOOKUP(B1070,'HSD UPAH,BAHAN,ALAT'!$C$6:F1188,4,FALSE)</f>
        <v>10000</v>
      </c>
      <c r="G1070" s="84">
        <f t="shared" si="133"/>
        <v>100</v>
      </c>
    </row>
    <row r="1071" spans="1:7">
      <c r="A1071" s="8">
        <v>3</v>
      </c>
      <c r="B1071" s="1" t="s">
        <v>21</v>
      </c>
      <c r="C1071" s="8"/>
      <c r="D1071" s="9"/>
      <c r="E1071" s="19"/>
      <c r="F1071" s="2"/>
      <c r="G1071" s="2"/>
    </row>
    <row r="1072" spans="1:7">
      <c r="A1072" s="8" t="s">
        <v>22</v>
      </c>
      <c r="B1072" s="1" t="s">
        <v>54</v>
      </c>
      <c r="C1072" s="8"/>
      <c r="D1072" s="9" t="s">
        <v>24</v>
      </c>
      <c r="E1072" s="10" t="s">
        <v>55</v>
      </c>
      <c r="F1072" s="83">
        <f>VLOOKUP(B1072,'HSD UPAH,BAHAN,ALAT'!$C$6:F1190,4,FALSE)</f>
        <v>10000</v>
      </c>
      <c r="G1072" s="84">
        <f t="shared" ref="G1072:G1073" si="134">E1072*F1072</f>
        <v>120000</v>
      </c>
    </row>
    <row r="1073" spans="1:7">
      <c r="A1073" s="8" t="s">
        <v>30</v>
      </c>
      <c r="B1073" s="1" t="s">
        <v>56</v>
      </c>
      <c r="C1073" s="8"/>
      <c r="D1073" s="9" t="s">
        <v>24</v>
      </c>
      <c r="E1073" s="10" t="s">
        <v>57</v>
      </c>
      <c r="F1073" s="83">
        <f>VLOOKUP(B1073,'HSD UPAH,BAHAN,ALAT'!$C$6:F1191,4,FALSE)</f>
        <v>10000</v>
      </c>
      <c r="G1073" s="84">
        <f t="shared" si="134"/>
        <v>100000</v>
      </c>
    </row>
    <row r="1074" spans="1:7">
      <c r="A1074" s="8">
        <v>4</v>
      </c>
      <c r="B1074" s="1" t="s">
        <v>26</v>
      </c>
      <c r="C1074" s="8"/>
      <c r="D1074" s="9"/>
      <c r="E1074" s="19"/>
      <c r="F1074" s="2"/>
      <c r="G1074" s="2"/>
    </row>
    <row r="1075" spans="1:7">
      <c r="A1075" s="8" t="s">
        <v>22</v>
      </c>
      <c r="B1075" s="1" t="s">
        <v>27</v>
      </c>
      <c r="C1075" s="8"/>
      <c r="D1075" s="9" t="s">
        <v>28</v>
      </c>
      <c r="E1075" s="10" t="s">
        <v>63</v>
      </c>
      <c r="F1075" s="83">
        <f>VLOOKUP(B1075,'HSD UPAH,BAHAN,ALAT'!$C$6:F1193,4,FALSE)</f>
        <v>10000</v>
      </c>
      <c r="G1075" s="84">
        <f t="shared" ref="G1075:G1077" si="135">E1075*F1075</f>
        <v>730</v>
      </c>
    </row>
    <row r="1076" spans="1:7">
      <c r="A1076" s="8" t="s">
        <v>30</v>
      </c>
      <c r="B1076" s="1" t="s">
        <v>31</v>
      </c>
      <c r="C1076" s="8"/>
      <c r="D1076" s="9" t="s">
        <v>28</v>
      </c>
      <c r="E1076" s="10" t="s">
        <v>64</v>
      </c>
      <c r="F1076" s="83">
        <f>VLOOKUP(B1076,'HSD UPAH,BAHAN,ALAT'!$C$6:F1194,4,FALSE)</f>
        <v>10000</v>
      </c>
      <c r="G1076" s="84">
        <f t="shared" si="135"/>
        <v>200</v>
      </c>
    </row>
    <row r="1077" spans="1:7">
      <c r="A1077" s="8" t="s">
        <v>33</v>
      </c>
      <c r="B1077" s="1" t="s">
        <v>34</v>
      </c>
      <c r="C1077" s="8"/>
      <c r="D1077" s="9" t="s">
        <v>28</v>
      </c>
      <c r="E1077" s="10" t="s">
        <v>20</v>
      </c>
      <c r="F1077" s="83">
        <f>VLOOKUP(B1077,'HSD UPAH,BAHAN,ALAT'!$C$6:F1195,4,FALSE)</f>
        <v>10000</v>
      </c>
      <c r="G1077" s="84">
        <f t="shared" si="135"/>
        <v>50</v>
      </c>
    </row>
    <row r="1078" spans="1:7">
      <c r="A1078" s="261" t="s">
        <v>421</v>
      </c>
      <c r="B1078" s="261"/>
      <c r="C1078" s="261"/>
      <c r="D1078" s="261"/>
      <c r="E1078" s="261"/>
      <c r="F1078" s="261"/>
      <c r="G1078" s="85">
        <f>SUM(G1069:G1077)</f>
        <v>231580</v>
      </c>
    </row>
    <row r="1079" spans="1:7">
      <c r="A1079" s="8" t="s">
        <v>36</v>
      </c>
      <c r="B1079" s="1" t="s">
        <v>37</v>
      </c>
      <c r="C1079" s="8"/>
      <c r="D1079" s="9"/>
      <c r="E1079" s="19"/>
      <c r="F1079" s="2"/>
      <c r="G1079" s="2"/>
    </row>
    <row r="1080" spans="1:7">
      <c r="A1080" s="263" t="s">
        <v>419</v>
      </c>
      <c r="B1080" s="263"/>
      <c r="C1080" s="263"/>
      <c r="D1080" s="263"/>
      <c r="E1080" s="263"/>
      <c r="F1080" s="263"/>
      <c r="G1080" s="80">
        <f>SUM(G1079)</f>
        <v>0</v>
      </c>
    </row>
    <row r="1081" spans="1:7">
      <c r="A1081" s="81" t="s">
        <v>38</v>
      </c>
      <c r="B1081" s="262" t="s">
        <v>39</v>
      </c>
      <c r="C1081" s="262"/>
      <c r="D1081" s="262"/>
      <c r="E1081" s="262"/>
      <c r="F1081" s="262"/>
      <c r="G1081" s="80">
        <f>SUM(G1063:G1080)/2</f>
        <v>248350</v>
      </c>
    </row>
    <row r="1082" spans="1:7">
      <c r="A1082" s="81" t="s">
        <v>40</v>
      </c>
      <c r="B1082" s="262" t="s">
        <v>180</v>
      </c>
      <c r="C1082" s="262"/>
      <c r="D1082" s="262"/>
      <c r="E1082" s="262"/>
      <c r="F1082" s="82">
        <v>0.1</v>
      </c>
      <c r="G1082" s="80">
        <f>G1081*F1082</f>
        <v>24835</v>
      </c>
    </row>
    <row r="1083" spans="1:7">
      <c r="A1083" s="81" t="s">
        <v>41</v>
      </c>
      <c r="B1083" s="262" t="s">
        <v>42</v>
      </c>
      <c r="C1083" s="262"/>
      <c r="D1083" s="262"/>
      <c r="E1083" s="262"/>
      <c r="F1083" s="262"/>
      <c r="G1083" s="80">
        <f>G1081+G1082</f>
        <v>273185</v>
      </c>
    </row>
    <row r="1084" spans="1:7">
      <c r="A1084" s="90"/>
      <c r="B1084" s="91"/>
      <c r="C1084" s="91"/>
      <c r="D1084" s="91"/>
      <c r="E1084" s="91"/>
      <c r="F1084" s="91"/>
      <c r="G1084" s="92"/>
    </row>
    <row r="1085" spans="1:7">
      <c r="A1085" s="4" t="s">
        <v>533</v>
      </c>
      <c r="B1085" s="91"/>
      <c r="C1085" s="91"/>
      <c r="D1085" s="91"/>
      <c r="E1085" s="91"/>
      <c r="F1085" s="91"/>
      <c r="G1085" s="92"/>
    </row>
    <row r="1086" spans="1:7" ht="30">
      <c r="A1086" s="79" t="s">
        <v>0</v>
      </c>
      <c r="B1086" s="79" t="s">
        <v>1</v>
      </c>
      <c r="C1086" s="79" t="s">
        <v>207</v>
      </c>
      <c r="D1086" s="79" t="s">
        <v>3</v>
      </c>
      <c r="E1086" s="79" t="s">
        <v>2</v>
      </c>
      <c r="F1086" s="79" t="s">
        <v>417</v>
      </c>
      <c r="G1086" s="79" t="s">
        <v>418</v>
      </c>
    </row>
    <row r="1087" spans="1:7">
      <c r="A1087" s="8" t="s">
        <v>4</v>
      </c>
      <c r="B1087" s="1" t="s">
        <v>5</v>
      </c>
      <c r="C1087" s="8"/>
      <c r="D1087" s="9"/>
      <c r="E1087" s="19"/>
      <c r="F1087" s="2"/>
      <c r="G1087" s="2"/>
    </row>
    <row r="1088" spans="1:7">
      <c r="A1088" s="8">
        <v>1</v>
      </c>
      <c r="B1088" s="1" t="s">
        <v>48</v>
      </c>
      <c r="C1088" s="8" t="s">
        <v>49</v>
      </c>
      <c r="D1088" s="9" t="s">
        <v>8</v>
      </c>
      <c r="E1088" s="10" t="s">
        <v>60</v>
      </c>
      <c r="F1088" s="83">
        <f>VLOOKUP(B1088,'HSD UPAH,BAHAN,ALAT'!$C$6:F1204,4,FALSE)</f>
        <v>100000</v>
      </c>
      <c r="G1088" s="84">
        <f t="shared" ref="G1088:G1091" si="136">E1088*F1088</f>
        <v>6700</v>
      </c>
    </row>
    <row r="1089" spans="1:7">
      <c r="A1089" s="8">
        <v>2</v>
      </c>
      <c r="B1089" s="1" t="s">
        <v>6</v>
      </c>
      <c r="C1089" s="8" t="s">
        <v>7</v>
      </c>
      <c r="D1089" s="9" t="s">
        <v>8</v>
      </c>
      <c r="E1089" s="10" t="s">
        <v>60</v>
      </c>
      <c r="F1089" s="83">
        <f>VLOOKUP(B1089,'HSD UPAH,BAHAN,ALAT'!$C$6:F1205,4,FALSE)</f>
        <v>100000</v>
      </c>
      <c r="G1089" s="84">
        <f t="shared" si="136"/>
        <v>6700</v>
      </c>
    </row>
    <row r="1090" spans="1:7">
      <c r="A1090" s="8">
        <v>3</v>
      </c>
      <c r="B1090" s="1" t="s">
        <v>10</v>
      </c>
      <c r="C1090" s="8" t="s">
        <v>11</v>
      </c>
      <c r="D1090" s="9" t="s">
        <v>8</v>
      </c>
      <c r="E1090" s="10" t="s">
        <v>61</v>
      </c>
      <c r="F1090" s="83">
        <f>VLOOKUP(B1090,'HSD UPAH,BAHAN,ALAT'!$C$6:F1206,4,FALSE)</f>
        <v>120000</v>
      </c>
      <c r="G1090" s="84">
        <f t="shared" si="136"/>
        <v>2640</v>
      </c>
    </row>
    <row r="1091" spans="1:7">
      <c r="A1091" s="8">
        <v>4</v>
      </c>
      <c r="B1091" s="1" t="s">
        <v>13</v>
      </c>
      <c r="C1091" s="8" t="s">
        <v>14</v>
      </c>
      <c r="D1091" s="9" t="s">
        <v>8</v>
      </c>
      <c r="E1091" s="10" t="s">
        <v>62</v>
      </c>
      <c r="F1091" s="83">
        <f>VLOOKUP(B1091,'HSD UPAH,BAHAN,ALAT'!$C$6:F1207,4,FALSE)</f>
        <v>100000</v>
      </c>
      <c r="G1091" s="84">
        <f t="shared" si="136"/>
        <v>730</v>
      </c>
    </row>
    <row r="1092" spans="1:7">
      <c r="A1092" s="261" t="s">
        <v>420</v>
      </c>
      <c r="B1092" s="261"/>
      <c r="C1092" s="261"/>
      <c r="D1092" s="261"/>
      <c r="E1092" s="261"/>
      <c r="F1092" s="261"/>
      <c r="G1092" s="85">
        <f>SUM(G1088:G1091)</f>
        <v>16770</v>
      </c>
    </row>
    <row r="1093" spans="1:7">
      <c r="A1093" s="8" t="s">
        <v>16</v>
      </c>
      <c r="B1093" s="1" t="s">
        <v>17</v>
      </c>
      <c r="C1093" s="8"/>
      <c r="D1093" s="9"/>
      <c r="E1093" s="19"/>
      <c r="F1093" s="2"/>
      <c r="G1093" s="2"/>
    </row>
    <row r="1094" spans="1:7" ht="30">
      <c r="A1094" s="17" t="s">
        <v>208</v>
      </c>
      <c r="B1094" s="5" t="s">
        <v>268</v>
      </c>
      <c r="C1094" s="8"/>
      <c r="D1094" s="12" t="s">
        <v>86</v>
      </c>
      <c r="E1094" s="7" t="s">
        <v>87</v>
      </c>
      <c r="F1094" s="83">
        <f>VLOOKUP(B1094,'HSD UPAH,BAHAN,ALAT'!$C$6:F1210,4,FALSE)</f>
        <v>10000</v>
      </c>
      <c r="G1094" s="84">
        <f t="shared" ref="G1094:G1095" si="137">E1094*F1094</f>
        <v>10500</v>
      </c>
    </row>
    <row r="1095" spans="1:7">
      <c r="A1095" s="8">
        <v>2</v>
      </c>
      <c r="B1095" s="1" t="s">
        <v>18</v>
      </c>
      <c r="C1095" s="8"/>
      <c r="D1095" s="9" t="s">
        <v>19</v>
      </c>
      <c r="E1095" s="10" t="s">
        <v>53</v>
      </c>
      <c r="F1095" s="83">
        <f>VLOOKUP(B1095,'HSD UPAH,BAHAN,ALAT'!$C$6:F1211,4,FALSE)</f>
        <v>10000</v>
      </c>
      <c r="G1095" s="84">
        <f t="shared" si="137"/>
        <v>100</v>
      </c>
    </row>
    <row r="1096" spans="1:7">
      <c r="A1096" s="8">
        <v>3</v>
      </c>
      <c r="B1096" s="1" t="s">
        <v>21</v>
      </c>
      <c r="C1096" s="8"/>
      <c r="D1096" s="9"/>
      <c r="E1096" s="19"/>
      <c r="F1096" s="2"/>
      <c r="G1096" s="2"/>
    </row>
    <row r="1097" spans="1:7">
      <c r="A1097" s="8" t="s">
        <v>22</v>
      </c>
      <c r="B1097" s="1" t="s">
        <v>54</v>
      </c>
      <c r="C1097" s="8"/>
      <c r="D1097" s="9" t="s">
        <v>24</v>
      </c>
      <c r="E1097" s="10" t="s">
        <v>55</v>
      </c>
      <c r="F1097" s="83">
        <f>VLOOKUP(B1097,'HSD UPAH,BAHAN,ALAT'!$C$6:F1213,4,FALSE)</f>
        <v>10000</v>
      </c>
      <c r="G1097" s="84">
        <f t="shared" ref="G1097:G1098" si="138">E1097*F1097</f>
        <v>120000</v>
      </c>
    </row>
    <row r="1098" spans="1:7">
      <c r="A1098" s="8" t="s">
        <v>30</v>
      </c>
      <c r="B1098" s="1" t="s">
        <v>56</v>
      </c>
      <c r="C1098" s="8"/>
      <c r="D1098" s="9" t="s">
        <v>24</v>
      </c>
      <c r="E1098" s="10" t="s">
        <v>57</v>
      </c>
      <c r="F1098" s="83">
        <f>VLOOKUP(B1098,'HSD UPAH,BAHAN,ALAT'!$C$6:F1214,4,FALSE)</f>
        <v>10000</v>
      </c>
      <c r="G1098" s="84">
        <f t="shared" si="138"/>
        <v>100000</v>
      </c>
    </row>
    <row r="1099" spans="1:7">
      <c r="A1099" s="8">
        <v>4</v>
      </c>
      <c r="B1099" s="1" t="s">
        <v>26</v>
      </c>
      <c r="C1099" s="8"/>
      <c r="D1099" s="9"/>
      <c r="E1099" s="19"/>
      <c r="F1099" s="2"/>
      <c r="G1099" s="2"/>
    </row>
    <row r="1100" spans="1:7">
      <c r="A1100" s="8" t="s">
        <v>22</v>
      </c>
      <c r="B1100" s="1" t="s">
        <v>27</v>
      </c>
      <c r="C1100" s="8"/>
      <c r="D1100" s="9" t="s">
        <v>28</v>
      </c>
      <c r="E1100" s="10" t="s">
        <v>63</v>
      </c>
      <c r="F1100" s="83">
        <f>VLOOKUP(B1100,'HSD UPAH,BAHAN,ALAT'!$C$6:F1216,4,FALSE)</f>
        <v>10000</v>
      </c>
      <c r="G1100" s="84">
        <f t="shared" ref="G1100:G1102" si="139">E1100*F1100</f>
        <v>730</v>
      </c>
    </row>
    <row r="1101" spans="1:7">
      <c r="A1101" s="8" t="s">
        <v>30</v>
      </c>
      <c r="B1101" s="1" t="s">
        <v>31</v>
      </c>
      <c r="C1101" s="8"/>
      <c r="D1101" s="9" t="s">
        <v>28</v>
      </c>
      <c r="E1101" s="10" t="s">
        <v>64</v>
      </c>
      <c r="F1101" s="83">
        <f>VLOOKUP(B1101,'HSD UPAH,BAHAN,ALAT'!$C$6:F1217,4,FALSE)</f>
        <v>10000</v>
      </c>
      <c r="G1101" s="84">
        <f t="shared" si="139"/>
        <v>200</v>
      </c>
    </row>
    <row r="1102" spans="1:7">
      <c r="A1102" s="8" t="s">
        <v>33</v>
      </c>
      <c r="B1102" s="1" t="s">
        <v>34</v>
      </c>
      <c r="C1102" s="8"/>
      <c r="D1102" s="9" t="s">
        <v>28</v>
      </c>
      <c r="E1102" s="10" t="s">
        <v>20</v>
      </c>
      <c r="F1102" s="83">
        <f>VLOOKUP(B1102,'HSD UPAH,BAHAN,ALAT'!$C$6:F1218,4,FALSE)</f>
        <v>10000</v>
      </c>
      <c r="G1102" s="84">
        <f t="shared" si="139"/>
        <v>50</v>
      </c>
    </row>
    <row r="1103" spans="1:7">
      <c r="A1103" s="261" t="s">
        <v>421</v>
      </c>
      <c r="B1103" s="261"/>
      <c r="C1103" s="261"/>
      <c r="D1103" s="261"/>
      <c r="E1103" s="261"/>
      <c r="F1103" s="261"/>
      <c r="G1103" s="85">
        <f>SUM(G1094:G1102)</f>
        <v>231580</v>
      </c>
    </row>
    <row r="1104" spans="1:7">
      <c r="A1104" s="8" t="s">
        <v>36</v>
      </c>
      <c r="B1104" s="1" t="s">
        <v>37</v>
      </c>
      <c r="C1104" s="8"/>
      <c r="D1104" s="9"/>
      <c r="E1104" s="19"/>
      <c r="F1104" s="2"/>
      <c r="G1104" s="2"/>
    </row>
    <row r="1105" spans="1:7">
      <c r="A1105" s="263" t="s">
        <v>419</v>
      </c>
      <c r="B1105" s="263"/>
      <c r="C1105" s="263"/>
      <c r="D1105" s="263"/>
      <c r="E1105" s="263"/>
      <c r="F1105" s="263"/>
      <c r="G1105" s="80">
        <f>SUM(G1104)</f>
        <v>0</v>
      </c>
    </row>
    <row r="1106" spans="1:7">
      <c r="A1106" s="81" t="s">
        <v>38</v>
      </c>
      <c r="B1106" s="262" t="s">
        <v>39</v>
      </c>
      <c r="C1106" s="262"/>
      <c r="D1106" s="262"/>
      <c r="E1106" s="262"/>
      <c r="F1106" s="262"/>
      <c r="G1106" s="80">
        <f>SUM(G1088:G1105)/2</f>
        <v>248350</v>
      </c>
    </row>
    <row r="1107" spans="1:7">
      <c r="A1107" s="81" t="s">
        <v>40</v>
      </c>
      <c r="B1107" s="262" t="s">
        <v>180</v>
      </c>
      <c r="C1107" s="262"/>
      <c r="D1107" s="262"/>
      <c r="E1107" s="262"/>
      <c r="F1107" s="82">
        <v>0.1</v>
      </c>
      <c r="G1107" s="80">
        <f>G1106*F1107</f>
        <v>24835</v>
      </c>
    </row>
    <row r="1108" spans="1:7">
      <c r="A1108" s="81" t="s">
        <v>41</v>
      </c>
      <c r="B1108" s="262" t="s">
        <v>42</v>
      </c>
      <c r="C1108" s="262"/>
      <c r="D1108" s="262"/>
      <c r="E1108" s="262"/>
      <c r="F1108" s="262"/>
      <c r="G1108" s="80">
        <f>G1106+G1107</f>
        <v>273185</v>
      </c>
    </row>
    <row r="1109" spans="1:7">
      <c r="A1109" s="90"/>
      <c r="B1109" s="91"/>
      <c r="C1109" s="91"/>
      <c r="D1109" s="91"/>
      <c r="E1109" s="91"/>
      <c r="F1109" s="91"/>
      <c r="G1109" s="92"/>
    </row>
    <row r="1110" spans="1:7">
      <c r="A1110" s="4" t="s">
        <v>534</v>
      </c>
      <c r="B1110" s="91"/>
      <c r="C1110" s="91"/>
      <c r="D1110" s="91"/>
      <c r="E1110" s="91"/>
      <c r="F1110" s="91"/>
      <c r="G1110" s="92"/>
    </row>
    <row r="1111" spans="1:7" ht="30">
      <c r="A1111" s="79" t="s">
        <v>0</v>
      </c>
      <c r="B1111" s="79" t="s">
        <v>1</v>
      </c>
      <c r="C1111" s="79" t="s">
        <v>207</v>
      </c>
      <c r="D1111" s="79" t="s">
        <v>3</v>
      </c>
      <c r="E1111" s="79" t="s">
        <v>2</v>
      </c>
      <c r="F1111" s="79" t="s">
        <v>417</v>
      </c>
      <c r="G1111" s="79" t="s">
        <v>418</v>
      </c>
    </row>
    <row r="1112" spans="1:7">
      <c r="A1112" s="8" t="s">
        <v>4</v>
      </c>
      <c r="B1112" s="1" t="s">
        <v>5</v>
      </c>
      <c r="C1112" s="8"/>
      <c r="D1112" s="9"/>
      <c r="E1112" s="19"/>
      <c r="F1112" s="2"/>
      <c r="G1112" s="2"/>
    </row>
    <row r="1113" spans="1:7">
      <c r="A1113" s="8">
        <v>1</v>
      </c>
      <c r="B1113" s="1" t="s">
        <v>48</v>
      </c>
      <c r="C1113" s="8" t="s">
        <v>49</v>
      </c>
      <c r="D1113" s="9" t="s">
        <v>8</v>
      </c>
      <c r="E1113" s="10" t="s">
        <v>60</v>
      </c>
      <c r="F1113" s="83">
        <f>VLOOKUP(B1113,'HSD UPAH,BAHAN,ALAT'!$C$6:F1227,4,FALSE)</f>
        <v>100000</v>
      </c>
      <c r="G1113" s="84">
        <f t="shared" ref="G1113:G1116" si="140">E1113*F1113</f>
        <v>6700</v>
      </c>
    </row>
    <row r="1114" spans="1:7">
      <c r="A1114" s="8">
        <v>2</v>
      </c>
      <c r="B1114" s="1" t="s">
        <v>6</v>
      </c>
      <c r="C1114" s="8" t="s">
        <v>7</v>
      </c>
      <c r="D1114" s="9" t="s">
        <v>8</v>
      </c>
      <c r="E1114" s="10" t="s">
        <v>60</v>
      </c>
      <c r="F1114" s="83">
        <f>VLOOKUP(B1114,'HSD UPAH,BAHAN,ALAT'!$C$6:F1228,4,FALSE)</f>
        <v>100000</v>
      </c>
      <c r="G1114" s="84">
        <f t="shared" si="140"/>
        <v>6700</v>
      </c>
    </row>
    <row r="1115" spans="1:7">
      <c r="A1115" s="8">
        <v>3</v>
      </c>
      <c r="B1115" s="1" t="s">
        <v>10</v>
      </c>
      <c r="C1115" s="8" t="s">
        <v>11</v>
      </c>
      <c r="D1115" s="9" t="s">
        <v>8</v>
      </c>
      <c r="E1115" s="10" t="s">
        <v>61</v>
      </c>
      <c r="F1115" s="83">
        <f>VLOOKUP(B1115,'HSD UPAH,BAHAN,ALAT'!$C$6:F1229,4,FALSE)</f>
        <v>120000</v>
      </c>
      <c r="G1115" s="84">
        <f t="shared" si="140"/>
        <v>2640</v>
      </c>
    </row>
    <row r="1116" spans="1:7">
      <c r="A1116" s="8">
        <v>4</v>
      </c>
      <c r="B1116" s="1" t="s">
        <v>13</v>
      </c>
      <c r="C1116" s="8" t="s">
        <v>14</v>
      </c>
      <c r="D1116" s="9" t="s">
        <v>8</v>
      </c>
      <c r="E1116" s="10" t="s">
        <v>62</v>
      </c>
      <c r="F1116" s="83">
        <f>VLOOKUP(B1116,'HSD UPAH,BAHAN,ALAT'!$C$6:F1230,4,FALSE)</f>
        <v>100000</v>
      </c>
      <c r="G1116" s="84">
        <f t="shared" si="140"/>
        <v>730</v>
      </c>
    </row>
    <row r="1117" spans="1:7">
      <c r="A1117" s="261" t="s">
        <v>420</v>
      </c>
      <c r="B1117" s="261"/>
      <c r="C1117" s="261"/>
      <c r="D1117" s="261"/>
      <c r="E1117" s="261"/>
      <c r="F1117" s="261"/>
      <c r="G1117" s="85">
        <f>SUM(G1113:G1116)</f>
        <v>16770</v>
      </c>
    </row>
    <row r="1118" spans="1:7">
      <c r="A1118" s="8" t="s">
        <v>16</v>
      </c>
      <c r="B1118" s="1" t="s">
        <v>17</v>
      </c>
      <c r="C1118" s="8"/>
      <c r="D1118" s="9"/>
      <c r="E1118" s="19"/>
      <c r="F1118" s="2"/>
      <c r="G1118" s="2"/>
    </row>
    <row r="1119" spans="1:7" ht="30">
      <c r="A1119" s="17" t="s">
        <v>208</v>
      </c>
      <c r="B1119" s="5" t="s">
        <v>269</v>
      </c>
      <c r="C1119" s="8"/>
      <c r="D1119" s="12" t="s">
        <v>86</v>
      </c>
      <c r="E1119" s="7" t="s">
        <v>87</v>
      </c>
      <c r="F1119" s="83">
        <f>VLOOKUP(B1119,'HSD UPAH,BAHAN,ALAT'!$C$6:F1233,4,FALSE)</f>
        <v>10000</v>
      </c>
      <c r="G1119" s="84">
        <f t="shared" ref="G1119:G1120" si="141">E1119*F1119</f>
        <v>10500</v>
      </c>
    </row>
    <row r="1120" spans="1:7">
      <c r="A1120" s="8">
        <v>2</v>
      </c>
      <c r="B1120" s="1" t="s">
        <v>18</v>
      </c>
      <c r="C1120" s="8"/>
      <c r="D1120" s="9" t="s">
        <v>19</v>
      </c>
      <c r="E1120" s="10" t="s">
        <v>53</v>
      </c>
      <c r="F1120" s="83">
        <f>VLOOKUP(B1120,'HSD UPAH,BAHAN,ALAT'!$C$6:F1234,4,FALSE)</f>
        <v>10000</v>
      </c>
      <c r="G1120" s="84">
        <f t="shared" si="141"/>
        <v>100</v>
      </c>
    </row>
    <row r="1121" spans="1:7">
      <c r="A1121" s="8">
        <v>3</v>
      </c>
      <c r="B1121" s="1" t="s">
        <v>21</v>
      </c>
      <c r="C1121" s="8"/>
      <c r="D1121" s="9"/>
      <c r="E1121" s="19"/>
      <c r="F1121" s="2"/>
      <c r="G1121" s="2"/>
    </row>
    <row r="1122" spans="1:7">
      <c r="A1122" s="8" t="s">
        <v>22</v>
      </c>
      <c r="B1122" s="1" t="s">
        <v>54</v>
      </c>
      <c r="C1122" s="8"/>
      <c r="D1122" s="9" t="s">
        <v>24</v>
      </c>
      <c r="E1122" s="10" t="s">
        <v>55</v>
      </c>
      <c r="F1122" s="83">
        <f>VLOOKUP(B1122,'HSD UPAH,BAHAN,ALAT'!$C$6:F1236,4,FALSE)</f>
        <v>10000</v>
      </c>
      <c r="G1122" s="84">
        <f t="shared" ref="G1122:G1123" si="142">E1122*F1122</f>
        <v>120000</v>
      </c>
    </row>
    <row r="1123" spans="1:7">
      <c r="A1123" s="8" t="s">
        <v>30</v>
      </c>
      <c r="B1123" s="1" t="s">
        <v>56</v>
      </c>
      <c r="C1123" s="8"/>
      <c r="D1123" s="9" t="s">
        <v>24</v>
      </c>
      <c r="E1123" s="10" t="s">
        <v>57</v>
      </c>
      <c r="F1123" s="83">
        <f>VLOOKUP(B1123,'HSD UPAH,BAHAN,ALAT'!$C$6:F1237,4,FALSE)</f>
        <v>10000</v>
      </c>
      <c r="G1123" s="84">
        <f t="shared" si="142"/>
        <v>100000</v>
      </c>
    </row>
    <row r="1124" spans="1:7">
      <c r="A1124" s="8">
        <v>4</v>
      </c>
      <c r="B1124" s="1" t="s">
        <v>26</v>
      </c>
      <c r="C1124" s="8"/>
      <c r="D1124" s="9"/>
      <c r="E1124" s="19"/>
      <c r="F1124" s="2"/>
      <c r="G1124" s="2"/>
    </row>
    <row r="1125" spans="1:7">
      <c r="A1125" s="8" t="s">
        <v>22</v>
      </c>
      <c r="B1125" s="1" t="s">
        <v>27</v>
      </c>
      <c r="C1125" s="8"/>
      <c r="D1125" s="9" t="s">
        <v>28</v>
      </c>
      <c r="E1125" s="10" t="s">
        <v>63</v>
      </c>
      <c r="F1125" s="83">
        <f>VLOOKUP(B1125,'HSD UPAH,BAHAN,ALAT'!$C$6:F1239,4,FALSE)</f>
        <v>10000</v>
      </c>
      <c r="G1125" s="84">
        <f t="shared" ref="G1125:G1127" si="143">E1125*F1125</f>
        <v>730</v>
      </c>
    </row>
    <row r="1126" spans="1:7">
      <c r="A1126" s="8" t="s">
        <v>30</v>
      </c>
      <c r="B1126" s="1" t="s">
        <v>31</v>
      </c>
      <c r="C1126" s="8"/>
      <c r="D1126" s="9" t="s">
        <v>28</v>
      </c>
      <c r="E1126" s="10" t="s">
        <v>64</v>
      </c>
      <c r="F1126" s="83">
        <f>VLOOKUP(B1126,'HSD UPAH,BAHAN,ALAT'!$C$6:F1240,4,FALSE)</f>
        <v>10000</v>
      </c>
      <c r="G1126" s="84">
        <f t="shared" si="143"/>
        <v>200</v>
      </c>
    </row>
    <row r="1127" spans="1:7">
      <c r="A1127" s="8" t="s">
        <v>33</v>
      </c>
      <c r="B1127" s="1" t="s">
        <v>34</v>
      </c>
      <c r="C1127" s="8"/>
      <c r="D1127" s="9" t="s">
        <v>28</v>
      </c>
      <c r="E1127" s="10" t="s">
        <v>20</v>
      </c>
      <c r="F1127" s="83">
        <f>VLOOKUP(B1127,'HSD UPAH,BAHAN,ALAT'!$C$6:F1241,4,FALSE)</f>
        <v>10000</v>
      </c>
      <c r="G1127" s="84">
        <f t="shared" si="143"/>
        <v>50</v>
      </c>
    </row>
    <row r="1128" spans="1:7">
      <c r="A1128" s="261" t="s">
        <v>421</v>
      </c>
      <c r="B1128" s="261"/>
      <c r="C1128" s="261"/>
      <c r="D1128" s="261"/>
      <c r="E1128" s="261"/>
      <c r="F1128" s="261"/>
      <c r="G1128" s="85">
        <f>SUM(G1119:G1127)</f>
        <v>231580</v>
      </c>
    </row>
    <row r="1129" spans="1:7">
      <c r="A1129" s="8" t="s">
        <v>36</v>
      </c>
      <c r="B1129" s="1" t="s">
        <v>37</v>
      </c>
      <c r="C1129" s="8"/>
      <c r="D1129" s="9"/>
      <c r="E1129" s="19"/>
      <c r="F1129" s="2"/>
      <c r="G1129" s="2"/>
    </row>
    <row r="1130" spans="1:7">
      <c r="A1130" s="263" t="s">
        <v>419</v>
      </c>
      <c r="B1130" s="263"/>
      <c r="C1130" s="263"/>
      <c r="D1130" s="263"/>
      <c r="E1130" s="263"/>
      <c r="F1130" s="263"/>
      <c r="G1130" s="80">
        <f>SUM(G1129)</f>
        <v>0</v>
      </c>
    </row>
    <row r="1131" spans="1:7">
      <c r="A1131" s="81" t="s">
        <v>38</v>
      </c>
      <c r="B1131" s="262" t="s">
        <v>39</v>
      </c>
      <c r="C1131" s="262"/>
      <c r="D1131" s="262"/>
      <c r="E1131" s="262"/>
      <c r="F1131" s="262"/>
      <c r="G1131" s="80">
        <f>SUM(G1113:G1130)/2</f>
        <v>248350</v>
      </c>
    </row>
    <row r="1132" spans="1:7">
      <c r="A1132" s="81" t="s">
        <v>40</v>
      </c>
      <c r="B1132" s="262" t="s">
        <v>180</v>
      </c>
      <c r="C1132" s="262"/>
      <c r="D1132" s="262"/>
      <c r="E1132" s="262"/>
      <c r="F1132" s="82">
        <v>0.1</v>
      </c>
      <c r="G1132" s="80">
        <f>G1131*F1132</f>
        <v>24835</v>
      </c>
    </row>
    <row r="1133" spans="1:7">
      <c r="A1133" s="81" t="s">
        <v>41</v>
      </c>
      <c r="B1133" s="262" t="s">
        <v>42</v>
      </c>
      <c r="C1133" s="262"/>
      <c r="D1133" s="262"/>
      <c r="E1133" s="262"/>
      <c r="F1133" s="262"/>
      <c r="G1133" s="80">
        <f>G1131+G1132</f>
        <v>273185</v>
      </c>
    </row>
    <row r="1134" spans="1:7">
      <c r="A1134" s="90"/>
      <c r="B1134" s="91"/>
      <c r="C1134" s="91"/>
      <c r="D1134" s="91"/>
      <c r="E1134" s="91"/>
      <c r="F1134" s="91"/>
      <c r="G1134" s="92"/>
    </row>
    <row r="1135" spans="1:7">
      <c r="A1135" s="4" t="s">
        <v>535</v>
      </c>
      <c r="B1135" s="91"/>
      <c r="C1135" s="91"/>
      <c r="D1135" s="91"/>
      <c r="E1135" s="91"/>
      <c r="F1135" s="91"/>
      <c r="G1135" s="92"/>
    </row>
    <row r="1136" spans="1:7" ht="30">
      <c r="A1136" s="79" t="s">
        <v>0</v>
      </c>
      <c r="B1136" s="79" t="s">
        <v>1</v>
      </c>
      <c r="C1136" s="79" t="s">
        <v>207</v>
      </c>
      <c r="D1136" s="79" t="s">
        <v>3</v>
      </c>
      <c r="E1136" s="79" t="s">
        <v>2</v>
      </c>
      <c r="F1136" s="79" t="s">
        <v>417</v>
      </c>
      <c r="G1136" s="79" t="s">
        <v>418</v>
      </c>
    </row>
    <row r="1137" spans="1:7">
      <c r="A1137" s="8" t="s">
        <v>4</v>
      </c>
      <c r="B1137" s="1" t="s">
        <v>5</v>
      </c>
      <c r="C1137" s="8"/>
      <c r="D1137" s="9"/>
      <c r="E1137" s="19"/>
      <c r="F1137" s="2"/>
      <c r="G1137" s="2"/>
    </row>
    <row r="1138" spans="1:7">
      <c r="A1138" s="8">
        <v>1</v>
      </c>
      <c r="B1138" s="1" t="s">
        <v>48</v>
      </c>
      <c r="C1138" s="8" t="s">
        <v>49</v>
      </c>
      <c r="D1138" s="9" t="s">
        <v>8</v>
      </c>
      <c r="E1138" s="10" t="s">
        <v>60</v>
      </c>
      <c r="F1138" s="83">
        <f>VLOOKUP(B1138,'HSD UPAH,BAHAN,ALAT'!$C$6:F1250,4,FALSE)</f>
        <v>100000</v>
      </c>
      <c r="G1138" s="84">
        <f t="shared" ref="G1138:G1141" si="144">E1138*F1138</f>
        <v>6700</v>
      </c>
    </row>
    <row r="1139" spans="1:7">
      <c r="A1139" s="8">
        <v>2</v>
      </c>
      <c r="B1139" s="1" t="s">
        <v>6</v>
      </c>
      <c r="C1139" s="8" t="s">
        <v>7</v>
      </c>
      <c r="D1139" s="9" t="s">
        <v>8</v>
      </c>
      <c r="E1139" s="10" t="s">
        <v>60</v>
      </c>
      <c r="F1139" s="83">
        <f>VLOOKUP(B1139,'HSD UPAH,BAHAN,ALAT'!$C$6:F1251,4,FALSE)</f>
        <v>100000</v>
      </c>
      <c r="G1139" s="84">
        <f t="shared" si="144"/>
        <v>6700</v>
      </c>
    </row>
    <row r="1140" spans="1:7">
      <c r="A1140" s="8">
        <v>3</v>
      </c>
      <c r="B1140" s="1" t="s">
        <v>10</v>
      </c>
      <c r="C1140" s="8" t="s">
        <v>11</v>
      </c>
      <c r="D1140" s="9" t="s">
        <v>8</v>
      </c>
      <c r="E1140" s="10" t="s">
        <v>61</v>
      </c>
      <c r="F1140" s="83">
        <f>VLOOKUP(B1140,'HSD UPAH,BAHAN,ALAT'!$C$6:F1252,4,FALSE)</f>
        <v>120000</v>
      </c>
      <c r="G1140" s="84">
        <f t="shared" si="144"/>
        <v>2640</v>
      </c>
    </row>
    <row r="1141" spans="1:7">
      <c r="A1141" s="8">
        <v>4</v>
      </c>
      <c r="B1141" s="1" t="s">
        <v>13</v>
      </c>
      <c r="C1141" s="8" t="s">
        <v>14</v>
      </c>
      <c r="D1141" s="9" t="s">
        <v>8</v>
      </c>
      <c r="E1141" s="10" t="s">
        <v>62</v>
      </c>
      <c r="F1141" s="83">
        <f>VLOOKUP(B1141,'HSD UPAH,BAHAN,ALAT'!$C$6:F1253,4,FALSE)</f>
        <v>100000</v>
      </c>
      <c r="G1141" s="84">
        <f t="shared" si="144"/>
        <v>730</v>
      </c>
    </row>
    <row r="1142" spans="1:7">
      <c r="A1142" s="261" t="s">
        <v>420</v>
      </c>
      <c r="B1142" s="261"/>
      <c r="C1142" s="261"/>
      <c r="D1142" s="261"/>
      <c r="E1142" s="261"/>
      <c r="F1142" s="261"/>
      <c r="G1142" s="85">
        <f>SUM(G1138:G1141)</f>
        <v>16770</v>
      </c>
    </row>
    <row r="1143" spans="1:7">
      <c r="A1143" s="8" t="s">
        <v>16</v>
      </c>
      <c r="B1143" s="1" t="s">
        <v>17</v>
      </c>
      <c r="C1143" s="8"/>
      <c r="D1143" s="9"/>
      <c r="E1143" s="19"/>
      <c r="F1143" s="2"/>
      <c r="G1143" s="2"/>
    </row>
    <row r="1144" spans="1:7" ht="30">
      <c r="A1144" s="17" t="s">
        <v>208</v>
      </c>
      <c r="B1144" s="5" t="s">
        <v>270</v>
      </c>
      <c r="C1144" s="8"/>
      <c r="D1144" s="12" t="s">
        <v>86</v>
      </c>
      <c r="E1144" s="7" t="s">
        <v>87</v>
      </c>
      <c r="F1144" s="83">
        <f>VLOOKUP(B1144,'HSD UPAH,BAHAN,ALAT'!$C$6:F1256,4,FALSE)</f>
        <v>10000</v>
      </c>
      <c r="G1144" s="84">
        <f t="shared" ref="G1144:G1145" si="145">E1144*F1144</f>
        <v>10500</v>
      </c>
    </row>
    <row r="1145" spans="1:7">
      <c r="A1145" s="8">
        <v>2</v>
      </c>
      <c r="B1145" s="1" t="s">
        <v>18</v>
      </c>
      <c r="C1145" s="8"/>
      <c r="D1145" s="9" t="s">
        <v>19</v>
      </c>
      <c r="E1145" s="10" t="s">
        <v>53</v>
      </c>
      <c r="F1145" s="83">
        <f>VLOOKUP(B1145,'HSD UPAH,BAHAN,ALAT'!$C$6:F1257,4,FALSE)</f>
        <v>10000</v>
      </c>
      <c r="G1145" s="84">
        <f t="shared" si="145"/>
        <v>100</v>
      </c>
    </row>
    <row r="1146" spans="1:7">
      <c r="A1146" s="8">
        <v>3</v>
      </c>
      <c r="B1146" s="1" t="s">
        <v>21</v>
      </c>
      <c r="C1146" s="8"/>
      <c r="D1146" s="9"/>
      <c r="E1146" s="19"/>
      <c r="F1146" s="2"/>
      <c r="G1146" s="2"/>
    </row>
    <row r="1147" spans="1:7">
      <c r="A1147" s="8" t="s">
        <v>22</v>
      </c>
      <c r="B1147" s="1" t="s">
        <v>54</v>
      </c>
      <c r="C1147" s="8"/>
      <c r="D1147" s="9" t="s">
        <v>24</v>
      </c>
      <c r="E1147" s="10" t="s">
        <v>55</v>
      </c>
      <c r="F1147" s="83">
        <f>VLOOKUP(B1147,'HSD UPAH,BAHAN,ALAT'!$C$6:F1259,4,FALSE)</f>
        <v>10000</v>
      </c>
      <c r="G1147" s="84">
        <f t="shared" ref="G1147:G1148" si="146">E1147*F1147</f>
        <v>120000</v>
      </c>
    </row>
    <row r="1148" spans="1:7">
      <c r="A1148" s="8" t="s">
        <v>30</v>
      </c>
      <c r="B1148" s="1" t="s">
        <v>56</v>
      </c>
      <c r="C1148" s="8"/>
      <c r="D1148" s="9" t="s">
        <v>24</v>
      </c>
      <c r="E1148" s="10" t="s">
        <v>57</v>
      </c>
      <c r="F1148" s="83">
        <f>VLOOKUP(B1148,'HSD UPAH,BAHAN,ALAT'!$C$6:F1260,4,FALSE)</f>
        <v>10000</v>
      </c>
      <c r="G1148" s="84">
        <f t="shared" si="146"/>
        <v>100000</v>
      </c>
    </row>
    <row r="1149" spans="1:7">
      <c r="A1149" s="8">
        <v>4</v>
      </c>
      <c r="B1149" s="1" t="s">
        <v>26</v>
      </c>
      <c r="C1149" s="8"/>
      <c r="D1149" s="9"/>
      <c r="E1149" s="19"/>
      <c r="F1149" s="2"/>
      <c r="G1149" s="2"/>
    </row>
    <row r="1150" spans="1:7">
      <c r="A1150" s="8" t="s">
        <v>22</v>
      </c>
      <c r="B1150" s="1" t="s">
        <v>27</v>
      </c>
      <c r="C1150" s="8"/>
      <c r="D1150" s="9" t="s">
        <v>28</v>
      </c>
      <c r="E1150" s="10" t="s">
        <v>63</v>
      </c>
      <c r="F1150" s="83">
        <f>VLOOKUP(B1150,'HSD UPAH,BAHAN,ALAT'!$C$6:F1262,4,FALSE)</f>
        <v>10000</v>
      </c>
      <c r="G1150" s="84">
        <f t="shared" ref="G1150:G1152" si="147">E1150*F1150</f>
        <v>730</v>
      </c>
    </row>
    <row r="1151" spans="1:7">
      <c r="A1151" s="8" t="s">
        <v>30</v>
      </c>
      <c r="B1151" s="1" t="s">
        <v>31</v>
      </c>
      <c r="C1151" s="8"/>
      <c r="D1151" s="9" t="s">
        <v>28</v>
      </c>
      <c r="E1151" s="10" t="s">
        <v>64</v>
      </c>
      <c r="F1151" s="83">
        <f>VLOOKUP(B1151,'HSD UPAH,BAHAN,ALAT'!$C$6:F1263,4,FALSE)</f>
        <v>10000</v>
      </c>
      <c r="G1151" s="84">
        <f t="shared" si="147"/>
        <v>200</v>
      </c>
    </row>
    <row r="1152" spans="1:7">
      <c r="A1152" s="8" t="s">
        <v>33</v>
      </c>
      <c r="B1152" s="1" t="s">
        <v>34</v>
      </c>
      <c r="C1152" s="8"/>
      <c r="D1152" s="9" t="s">
        <v>28</v>
      </c>
      <c r="E1152" s="10" t="s">
        <v>20</v>
      </c>
      <c r="F1152" s="83">
        <f>VLOOKUP(B1152,'HSD UPAH,BAHAN,ALAT'!$C$6:F1264,4,FALSE)</f>
        <v>10000</v>
      </c>
      <c r="G1152" s="84">
        <f t="shared" si="147"/>
        <v>50</v>
      </c>
    </row>
    <row r="1153" spans="1:7">
      <c r="A1153" s="261" t="s">
        <v>421</v>
      </c>
      <c r="B1153" s="261"/>
      <c r="C1153" s="261"/>
      <c r="D1153" s="261"/>
      <c r="E1153" s="261"/>
      <c r="F1153" s="261"/>
      <c r="G1153" s="85">
        <f>SUM(G1144:G1152)</f>
        <v>231580</v>
      </c>
    </row>
    <row r="1154" spans="1:7">
      <c r="A1154" s="8" t="s">
        <v>36</v>
      </c>
      <c r="B1154" s="1" t="s">
        <v>37</v>
      </c>
      <c r="C1154" s="8"/>
      <c r="D1154" s="9"/>
      <c r="E1154" s="19"/>
      <c r="F1154" s="2"/>
      <c r="G1154" s="2"/>
    </row>
    <row r="1155" spans="1:7">
      <c r="A1155" s="263" t="s">
        <v>419</v>
      </c>
      <c r="B1155" s="263"/>
      <c r="C1155" s="263"/>
      <c r="D1155" s="263"/>
      <c r="E1155" s="263"/>
      <c r="F1155" s="263"/>
      <c r="G1155" s="80">
        <f>SUM(G1154)</f>
        <v>0</v>
      </c>
    </row>
    <row r="1156" spans="1:7">
      <c r="A1156" s="81" t="s">
        <v>38</v>
      </c>
      <c r="B1156" s="262" t="s">
        <v>39</v>
      </c>
      <c r="C1156" s="262"/>
      <c r="D1156" s="262"/>
      <c r="E1156" s="262"/>
      <c r="F1156" s="262"/>
      <c r="G1156" s="80">
        <f>SUM(G1138:G1155)/2</f>
        <v>248350</v>
      </c>
    </row>
    <row r="1157" spans="1:7">
      <c r="A1157" s="81" t="s">
        <v>40</v>
      </c>
      <c r="B1157" s="262" t="s">
        <v>180</v>
      </c>
      <c r="C1157" s="262"/>
      <c r="D1157" s="262"/>
      <c r="E1157" s="262"/>
      <c r="F1157" s="82">
        <v>0.1</v>
      </c>
      <c r="G1157" s="80">
        <f>G1156*F1157</f>
        <v>24835</v>
      </c>
    </row>
    <row r="1158" spans="1:7">
      <c r="A1158" s="81" t="s">
        <v>41</v>
      </c>
      <c r="B1158" s="262" t="s">
        <v>42</v>
      </c>
      <c r="C1158" s="262"/>
      <c r="D1158" s="262"/>
      <c r="E1158" s="262"/>
      <c r="F1158" s="262"/>
      <c r="G1158" s="80">
        <f>G1156+G1157</f>
        <v>273185</v>
      </c>
    </row>
    <row r="1159" spans="1:7">
      <c r="A1159" s="90"/>
      <c r="B1159" s="91"/>
      <c r="C1159" s="91"/>
      <c r="D1159" s="91"/>
      <c r="E1159" s="91"/>
      <c r="F1159" s="91"/>
      <c r="G1159" s="92"/>
    </row>
    <row r="1160" spans="1:7">
      <c r="A1160" s="4" t="s">
        <v>536</v>
      </c>
      <c r="B1160" s="91"/>
      <c r="C1160" s="91"/>
      <c r="D1160" s="91"/>
      <c r="E1160" s="91"/>
      <c r="F1160" s="91"/>
      <c r="G1160" s="92"/>
    </row>
    <row r="1161" spans="1:7" ht="30">
      <c r="A1161" s="79" t="s">
        <v>0</v>
      </c>
      <c r="B1161" s="79" t="s">
        <v>1</v>
      </c>
      <c r="C1161" s="79" t="s">
        <v>207</v>
      </c>
      <c r="D1161" s="79" t="s">
        <v>3</v>
      </c>
      <c r="E1161" s="79" t="s">
        <v>2</v>
      </c>
      <c r="F1161" s="79" t="s">
        <v>417</v>
      </c>
      <c r="G1161" s="79" t="s">
        <v>418</v>
      </c>
    </row>
    <row r="1162" spans="1:7">
      <c r="A1162" s="8" t="s">
        <v>4</v>
      </c>
      <c r="B1162" s="1" t="s">
        <v>5</v>
      </c>
      <c r="C1162" s="8"/>
      <c r="D1162" s="9"/>
      <c r="E1162" s="19"/>
      <c r="F1162" s="2"/>
      <c r="G1162" s="2"/>
    </row>
    <row r="1163" spans="1:7">
      <c r="A1163" s="8">
        <v>1</v>
      </c>
      <c r="B1163" s="1" t="s">
        <v>48</v>
      </c>
      <c r="C1163" s="8" t="s">
        <v>49</v>
      </c>
      <c r="D1163" s="9" t="s">
        <v>8</v>
      </c>
      <c r="E1163" s="10" t="s">
        <v>60</v>
      </c>
      <c r="F1163" s="83">
        <f>VLOOKUP(B1163,'HSD UPAH,BAHAN,ALAT'!$C$6:F1273,4,FALSE)</f>
        <v>100000</v>
      </c>
      <c r="G1163" s="84">
        <f t="shared" ref="G1163:G1166" si="148">E1163*F1163</f>
        <v>6700</v>
      </c>
    </row>
    <row r="1164" spans="1:7">
      <c r="A1164" s="8">
        <v>2</v>
      </c>
      <c r="B1164" s="1" t="s">
        <v>6</v>
      </c>
      <c r="C1164" s="8" t="s">
        <v>7</v>
      </c>
      <c r="D1164" s="9" t="s">
        <v>8</v>
      </c>
      <c r="E1164" s="10" t="s">
        <v>60</v>
      </c>
      <c r="F1164" s="83">
        <f>VLOOKUP(B1164,'HSD UPAH,BAHAN,ALAT'!$C$6:F1274,4,FALSE)</f>
        <v>100000</v>
      </c>
      <c r="G1164" s="84">
        <f t="shared" si="148"/>
        <v>6700</v>
      </c>
    </row>
    <row r="1165" spans="1:7">
      <c r="A1165" s="8">
        <v>3</v>
      </c>
      <c r="B1165" s="1" t="s">
        <v>10</v>
      </c>
      <c r="C1165" s="8" t="s">
        <v>11</v>
      </c>
      <c r="D1165" s="9" t="s">
        <v>8</v>
      </c>
      <c r="E1165" s="10" t="s">
        <v>61</v>
      </c>
      <c r="F1165" s="83">
        <f>VLOOKUP(B1165,'HSD UPAH,BAHAN,ALAT'!$C$6:F1275,4,FALSE)</f>
        <v>120000</v>
      </c>
      <c r="G1165" s="84">
        <f t="shared" si="148"/>
        <v>2640</v>
      </c>
    </row>
    <row r="1166" spans="1:7">
      <c r="A1166" s="8">
        <v>4</v>
      </c>
      <c r="B1166" s="1" t="s">
        <v>13</v>
      </c>
      <c r="C1166" s="8" t="s">
        <v>14</v>
      </c>
      <c r="D1166" s="9" t="s">
        <v>8</v>
      </c>
      <c r="E1166" s="10" t="s">
        <v>62</v>
      </c>
      <c r="F1166" s="83">
        <f>VLOOKUP(B1166,'HSD UPAH,BAHAN,ALAT'!$C$6:F1276,4,FALSE)</f>
        <v>100000</v>
      </c>
      <c r="G1166" s="84">
        <f t="shared" si="148"/>
        <v>730</v>
      </c>
    </row>
    <row r="1167" spans="1:7">
      <c r="A1167" s="261" t="s">
        <v>420</v>
      </c>
      <c r="B1167" s="261"/>
      <c r="C1167" s="261"/>
      <c r="D1167" s="261"/>
      <c r="E1167" s="261"/>
      <c r="F1167" s="261"/>
      <c r="G1167" s="85">
        <f>SUM(G1163:G1166)</f>
        <v>16770</v>
      </c>
    </row>
    <row r="1168" spans="1:7">
      <c r="A1168" s="8" t="s">
        <v>16</v>
      </c>
      <c r="B1168" s="1" t="s">
        <v>17</v>
      </c>
      <c r="C1168" s="8"/>
      <c r="D1168" s="9"/>
      <c r="E1168" s="19"/>
      <c r="F1168" s="2"/>
      <c r="G1168" s="2"/>
    </row>
    <row r="1169" spans="1:7" ht="30">
      <c r="A1169" s="17" t="s">
        <v>208</v>
      </c>
      <c r="B1169" s="5" t="s">
        <v>271</v>
      </c>
      <c r="C1169" s="8"/>
      <c r="D1169" s="12" t="s">
        <v>86</v>
      </c>
      <c r="E1169" s="7" t="s">
        <v>87</v>
      </c>
      <c r="F1169" s="83">
        <f>VLOOKUP(B1169,'HSD UPAH,BAHAN,ALAT'!$C$6:F1279,4,FALSE)</f>
        <v>10000</v>
      </c>
      <c r="G1169" s="84">
        <f t="shared" ref="G1169:G1177" si="149">E1169*F1169</f>
        <v>10500</v>
      </c>
    </row>
    <row r="1170" spans="1:7">
      <c r="A1170" s="8">
        <v>2</v>
      </c>
      <c r="B1170" s="1" t="s">
        <v>18</v>
      </c>
      <c r="C1170" s="8"/>
      <c r="D1170" s="9" t="s">
        <v>19</v>
      </c>
      <c r="E1170" s="10" t="s">
        <v>53</v>
      </c>
      <c r="F1170" s="83">
        <f>VLOOKUP(B1170,'HSD UPAH,BAHAN,ALAT'!$C$6:F1280,4,FALSE)</f>
        <v>10000</v>
      </c>
      <c r="G1170" s="84">
        <f t="shared" si="149"/>
        <v>100</v>
      </c>
    </row>
    <row r="1171" spans="1:7">
      <c r="A1171" s="8">
        <v>3</v>
      </c>
      <c r="B1171" s="1" t="s">
        <v>21</v>
      </c>
      <c r="C1171" s="8"/>
      <c r="D1171" s="9"/>
      <c r="E1171" s="19"/>
      <c r="F1171" s="83"/>
      <c r="G1171" s="84"/>
    </row>
    <row r="1172" spans="1:7">
      <c r="A1172" s="8" t="s">
        <v>22</v>
      </c>
      <c r="B1172" s="1" t="s">
        <v>54</v>
      </c>
      <c r="C1172" s="8"/>
      <c r="D1172" s="9" t="s">
        <v>24</v>
      </c>
      <c r="E1172" s="10" t="s">
        <v>55</v>
      </c>
      <c r="F1172" s="83">
        <f>VLOOKUP(B1172,'HSD UPAH,BAHAN,ALAT'!$C$6:F1282,4,FALSE)</f>
        <v>10000</v>
      </c>
      <c r="G1172" s="84">
        <f t="shared" si="149"/>
        <v>120000</v>
      </c>
    </row>
    <row r="1173" spans="1:7">
      <c r="A1173" s="8" t="s">
        <v>30</v>
      </c>
      <c r="B1173" s="1" t="s">
        <v>56</v>
      </c>
      <c r="C1173" s="8"/>
      <c r="D1173" s="9" t="s">
        <v>24</v>
      </c>
      <c r="E1173" s="10" t="s">
        <v>57</v>
      </c>
      <c r="F1173" s="83">
        <f>VLOOKUP(B1173,'HSD UPAH,BAHAN,ALAT'!$C$6:F1283,4,FALSE)</f>
        <v>10000</v>
      </c>
      <c r="G1173" s="84">
        <f t="shared" si="149"/>
        <v>100000</v>
      </c>
    </row>
    <row r="1174" spans="1:7">
      <c r="A1174" s="8">
        <v>4</v>
      </c>
      <c r="B1174" s="1" t="s">
        <v>26</v>
      </c>
      <c r="C1174" s="8"/>
      <c r="D1174" s="9"/>
      <c r="E1174" s="19"/>
      <c r="F1174" s="83"/>
      <c r="G1174" s="84"/>
    </row>
    <row r="1175" spans="1:7">
      <c r="A1175" s="8" t="s">
        <v>22</v>
      </c>
      <c r="B1175" s="1" t="s">
        <v>27</v>
      </c>
      <c r="C1175" s="8"/>
      <c r="D1175" s="9" t="s">
        <v>28</v>
      </c>
      <c r="E1175" s="10" t="s">
        <v>63</v>
      </c>
      <c r="F1175" s="83">
        <f>VLOOKUP(B1175,'HSD UPAH,BAHAN,ALAT'!$C$6:F1285,4,FALSE)</f>
        <v>10000</v>
      </c>
      <c r="G1175" s="84">
        <f t="shared" si="149"/>
        <v>730</v>
      </c>
    </row>
    <row r="1176" spans="1:7">
      <c r="A1176" s="8" t="s">
        <v>30</v>
      </c>
      <c r="B1176" s="1" t="s">
        <v>31</v>
      </c>
      <c r="C1176" s="8"/>
      <c r="D1176" s="9" t="s">
        <v>28</v>
      </c>
      <c r="E1176" s="10" t="s">
        <v>64</v>
      </c>
      <c r="F1176" s="83">
        <f>VLOOKUP(B1176,'HSD UPAH,BAHAN,ALAT'!$C$6:F1286,4,FALSE)</f>
        <v>10000</v>
      </c>
      <c r="G1176" s="84">
        <f t="shared" si="149"/>
        <v>200</v>
      </c>
    </row>
    <row r="1177" spans="1:7">
      <c r="A1177" s="8" t="s">
        <v>33</v>
      </c>
      <c r="B1177" s="1" t="s">
        <v>34</v>
      </c>
      <c r="C1177" s="8"/>
      <c r="D1177" s="9" t="s">
        <v>28</v>
      </c>
      <c r="E1177" s="10" t="s">
        <v>20</v>
      </c>
      <c r="F1177" s="83">
        <f>VLOOKUP(B1177,'HSD UPAH,BAHAN,ALAT'!$C$6:F1287,4,FALSE)</f>
        <v>10000</v>
      </c>
      <c r="G1177" s="84">
        <f t="shared" si="149"/>
        <v>50</v>
      </c>
    </row>
    <row r="1178" spans="1:7">
      <c r="A1178" s="261" t="s">
        <v>421</v>
      </c>
      <c r="B1178" s="261"/>
      <c r="C1178" s="261"/>
      <c r="D1178" s="261"/>
      <c r="E1178" s="261"/>
      <c r="F1178" s="261"/>
      <c r="G1178" s="85">
        <f>SUM(G1169:G1177)</f>
        <v>231580</v>
      </c>
    </row>
    <row r="1179" spans="1:7">
      <c r="A1179" s="8" t="s">
        <v>36</v>
      </c>
      <c r="B1179" s="1" t="s">
        <v>37</v>
      </c>
      <c r="C1179" s="8"/>
      <c r="D1179" s="9"/>
      <c r="E1179" s="19"/>
      <c r="F1179" s="2"/>
      <c r="G1179" s="2"/>
    </row>
    <row r="1180" spans="1:7">
      <c r="A1180" s="263" t="s">
        <v>419</v>
      </c>
      <c r="B1180" s="263"/>
      <c r="C1180" s="263"/>
      <c r="D1180" s="263"/>
      <c r="E1180" s="263"/>
      <c r="F1180" s="263"/>
      <c r="G1180" s="80">
        <f>SUM(G1179)</f>
        <v>0</v>
      </c>
    </row>
    <row r="1181" spans="1:7">
      <c r="A1181" s="81" t="s">
        <v>38</v>
      </c>
      <c r="B1181" s="262" t="s">
        <v>39</v>
      </c>
      <c r="C1181" s="262"/>
      <c r="D1181" s="262"/>
      <c r="E1181" s="262"/>
      <c r="F1181" s="262"/>
      <c r="G1181" s="80">
        <f>SUM(G1163:G1180)/2</f>
        <v>248350</v>
      </c>
    </row>
    <row r="1182" spans="1:7">
      <c r="A1182" s="81" t="s">
        <v>40</v>
      </c>
      <c r="B1182" s="262" t="s">
        <v>180</v>
      </c>
      <c r="C1182" s="262"/>
      <c r="D1182" s="262"/>
      <c r="E1182" s="262"/>
      <c r="F1182" s="82">
        <v>0.1</v>
      </c>
      <c r="G1182" s="80">
        <f>G1181*F1182</f>
        <v>24835</v>
      </c>
    </row>
    <row r="1183" spans="1:7">
      <c r="A1183" s="81" t="s">
        <v>41</v>
      </c>
      <c r="B1183" s="262" t="s">
        <v>42</v>
      </c>
      <c r="C1183" s="262"/>
      <c r="D1183" s="262"/>
      <c r="E1183" s="262"/>
      <c r="F1183" s="262"/>
      <c r="G1183" s="80">
        <f>G1181+G1182</f>
        <v>273185</v>
      </c>
    </row>
    <row r="1184" spans="1:7">
      <c r="A1184" s="90"/>
      <c r="B1184" s="91"/>
      <c r="C1184" s="91"/>
      <c r="D1184" s="91"/>
      <c r="E1184" s="91"/>
      <c r="F1184" s="91"/>
      <c r="G1184" s="92"/>
    </row>
    <row r="1185" spans="1:7">
      <c r="A1185" s="4" t="s">
        <v>537</v>
      </c>
      <c r="B1185" s="91"/>
      <c r="C1185" s="91"/>
      <c r="D1185" s="91"/>
      <c r="E1185" s="91"/>
      <c r="F1185" s="91"/>
      <c r="G1185" s="92"/>
    </row>
    <row r="1186" spans="1:7" ht="30">
      <c r="A1186" s="79" t="s">
        <v>0</v>
      </c>
      <c r="B1186" s="79" t="s">
        <v>1</v>
      </c>
      <c r="C1186" s="79" t="s">
        <v>207</v>
      </c>
      <c r="D1186" s="79" t="s">
        <v>3</v>
      </c>
      <c r="E1186" s="79" t="s">
        <v>2</v>
      </c>
      <c r="F1186" s="79" t="s">
        <v>417</v>
      </c>
      <c r="G1186" s="79" t="s">
        <v>418</v>
      </c>
    </row>
    <row r="1187" spans="1:7">
      <c r="A1187" s="8" t="s">
        <v>4</v>
      </c>
      <c r="B1187" s="1" t="s">
        <v>5</v>
      </c>
      <c r="C1187" s="8"/>
      <c r="D1187" s="9"/>
      <c r="E1187" s="19"/>
      <c r="F1187" s="2"/>
      <c r="G1187" s="2"/>
    </row>
    <row r="1188" spans="1:7">
      <c r="A1188" s="8">
        <v>1</v>
      </c>
      <c r="B1188" s="1" t="s">
        <v>48</v>
      </c>
      <c r="C1188" s="8" t="s">
        <v>49</v>
      </c>
      <c r="D1188" s="9" t="s">
        <v>8</v>
      </c>
      <c r="E1188" s="10" t="s">
        <v>60</v>
      </c>
      <c r="F1188" s="83">
        <f>VLOOKUP(B1188,'HSD UPAH,BAHAN,ALAT'!$C$6:F1296,4,FALSE)</f>
        <v>100000</v>
      </c>
      <c r="G1188" s="84">
        <f t="shared" ref="G1188:G1191" si="150">E1188*F1188</f>
        <v>6700</v>
      </c>
    </row>
    <row r="1189" spans="1:7">
      <c r="A1189" s="8">
        <v>2</v>
      </c>
      <c r="B1189" s="1" t="s">
        <v>6</v>
      </c>
      <c r="C1189" s="8" t="s">
        <v>7</v>
      </c>
      <c r="D1189" s="9" t="s">
        <v>8</v>
      </c>
      <c r="E1189" s="10" t="s">
        <v>60</v>
      </c>
      <c r="F1189" s="83">
        <f>VLOOKUP(B1189,'HSD UPAH,BAHAN,ALAT'!$C$6:F1297,4,FALSE)</f>
        <v>100000</v>
      </c>
      <c r="G1189" s="84">
        <f t="shared" si="150"/>
        <v>6700</v>
      </c>
    </row>
    <row r="1190" spans="1:7">
      <c r="A1190" s="8">
        <v>3</v>
      </c>
      <c r="B1190" s="1" t="s">
        <v>10</v>
      </c>
      <c r="C1190" s="8" t="s">
        <v>11</v>
      </c>
      <c r="D1190" s="9" t="s">
        <v>8</v>
      </c>
      <c r="E1190" s="10" t="s">
        <v>61</v>
      </c>
      <c r="F1190" s="83">
        <f>VLOOKUP(B1190,'HSD UPAH,BAHAN,ALAT'!$C$6:F1298,4,FALSE)</f>
        <v>120000</v>
      </c>
      <c r="G1190" s="84">
        <f t="shared" si="150"/>
        <v>2640</v>
      </c>
    </row>
    <row r="1191" spans="1:7">
      <c r="A1191" s="8">
        <v>4</v>
      </c>
      <c r="B1191" s="1" t="s">
        <v>13</v>
      </c>
      <c r="C1191" s="8" t="s">
        <v>14</v>
      </c>
      <c r="D1191" s="9" t="s">
        <v>8</v>
      </c>
      <c r="E1191" s="10" t="s">
        <v>62</v>
      </c>
      <c r="F1191" s="83">
        <f>VLOOKUP(B1191,'HSD UPAH,BAHAN,ALAT'!$C$6:F1299,4,FALSE)</f>
        <v>100000</v>
      </c>
      <c r="G1191" s="84">
        <f t="shared" si="150"/>
        <v>730</v>
      </c>
    </row>
    <row r="1192" spans="1:7">
      <c r="A1192" s="261" t="s">
        <v>420</v>
      </c>
      <c r="B1192" s="261"/>
      <c r="C1192" s="261"/>
      <c r="D1192" s="261"/>
      <c r="E1192" s="261"/>
      <c r="F1192" s="261"/>
      <c r="G1192" s="85">
        <f>SUM(G1188:G1191)</f>
        <v>16770</v>
      </c>
    </row>
    <row r="1193" spans="1:7">
      <c r="A1193" s="8" t="s">
        <v>16</v>
      </c>
      <c r="B1193" s="1" t="s">
        <v>17</v>
      </c>
      <c r="C1193" s="8"/>
      <c r="D1193" s="9"/>
      <c r="E1193" s="19"/>
      <c r="F1193" s="2"/>
      <c r="G1193" s="2"/>
    </row>
    <row r="1194" spans="1:7" ht="30">
      <c r="A1194" s="17" t="s">
        <v>208</v>
      </c>
      <c r="B1194" s="5" t="s">
        <v>272</v>
      </c>
      <c r="C1194" s="8"/>
      <c r="D1194" s="12" t="s">
        <v>86</v>
      </c>
      <c r="E1194" s="7" t="s">
        <v>87</v>
      </c>
      <c r="F1194" s="83">
        <f>VLOOKUP(B1194,'HSD UPAH,BAHAN,ALAT'!$C$6:F1302,4,FALSE)</f>
        <v>10000</v>
      </c>
      <c r="G1194" s="84">
        <f t="shared" ref="G1194:G1195" si="151">E1194*F1194</f>
        <v>10500</v>
      </c>
    </row>
    <row r="1195" spans="1:7">
      <c r="A1195" s="8">
        <v>2</v>
      </c>
      <c r="B1195" s="1" t="s">
        <v>18</v>
      </c>
      <c r="C1195" s="8"/>
      <c r="D1195" s="9" t="s">
        <v>19</v>
      </c>
      <c r="E1195" s="10" t="s">
        <v>53</v>
      </c>
      <c r="F1195" s="83">
        <f>VLOOKUP(B1195,'HSD UPAH,BAHAN,ALAT'!$C$6:F1303,4,FALSE)</f>
        <v>10000</v>
      </c>
      <c r="G1195" s="84">
        <f t="shared" si="151"/>
        <v>100</v>
      </c>
    </row>
    <row r="1196" spans="1:7">
      <c r="A1196" s="8">
        <v>3</v>
      </c>
      <c r="B1196" s="1" t="s">
        <v>21</v>
      </c>
      <c r="C1196" s="8"/>
      <c r="D1196" s="9"/>
      <c r="E1196" s="19"/>
      <c r="F1196" s="2"/>
      <c r="G1196" s="2"/>
    </row>
    <row r="1197" spans="1:7">
      <c r="A1197" s="8" t="s">
        <v>22</v>
      </c>
      <c r="B1197" s="1" t="s">
        <v>54</v>
      </c>
      <c r="C1197" s="8"/>
      <c r="D1197" s="9" t="s">
        <v>24</v>
      </c>
      <c r="E1197" s="10" t="s">
        <v>55</v>
      </c>
      <c r="F1197" s="83">
        <f>VLOOKUP(B1197,'HSD UPAH,BAHAN,ALAT'!$C$6:F1305,4,FALSE)</f>
        <v>10000</v>
      </c>
      <c r="G1197" s="84">
        <f t="shared" ref="G1197:G1198" si="152">E1197*F1197</f>
        <v>120000</v>
      </c>
    </row>
    <row r="1198" spans="1:7">
      <c r="A1198" s="8" t="s">
        <v>30</v>
      </c>
      <c r="B1198" s="1" t="s">
        <v>56</v>
      </c>
      <c r="C1198" s="8"/>
      <c r="D1198" s="9" t="s">
        <v>24</v>
      </c>
      <c r="E1198" s="10" t="s">
        <v>57</v>
      </c>
      <c r="F1198" s="83">
        <f>VLOOKUP(B1198,'HSD UPAH,BAHAN,ALAT'!$C$6:F1306,4,FALSE)</f>
        <v>10000</v>
      </c>
      <c r="G1198" s="84">
        <f t="shared" si="152"/>
        <v>100000</v>
      </c>
    </row>
    <row r="1199" spans="1:7">
      <c r="A1199" s="8">
        <v>4</v>
      </c>
      <c r="B1199" s="1" t="s">
        <v>26</v>
      </c>
      <c r="C1199" s="8"/>
      <c r="D1199" s="9"/>
      <c r="E1199" s="19"/>
      <c r="F1199" s="2"/>
      <c r="G1199" s="2"/>
    </row>
    <row r="1200" spans="1:7">
      <c r="A1200" s="8" t="s">
        <v>22</v>
      </c>
      <c r="B1200" s="1" t="s">
        <v>27</v>
      </c>
      <c r="C1200" s="8"/>
      <c r="D1200" s="9" t="s">
        <v>28</v>
      </c>
      <c r="E1200" s="10" t="s">
        <v>63</v>
      </c>
      <c r="F1200" s="83">
        <f>VLOOKUP(B1200,'HSD UPAH,BAHAN,ALAT'!$C$6:F1308,4,FALSE)</f>
        <v>10000</v>
      </c>
      <c r="G1200" s="84">
        <f t="shared" ref="G1200:G1202" si="153">E1200*F1200</f>
        <v>730</v>
      </c>
    </row>
    <row r="1201" spans="1:7">
      <c r="A1201" s="8" t="s">
        <v>30</v>
      </c>
      <c r="B1201" s="1" t="s">
        <v>31</v>
      </c>
      <c r="C1201" s="8"/>
      <c r="D1201" s="9" t="s">
        <v>28</v>
      </c>
      <c r="E1201" s="10" t="s">
        <v>64</v>
      </c>
      <c r="F1201" s="83">
        <f>VLOOKUP(B1201,'HSD UPAH,BAHAN,ALAT'!$C$6:F1309,4,FALSE)</f>
        <v>10000</v>
      </c>
      <c r="G1201" s="84">
        <f t="shared" si="153"/>
        <v>200</v>
      </c>
    </row>
    <row r="1202" spans="1:7">
      <c r="A1202" s="8" t="s">
        <v>33</v>
      </c>
      <c r="B1202" s="1" t="s">
        <v>34</v>
      </c>
      <c r="C1202" s="8"/>
      <c r="D1202" s="9" t="s">
        <v>28</v>
      </c>
      <c r="E1202" s="10" t="s">
        <v>20</v>
      </c>
      <c r="F1202" s="83">
        <f>VLOOKUP(B1202,'HSD UPAH,BAHAN,ALAT'!$C$6:F1310,4,FALSE)</f>
        <v>10000</v>
      </c>
      <c r="G1202" s="84">
        <f t="shared" si="153"/>
        <v>50</v>
      </c>
    </row>
    <row r="1203" spans="1:7">
      <c r="A1203" s="261" t="s">
        <v>421</v>
      </c>
      <c r="B1203" s="261"/>
      <c r="C1203" s="261"/>
      <c r="D1203" s="261"/>
      <c r="E1203" s="261"/>
      <c r="F1203" s="261"/>
      <c r="G1203" s="85">
        <f>SUM(G1194:G1202)</f>
        <v>231580</v>
      </c>
    </row>
    <row r="1204" spans="1:7">
      <c r="A1204" s="8" t="s">
        <v>36</v>
      </c>
      <c r="B1204" s="1" t="s">
        <v>37</v>
      </c>
      <c r="C1204" s="8"/>
      <c r="D1204" s="9"/>
      <c r="E1204" s="19"/>
      <c r="F1204" s="2"/>
      <c r="G1204" s="2"/>
    </row>
    <row r="1205" spans="1:7">
      <c r="A1205" s="263" t="s">
        <v>419</v>
      </c>
      <c r="B1205" s="263"/>
      <c r="C1205" s="263"/>
      <c r="D1205" s="263"/>
      <c r="E1205" s="263"/>
      <c r="F1205" s="263"/>
      <c r="G1205" s="80">
        <f>SUM(G1204)</f>
        <v>0</v>
      </c>
    </row>
    <row r="1206" spans="1:7">
      <c r="A1206" s="81" t="s">
        <v>38</v>
      </c>
      <c r="B1206" s="262" t="s">
        <v>39</v>
      </c>
      <c r="C1206" s="262"/>
      <c r="D1206" s="262"/>
      <c r="E1206" s="262"/>
      <c r="F1206" s="262"/>
      <c r="G1206" s="80">
        <f>SUM(G1188:G1205)/2</f>
        <v>248350</v>
      </c>
    </row>
    <row r="1207" spans="1:7">
      <c r="A1207" s="81" t="s">
        <v>40</v>
      </c>
      <c r="B1207" s="262" t="s">
        <v>180</v>
      </c>
      <c r="C1207" s="262"/>
      <c r="D1207" s="262"/>
      <c r="E1207" s="262"/>
      <c r="F1207" s="82">
        <v>0.1</v>
      </c>
      <c r="G1207" s="80">
        <f>G1206*F1207</f>
        <v>24835</v>
      </c>
    </row>
    <row r="1208" spans="1:7">
      <c r="A1208" s="81" t="s">
        <v>41</v>
      </c>
      <c r="B1208" s="262" t="s">
        <v>42</v>
      </c>
      <c r="C1208" s="262"/>
      <c r="D1208" s="262"/>
      <c r="E1208" s="262"/>
      <c r="F1208" s="262"/>
      <c r="G1208" s="80">
        <f>G1206+G1207</f>
        <v>273185</v>
      </c>
    </row>
    <row r="1209" spans="1:7">
      <c r="A1209" s="90"/>
      <c r="B1209" s="91"/>
      <c r="C1209" s="91"/>
      <c r="D1209" s="91"/>
      <c r="E1209" s="91"/>
      <c r="F1209" s="91"/>
      <c r="G1209" s="92"/>
    </row>
    <row r="1210" spans="1:7">
      <c r="A1210" s="4" t="s">
        <v>538</v>
      </c>
      <c r="B1210" s="91"/>
      <c r="C1210" s="91"/>
      <c r="D1210" s="91"/>
      <c r="E1210" s="91"/>
      <c r="F1210" s="91"/>
      <c r="G1210" s="92"/>
    </row>
    <row r="1211" spans="1:7" ht="30">
      <c r="A1211" s="79" t="s">
        <v>0</v>
      </c>
      <c r="B1211" s="79" t="s">
        <v>1</v>
      </c>
      <c r="C1211" s="79" t="s">
        <v>207</v>
      </c>
      <c r="D1211" s="79" t="s">
        <v>3</v>
      </c>
      <c r="E1211" s="79" t="s">
        <v>2</v>
      </c>
      <c r="F1211" s="79" t="s">
        <v>417</v>
      </c>
      <c r="G1211" s="79" t="s">
        <v>418</v>
      </c>
    </row>
    <row r="1212" spans="1:7">
      <c r="A1212" s="8" t="s">
        <v>4</v>
      </c>
      <c r="B1212" s="1" t="s">
        <v>5</v>
      </c>
      <c r="C1212" s="8"/>
      <c r="D1212" s="9"/>
      <c r="E1212" s="19"/>
      <c r="F1212" s="2"/>
      <c r="G1212" s="2"/>
    </row>
    <row r="1213" spans="1:7">
      <c r="A1213" s="8">
        <v>1</v>
      </c>
      <c r="B1213" s="1" t="s">
        <v>48</v>
      </c>
      <c r="C1213" s="8" t="s">
        <v>49</v>
      </c>
      <c r="D1213" s="9" t="s">
        <v>8</v>
      </c>
      <c r="E1213" s="10" t="s">
        <v>60</v>
      </c>
      <c r="F1213" s="83">
        <f>VLOOKUP(B1213,'HSD UPAH,BAHAN,ALAT'!$C$6:F1319,4,FALSE)</f>
        <v>100000</v>
      </c>
      <c r="G1213" s="84">
        <f t="shared" ref="G1213:G1216" si="154">E1213*F1213</f>
        <v>6700</v>
      </c>
    </row>
    <row r="1214" spans="1:7">
      <c r="A1214" s="8">
        <v>2</v>
      </c>
      <c r="B1214" s="1" t="s">
        <v>6</v>
      </c>
      <c r="C1214" s="8" t="s">
        <v>7</v>
      </c>
      <c r="D1214" s="9" t="s">
        <v>8</v>
      </c>
      <c r="E1214" s="10" t="s">
        <v>60</v>
      </c>
      <c r="F1214" s="83">
        <f>VLOOKUP(B1214,'HSD UPAH,BAHAN,ALAT'!$C$6:F1320,4,FALSE)</f>
        <v>100000</v>
      </c>
      <c r="G1214" s="84">
        <f t="shared" si="154"/>
        <v>6700</v>
      </c>
    </row>
    <row r="1215" spans="1:7">
      <c r="A1215" s="8">
        <v>3</v>
      </c>
      <c r="B1215" s="1" t="s">
        <v>10</v>
      </c>
      <c r="C1215" s="8" t="s">
        <v>11</v>
      </c>
      <c r="D1215" s="9" t="s">
        <v>8</v>
      </c>
      <c r="E1215" s="10" t="s">
        <v>61</v>
      </c>
      <c r="F1215" s="83">
        <f>VLOOKUP(B1215,'HSD UPAH,BAHAN,ALAT'!$C$6:F1321,4,FALSE)</f>
        <v>120000</v>
      </c>
      <c r="G1215" s="84">
        <f t="shared" si="154"/>
        <v>2640</v>
      </c>
    </row>
    <row r="1216" spans="1:7">
      <c r="A1216" s="8">
        <v>4</v>
      </c>
      <c r="B1216" s="1" t="s">
        <v>13</v>
      </c>
      <c r="C1216" s="8" t="s">
        <v>14</v>
      </c>
      <c r="D1216" s="9" t="s">
        <v>8</v>
      </c>
      <c r="E1216" s="10" t="s">
        <v>62</v>
      </c>
      <c r="F1216" s="83">
        <f>VLOOKUP(B1216,'HSD UPAH,BAHAN,ALAT'!$C$6:F1322,4,FALSE)</f>
        <v>100000</v>
      </c>
      <c r="G1216" s="84">
        <f t="shared" si="154"/>
        <v>730</v>
      </c>
    </row>
    <row r="1217" spans="1:7">
      <c r="A1217" s="261" t="s">
        <v>420</v>
      </c>
      <c r="B1217" s="261"/>
      <c r="C1217" s="261"/>
      <c r="D1217" s="261"/>
      <c r="E1217" s="261"/>
      <c r="F1217" s="261"/>
      <c r="G1217" s="85">
        <f>SUM(G1213:G1216)</f>
        <v>16770</v>
      </c>
    </row>
    <row r="1218" spans="1:7">
      <c r="A1218" s="8" t="s">
        <v>16</v>
      </c>
      <c r="B1218" s="1" t="s">
        <v>17</v>
      </c>
      <c r="C1218" s="8"/>
      <c r="D1218" s="9"/>
      <c r="E1218" s="19"/>
      <c r="F1218" s="2"/>
      <c r="G1218" s="2"/>
    </row>
    <row r="1219" spans="1:7" ht="30">
      <c r="A1219" s="17" t="s">
        <v>208</v>
      </c>
      <c r="B1219" s="5" t="s">
        <v>273</v>
      </c>
      <c r="C1219" s="8"/>
      <c r="D1219" s="12" t="s">
        <v>86</v>
      </c>
      <c r="E1219" s="7" t="s">
        <v>87</v>
      </c>
      <c r="F1219" s="83">
        <f>VLOOKUP(B1219,'HSD UPAH,BAHAN,ALAT'!$C$6:F1325,4,FALSE)</f>
        <v>10000</v>
      </c>
      <c r="G1219" s="84">
        <f t="shared" ref="G1219:G1220" si="155">E1219*F1219</f>
        <v>10500</v>
      </c>
    </row>
    <row r="1220" spans="1:7">
      <c r="A1220" s="8">
        <v>2</v>
      </c>
      <c r="B1220" s="1" t="s">
        <v>18</v>
      </c>
      <c r="C1220" s="8"/>
      <c r="D1220" s="9" t="s">
        <v>19</v>
      </c>
      <c r="E1220" s="10" t="s">
        <v>53</v>
      </c>
      <c r="F1220" s="83">
        <f>VLOOKUP(B1220,'HSD UPAH,BAHAN,ALAT'!$C$6:F1326,4,FALSE)</f>
        <v>10000</v>
      </c>
      <c r="G1220" s="84">
        <f t="shared" si="155"/>
        <v>100</v>
      </c>
    </row>
    <row r="1221" spans="1:7">
      <c r="A1221" s="8">
        <v>3</v>
      </c>
      <c r="B1221" s="1" t="s">
        <v>21</v>
      </c>
      <c r="C1221" s="8"/>
      <c r="D1221" s="9"/>
      <c r="E1221" s="19"/>
      <c r="F1221" s="2"/>
      <c r="G1221" s="2"/>
    </row>
    <row r="1222" spans="1:7">
      <c r="A1222" s="8" t="s">
        <v>22</v>
      </c>
      <c r="B1222" s="1" t="s">
        <v>54</v>
      </c>
      <c r="C1222" s="8"/>
      <c r="D1222" s="9" t="s">
        <v>24</v>
      </c>
      <c r="E1222" s="10" t="s">
        <v>55</v>
      </c>
      <c r="F1222" s="83">
        <f>VLOOKUP(B1222,'HSD UPAH,BAHAN,ALAT'!$C$6:F1328,4,FALSE)</f>
        <v>10000</v>
      </c>
      <c r="G1222" s="84">
        <f t="shared" ref="G1222:G1223" si="156">E1222*F1222</f>
        <v>120000</v>
      </c>
    </row>
    <row r="1223" spans="1:7">
      <c r="A1223" s="8" t="s">
        <v>30</v>
      </c>
      <c r="B1223" s="1" t="s">
        <v>56</v>
      </c>
      <c r="C1223" s="8"/>
      <c r="D1223" s="9" t="s">
        <v>24</v>
      </c>
      <c r="E1223" s="10" t="s">
        <v>57</v>
      </c>
      <c r="F1223" s="83">
        <f>VLOOKUP(B1223,'HSD UPAH,BAHAN,ALAT'!$C$6:F1329,4,FALSE)</f>
        <v>10000</v>
      </c>
      <c r="G1223" s="84">
        <f t="shared" si="156"/>
        <v>100000</v>
      </c>
    </row>
    <row r="1224" spans="1:7">
      <c r="A1224" s="8">
        <v>4</v>
      </c>
      <c r="B1224" s="1" t="s">
        <v>26</v>
      </c>
      <c r="C1224" s="8"/>
      <c r="D1224" s="9"/>
      <c r="E1224" s="19"/>
      <c r="F1224" s="2"/>
      <c r="G1224" s="2"/>
    </row>
    <row r="1225" spans="1:7">
      <c r="A1225" s="8" t="s">
        <v>22</v>
      </c>
      <c r="B1225" s="1" t="s">
        <v>27</v>
      </c>
      <c r="C1225" s="8"/>
      <c r="D1225" s="9" t="s">
        <v>28</v>
      </c>
      <c r="E1225" s="10" t="s">
        <v>63</v>
      </c>
      <c r="F1225" s="83">
        <f>VLOOKUP(B1225,'HSD UPAH,BAHAN,ALAT'!$C$6:F1331,4,FALSE)</f>
        <v>10000</v>
      </c>
      <c r="G1225" s="84">
        <f t="shared" ref="G1225:G1227" si="157">E1225*F1225</f>
        <v>730</v>
      </c>
    </row>
    <row r="1226" spans="1:7">
      <c r="A1226" s="8" t="s">
        <v>30</v>
      </c>
      <c r="B1226" s="1" t="s">
        <v>31</v>
      </c>
      <c r="C1226" s="8"/>
      <c r="D1226" s="9" t="s">
        <v>28</v>
      </c>
      <c r="E1226" s="10" t="s">
        <v>64</v>
      </c>
      <c r="F1226" s="83">
        <f>VLOOKUP(B1226,'HSD UPAH,BAHAN,ALAT'!$C$6:F1332,4,FALSE)</f>
        <v>10000</v>
      </c>
      <c r="G1226" s="84">
        <f t="shared" si="157"/>
        <v>200</v>
      </c>
    </row>
    <row r="1227" spans="1:7">
      <c r="A1227" s="8" t="s">
        <v>33</v>
      </c>
      <c r="B1227" s="1" t="s">
        <v>34</v>
      </c>
      <c r="C1227" s="8"/>
      <c r="D1227" s="9" t="s">
        <v>28</v>
      </c>
      <c r="E1227" s="10" t="s">
        <v>20</v>
      </c>
      <c r="F1227" s="83">
        <f>VLOOKUP(B1227,'HSD UPAH,BAHAN,ALAT'!$C$6:F1333,4,FALSE)</f>
        <v>10000</v>
      </c>
      <c r="G1227" s="84">
        <f t="shared" si="157"/>
        <v>50</v>
      </c>
    </row>
    <row r="1228" spans="1:7">
      <c r="A1228" s="261" t="s">
        <v>421</v>
      </c>
      <c r="B1228" s="261"/>
      <c r="C1228" s="261"/>
      <c r="D1228" s="261"/>
      <c r="E1228" s="261"/>
      <c r="F1228" s="261"/>
      <c r="G1228" s="85">
        <f>SUM(G1219:G1227)</f>
        <v>231580</v>
      </c>
    </row>
    <row r="1229" spans="1:7">
      <c r="A1229" s="8" t="s">
        <v>36</v>
      </c>
      <c r="B1229" s="1" t="s">
        <v>37</v>
      </c>
      <c r="C1229" s="8"/>
      <c r="D1229" s="9"/>
      <c r="E1229" s="19"/>
      <c r="F1229" s="2"/>
      <c r="G1229" s="2"/>
    </row>
    <row r="1230" spans="1:7">
      <c r="A1230" s="263" t="s">
        <v>419</v>
      </c>
      <c r="B1230" s="263"/>
      <c r="C1230" s="263"/>
      <c r="D1230" s="263"/>
      <c r="E1230" s="263"/>
      <c r="F1230" s="263"/>
      <c r="G1230" s="80">
        <f>SUM(G1229)</f>
        <v>0</v>
      </c>
    </row>
    <row r="1231" spans="1:7">
      <c r="A1231" s="81" t="s">
        <v>38</v>
      </c>
      <c r="B1231" s="262" t="s">
        <v>39</v>
      </c>
      <c r="C1231" s="262"/>
      <c r="D1231" s="262"/>
      <c r="E1231" s="262"/>
      <c r="F1231" s="262"/>
      <c r="G1231" s="80">
        <f>SUM(G1213:G1230)/2</f>
        <v>248350</v>
      </c>
    </row>
    <row r="1232" spans="1:7">
      <c r="A1232" s="81" t="s">
        <v>40</v>
      </c>
      <c r="B1232" s="262" t="s">
        <v>180</v>
      </c>
      <c r="C1232" s="262"/>
      <c r="D1232" s="262"/>
      <c r="E1232" s="262"/>
      <c r="F1232" s="82">
        <v>0.1</v>
      </c>
      <c r="G1232" s="80">
        <f>G1231*F1232</f>
        <v>24835</v>
      </c>
    </row>
    <row r="1233" spans="1:7">
      <c r="A1233" s="81" t="s">
        <v>41</v>
      </c>
      <c r="B1233" s="262" t="s">
        <v>42</v>
      </c>
      <c r="C1233" s="262"/>
      <c r="D1233" s="262"/>
      <c r="E1233" s="262"/>
      <c r="F1233" s="262"/>
      <c r="G1233" s="80">
        <f>G1231+G1232</f>
        <v>273185</v>
      </c>
    </row>
    <row r="1234" spans="1:7">
      <c r="A1234" s="90"/>
      <c r="B1234" s="91"/>
      <c r="C1234" s="91"/>
      <c r="D1234" s="91"/>
      <c r="E1234" s="91"/>
      <c r="F1234" s="91"/>
      <c r="G1234" s="92"/>
    </row>
    <row r="1235" spans="1:7">
      <c r="A1235" s="4" t="s">
        <v>539</v>
      </c>
      <c r="B1235" s="91"/>
      <c r="C1235" s="91"/>
      <c r="D1235" s="91"/>
      <c r="E1235" s="91"/>
      <c r="F1235" s="91"/>
      <c r="G1235" s="92"/>
    </row>
    <row r="1236" spans="1:7" ht="30">
      <c r="A1236" s="79" t="s">
        <v>0</v>
      </c>
      <c r="B1236" s="79" t="s">
        <v>1</v>
      </c>
      <c r="C1236" s="79" t="s">
        <v>207</v>
      </c>
      <c r="D1236" s="79" t="s">
        <v>3</v>
      </c>
      <c r="E1236" s="79" t="s">
        <v>2</v>
      </c>
      <c r="F1236" s="79" t="s">
        <v>417</v>
      </c>
      <c r="G1236" s="79" t="s">
        <v>418</v>
      </c>
    </row>
    <row r="1237" spans="1:7">
      <c r="A1237" s="8" t="s">
        <v>4</v>
      </c>
      <c r="B1237" s="1" t="s">
        <v>5</v>
      </c>
      <c r="C1237" s="8"/>
      <c r="D1237" s="9"/>
      <c r="E1237" s="19"/>
      <c r="F1237" s="2"/>
      <c r="G1237" s="2"/>
    </row>
    <row r="1238" spans="1:7">
      <c r="A1238" s="8">
        <v>1</v>
      </c>
      <c r="B1238" s="1" t="s">
        <v>48</v>
      </c>
      <c r="C1238" s="8" t="s">
        <v>49</v>
      </c>
      <c r="D1238" s="9" t="s">
        <v>8</v>
      </c>
      <c r="E1238" s="10" t="s">
        <v>60</v>
      </c>
      <c r="F1238" s="83">
        <f>VLOOKUP(B1238,'HSD UPAH,BAHAN,ALAT'!$C$6:F1342,4,FALSE)</f>
        <v>100000</v>
      </c>
      <c r="G1238" s="84">
        <f t="shared" ref="G1238:G1241" si="158">E1238*F1238</f>
        <v>6700</v>
      </c>
    </row>
    <row r="1239" spans="1:7">
      <c r="A1239" s="8">
        <v>2</v>
      </c>
      <c r="B1239" s="1" t="s">
        <v>6</v>
      </c>
      <c r="C1239" s="8" t="s">
        <v>7</v>
      </c>
      <c r="D1239" s="9" t="s">
        <v>8</v>
      </c>
      <c r="E1239" s="10" t="s">
        <v>60</v>
      </c>
      <c r="F1239" s="83">
        <f>VLOOKUP(B1239,'HSD UPAH,BAHAN,ALAT'!$C$6:F1343,4,FALSE)</f>
        <v>100000</v>
      </c>
      <c r="G1239" s="84">
        <f t="shared" si="158"/>
        <v>6700</v>
      </c>
    </row>
    <row r="1240" spans="1:7">
      <c r="A1240" s="8">
        <v>3</v>
      </c>
      <c r="B1240" s="1" t="s">
        <v>10</v>
      </c>
      <c r="C1240" s="8" t="s">
        <v>11</v>
      </c>
      <c r="D1240" s="9" t="s">
        <v>8</v>
      </c>
      <c r="E1240" s="10" t="s">
        <v>61</v>
      </c>
      <c r="F1240" s="83">
        <f>VLOOKUP(B1240,'HSD UPAH,BAHAN,ALAT'!$C$6:F1344,4,FALSE)</f>
        <v>120000</v>
      </c>
      <c r="G1240" s="84">
        <f t="shared" si="158"/>
        <v>2640</v>
      </c>
    </row>
    <row r="1241" spans="1:7">
      <c r="A1241" s="8">
        <v>4</v>
      </c>
      <c r="B1241" s="1" t="s">
        <v>13</v>
      </c>
      <c r="C1241" s="8" t="s">
        <v>14</v>
      </c>
      <c r="D1241" s="9" t="s">
        <v>8</v>
      </c>
      <c r="E1241" s="10" t="s">
        <v>62</v>
      </c>
      <c r="F1241" s="83">
        <f>VLOOKUP(B1241,'HSD UPAH,BAHAN,ALAT'!$C$6:F1345,4,FALSE)</f>
        <v>100000</v>
      </c>
      <c r="G1241" s="84">
        <f t="shared" si="158"/>
        <v>730</v>
      </c>
    </row>
    <row r="1242" spans="1:7">
      <c r="A1242" s="261" t="s">
        <v>420</v>
      </c>
      <c r="B1242" s="261"/>
      <c r="C1242" s="261"/>
      <c r="D1242" s="261"/>
      <c r="E1242" s="261"/>
      <c r="F1242" s="261"/>
      <c r="G1242" s="85">
        <f>SUM(G1238:G1241)</f>
        <v>16770</v>
      </c>
    </row>
    <row r="1243" spans="1:7">
      <c r="A1243" s="8" t="s">
        <v>16</v>
      </c>
      <c r="B1243" s="1" t="s">
        <v>17</v>
      </c>
      <c r="C1243" s="8"/>
      <c r="D1243" s="9"/>
      <c r="E1243" s="19"/>
      <c r="F1243" s="2"/>
      <c r="G1243" s="2"/>
    </row>
    <row r="1244" spans="1:7" ht="30">
      <c r="A1244" s="17" t="s">
        <v>208</v>
      </c>
      <c r="B1244" s="5" t="s">
        <v>274</v>
      </c>
      <c r="C1244" s="8"/>
      <c r="D1244" s="12" t="s">
        <v>86</v>
      </c>
      <c r="E1244" s="7" t="s">
        <v>87</v>
      </c>
      <c r="F1244" s="83">
        <f>VLOOKUP(B1244,'HSD UPAH,BAHAN,ALAT'!$C$6:F1348,4,FALSE)</f>
        <v>10000</v>
      </c>
      <c r="G1244" s="84">
        <f t="shared" ref="G1244:G1245" si="159">E1244*F1244</f>
        <v>10500</v>
      </c>
    </row>
    <row r="1245" spans="1:7">
      <c r="A1245" s="8">
        <v>2</v>
      </c>
      <c r="B1245" s="1" t="s">
        <v>18</v>
      </c>
      <c r="C1245" s="8"/>
      <c r="D1245" s="9" t="s">
        <v>19</v>
      </c>
      <c r="E1245" s="10" t="s">
        <v>53</v>
      </c>
      <c r="F1245" s="83">
        <f>VLOOKUP(B1245,'HSD UPAH,BAHAN,ALAT'!$C$6:F1349,4,FALSE)</f>
        <v>10000</v>
      </c>
      <c r="G1245" s="84">
        <f t="shared" si="159"/>
        <v>100</v>
      </c>
    </row>
    <row r="1246" spans="1:7">
      <c r="A1246" s="8">
        <v>3</v>
      </c>
      <c r="B1246" s="1" t="s">
        <v>21</v>
      </c>
      <c r="C1246" s="8"/>
      <c r="D1246" s="9"/>
      <c r="E1246" s="19"/>
      <c r="F1246" s="2"/>
      <c r="G1246" s="2"/>
    </row>
    <row r="1247" spans="1:7">
      <c r="A1247" s="8" t="s">
        <v>22</v>
      </c>
      <c r="B1247" s="1" t="s">
        <v>54</v>
      </c>
      <c r="C1247" s="8"/>
      <c r="D1247" s="9" t="s">
        <v>24</v>
      </c>
      <c r="E1247" s="10" t="s">
        <v>55</v>
      </c>
      <c r="F1247" s="83">
        <f>VLOOKUP(B1247,'HSD UPAH,BAHAN,ALAT'!$C$6:F1351,4,FALSE)</f>
        <v>10000</v>
      </c>
      <c r="G1247" s="84">
        <f t="shared" ref="G1247:G1248" si="160">E1247*F1247</f>
        <v>120000</v>
      </c>
    </row>
    <row r="1248" spans="1:7">
      <c r="A1248" s="8" t="s">
        <v>30</v>
      </c>
      <c r="B1248" s="1" t="s">
        <v>56</v>
      </c>
      <c r="C1248" s="8"/>
      <c r="D1248" s="9" t="s">
        <v>24</v>
      </c>
      <c r="E1248" s="10" t="s">
        <v>57</v>
      </c>
      <c r="F1248" s="83">
        <f>VLOOKUP(B1248,'HSD UPAH,BAHAN,ALAT'!$C$6:F1352,4,FALSE)</f>
        <v>10000</v>
      </c>
      <c r="G1248" s="84">
        <f t="shared" si="160"/>
        <v>100000</v>
      </c>
    </row>
    <row r="1249" spans="1:7">
      <c r="A1249" s="8">
        <v>4</v>
      </c>
      <c r="B1249" s="1" t="s">
        <v>26</v>
      </c>
      <c r="C1249" s="8"/>
      <c r="D1249" s="9"/>
      <c r="E1249" s="19"/>
      <c r="F1249" s="2"/>
      <c r="G1249" s="2"/>
    </row>
    <row r="1250" spans="1:7">
      <c r="A1250" s="8" t="s">
        <v>22</v>
      </c>
      <c r="B1250" s="1" t="s">
        <v>27</v>
      </c>
      <c r="C1250" s="8"/>
      <c r="D1250" s="9" t="s">
        <v>28</v>
      </c>
      <c r="E1250" s="10" t="s">
        <v>63</v>
      </c>
      <c r="F1250" s="83">
        <f>VLOOKUP(B1250,'HSD UPAH,BAHAN,ALAT'!$C$6:F1354,4,FALSE)</f>
        <v>10000</v>
      </c>
      <c r="G1250" s="84">
        <f t="shared" ref="G1250:G1252" si="161">E1250*F1250</f>
        <v>730</v>
      </c>
    </row>
    <row r="1251" spans="1:7">
      <c r="A1251" s="8" t="s">
        <v>30</v>
      </c>
      <c r="B1251" s="1" t="s">
        <v>31</v>
      </c>
      <c r="C1251" s="8"/>
      <c r="D1251" s="9" t="s">
        <v>28</v>
      </c>
      <c r="E1251" s="10" t="s">
        <v>64</v>
      </c>
      <c r="F1251" s="83">
        <f>VLOOKUP(B1251,'HSD UPAH,BAHAN,ALAT'!$C$6:F1355,4,FALSE)</f>
        <v>10000</v>
      </c>
      <c r="G1251" s="84">
        <f t="shared" si="161"/>
        <v>200</v>
      </c>
    </row>
    <row r="1252" spans="1:7">
      <c r="A1252" s="8" t="s">
        <v>33</v>
      </c>
      <c r="B1252" s="1" t="s">
        <v>34</v>
      </c>
      <c r="C1252" s="8"/>
      <c r="D1252" s="9" t="s">
        <v>28</v>
      </c>
      <c r="E1252" s="10" t="s">
        <v>20</v>
      </c>
      <c r="F1252" s="83">
        <f>VLOOKUP(B1252,'HSD UPAH,BAHAN,ALAT'!$C$6:F1356,4,FALSE)</f>
        <v>10000</v>
      </c>
      <c r="G1252" s="84">
        <f t="shared" si="161"/>
        <v>50</v>
      </c>
    </row>
    <row r="1253" spans="1:7">
      <c r="A1253" s="261" t="s">
        <v>421</v>
      </c>
      <c r="B1253" s="261"/>
      <c r="C1253" s="261"/>
      <c r="D1253" s="261"/>
      <c r="E1253" s="261"/>
      <c r="F1253" s="261"/>
      <c r="G1253" s="85">
        <f>SUM(G1244:G1252)</f>
        <v>231580</v>
      </c>
    </row>
    <row r="1254" spans="1:7">
      <c r="A1254" s="8" t="s">
        <v>36</v>
      </c>
      <c r="B1254" s="1" t="s">
        <v>37</v>
      </c>
      <c r="C1254" s="8"/>
      <c r="D1254" s="9"/>
      <c r="E1254" s="19"/>
      <c r="F1254" s="2"/>
      <c r="G1254" s="2"/>
    </row>
    <row r="1255" spans="1:7">
      <c r="A1255" s="263" t="s">
        <v>419</v>
      </c>
      <c r="B1255" s="263"/>
      <c r="C1255" s="263"/>
      <c r="D1255" s="263"/>
      <c r="E1255" s="263"/>
      <c r="F1255" s="263"/>
      <c r="G1255" s="80">
        <f>SUM(G1254)</f>
        <v>0</v>
      </c>
    </row>
    <row r="1256" spans="1:7">
      <c r="A1256" s="81" t="s">
        <v>38</v>
      </c>
      <c r="B1256" s="262" t="s">
        <v>39</v>
      </c>
      <c r="C1256" s="262"/>
      <c r="D1256" s="262"/>
      <c r="E1256" s="262"/>
      <c r="F1256" s="262"/>
      <c r="G1256" s="80">
        <f>SUM(G1238:G1255)/2</f>
        <v>248350</v>
      </c>
    </row>
    <row r="1257" spans="1:7">
      <c r="A1257" s="81" t="s">
        <v>40</v>
      </c>
      <c r="B1257" s="262" t="s">
        <v>180</v>
      </c>
      <c r="C1257" s="262"/>
      <c r="D1257" s="262"/>
      <c r="E1257" s="262"/>
      <c r="F1257" s="82">
        <v>0.1</v>
      </c>
      <c r="G1257" s="80">
        <f>G1256*F1257</f>
        <v>24835</v>
      </c>
    </row>
    <row r="1258" spans="1:7">
      <c r="A1258" s="81" t="s">
        <v>41</v>
      </c>
      <c r="B1258" s="262" t="s">
        <v>42</v>
      </c>
      <c r="C1258" s="262"/>
      <c r="D1258" s="262"/>
      <c r="E1258" s="262"/>
      <c r="F1258" s="262"/>
      <c r="G1258" s="80">
        <f>G1256+G1257</f>
        <v>273185</v>
      </c>
    </row>
    <row r="1259" spans="1:7">
      <c r="A1259" s="90"/>
      <c r="B1259" s="91"/>
      <c r="C1259" s="91"/>
      <c r="D1259" s="91"/>
      <c r="E1259" s="91"/>
      <c r="F1259" s="91"/>
      <c r="G1259" s="92"/>
    </row>
    <row r="1260" spans="1:7">
      <c r="A1260" s="4" t="s">
        <v>540</v>
      </c>
      <c r="B1260" s="91"/>
      <c r="C1260" s="91"/>
      <c r="D1260" s="91"/>
      <c r="E1260" s="91"/>
      <c r="F1260" s="91"/>
      <c r="G1260" s="92"/>
    </row>
    <row r="1261" spans="1:7" ht="30">
      <c r="A1261" s="79" t="s">
        <v>0</v>
      </c>
      <c r="B1261" s="79" t="s">
        <v>1</v>
      </c>
      <c r="C1261" s="79" t="s">
        <v>207</v>
      </c>
      <c r="D1261" s="79" t="s">
        <v>3</v>
      </c>
      <c r="E1261" s="79" t="s">
        <v>2</v>
      </c>
      <c r="F1261" s="79" t="s">
        <v>417</v>
      </c>
      <c r="G1261" s="79" t="s">
        <v>418</v>
      </c>
    </row>
    <row r="1262" spans="1:7">
      <c r="A1262" s="8" t="s">
        <v>4</v>
      </c>
      <c r="B1262" s="1" t="s">
        <v>5</v>
      </c>
      <c r="C1262" s="8"/>
      <c r="D1262" s="9"/>
      <c r="E1262" s="19"/>
      <c r="F1262" s="2"/>
      <c r="G1262" s="2"/>
    </row>
    <row r="1263" spans="1:7">
      <c r="A1263" s="8">
        <v>1</v>
      </c>
      <c r="B1263" s="1" t="s">
        <v>48</v>
      </c>
      <c r="C1263" s="8" t="s">
        <v>49</v>
      </c>
      <c r="D1263" s="9" t="s">
        <v>8</v>
      </c>
      <c r="E1263" s="10" t="s">
        <v>60</v>
      </c>
      <c r="F1263" s="83">
        <f>VLOOKUP(B1263,'HSD UPAH,BAHAN,ALAT'!$C$6:F1365,4,FALSE)</f>
        <v>100000</v>
      </c>
      <c r="G1263" s="84">
        <f t="shared" ref="G1263:G1266" si="162">E1263*F1263</f>
        <v>6700</v>
      </c>
    </row>
    <row r="1264" spans="1:7">
      <c r="A1264" s="8">
        <v>2</v>
      </c>
      <c r="B1264" s="1" t="s">
        <v>6</v>
      </c>
      <c r="C1264" s="8" t="s">
        <v>7</v>
      </c>
      <c r="D1264" s="9" t="s">
        <v>8</v>
      </c>
      <c r="E1264" s="10" t="s">
        <v>60</v>
      </c>
      <c r="F1264" s="83">
        <f>VLOOKUP(B1264,'HSD UPAH,BAHAN,ALAT'!$C$6:F1366,4,FALSE)</f>
        <v>100000</v>
      </c>
      <c r="G1264" s="84">
        <f t="shared" si="162"/>
        <v>6700</v>
      </c>
    </row>
    <row r="1265" spans="1:7">
      <c r="A1265" s="8">
        <v>3</v>
      </c>
      <c r="B1265" s="1" t="s">
        <v>10</v>
      </c>
      <c r="C1265" s="8" t="s">
        <v>11</v>
      </c>
      <c r="D1265" s="9" t="s">
        <v>8</v>
      </c>
      <c r="E1265" s="10" t="s">
        <v>61</v>
      </c>
      <c r="F1265" s="83">
        <f>VLOOKUP(B1265,'HSD UPAH,BAHAN,ALAT'!$C$6:F1367,4,FALSE)</f>
        <v>120000</v>
      </c>
      <c r="G1265" s="84">
        <f t="shared" si="162"/>
        <v>2640</v>
      </c>
    </row>
    <row r="1266" spans="1:7">
      <c r="A1266" s="8">
        <v>4</v>
      </c>
      <c r="B1266" s="1" t="s">
        <v>13</v>
      </c>
      <c r="C1266" s="8" t="s">
        <v>14</v>
      </c>
      <c r="D1266" s="9" t="s">
        <v>8</v>
      </c>
      <c r="E1266" s="10" t="s">
        <v>62</v>
      </c>
      <c r="F1266" s="83">
        <f>VLOOKUP(B1266,'HSD UPAH,BAHAN,ALAT'!$C$6:F1368,4,FALSE)</f>
        <v>100000</v>
      </c>
      <c r="G1266" s="84">
        <f t="shared" si="162"/>
        <v>730</v>
      </c>
    </row>
    <row r="1267" spans="1:7">
      <c r="A1267" s="261" t="s">
        <v>420</v>
      </c>
      <c r="B1267" s="261"/>
      <c r="C1267" s="261"/>
      <c r="D1267" s="261"/>
      <c r="E1267" s="261"/>
      <c r="F1267" s="261"/>
      <c r="G1267" s="85">
        <f>SUM(G1263:G1266)</f>
        <v>16770</v>
      </c>
    </row>
    <row r="1268" spans="1:7">
      <c r="A1268" s="8" t="s">
        <v>16</v>
      </c>
      <c r="B1268" s="1" t="s">
        <v>17</v>
      </c>
      <c r="C1268" s="8"/>
      <c r="D1268" s="9"/>
      <c r="E1268" s="19"/>
      <c r="F1268" s="2"/>
      <c r="G1268" s="2"/>
    </row>
    <row r="1269" spans="1:7" ht="30">
      <c r="A1269" s="17" t="s">
        <v>208</v>
      </c>
      <c r="B1269" s="5" t="s">
        <v>275</v>
      </c>
      <c r="C1269" s="8"/>
      <c r="D1269" s="12" t="s">
        <v>86</v>
      </c>
      <c r="E1269" s="7" t="s">
        <v>87</v>
      </c>
      <c r="F1269" s="83">
        <f>VLOOKUP(B1269,'HSD UPAH,BAHAN,ALAT'!$C$6:F1371,4,FALSE)</f>
        <v>10000</v>
      </c>
      <c r="G1269" s="84">
        <f t="shared" ref="G1269:G1270" si="163">E1269*F1269</f>
        <v>10500</v>
      </c>
    </row>
    <row r="1270" spans="1:7">
      <c r="A1270" s="8">
        <v>2</v>
      </c>
      <c r="B1270" s="1" t="s">
        <v>18</v>
      </c>
      <c r="C1270" s="8"/>
      <c r="D1270" s="9" t="s">
        <v>19</v>
      </c>
      <c r="E1270" s="10" t="s">
        <v>53</v>
      </c>
      <c r="F1270" s="83">
        <f>VLOOKUP(B1270,'HSD UPAH,BAHAN,ALAT'!$C$6:F1372,4,FALSE)</f>
        <v>10000</v>
      </c>
      <c r="G1270" s="84">
        <f t="shared" si="163"/>
        <v>100</v>
      </c>
    </row>
    <row r="1271" spans="1:7">
      <c r="A1271" s="8">
        <v>3</v>
      </c>
      <c r="B1271" s="1" t="s">
        <v>21</v>
      </c>
      <c r="C1271" s="8"/>
      <c r="D1271" s="9"/>
      <c r="E1271" s="19"/>
      <c r="F1271" s="2"/>
      <c r="G1271" s="2"/>
    </row>
    <row r="1272" spans="1:7">
      <c r="A1272" s="8" t="s">
        <v>22</v>
      </c>
      <c r="B1272" s="1" t="s">
        <v>54</v>
      </c>
      <c r="C1272" s="8"/>
      <c r="D1272" s="9" t="s">
        <v>24</v>
      </c>
      <c r="E1272" s="10" t="s">
        <v>55</v>
      </c>
      <c r="F1272" s="83">
        <f>VLOOKUP(B1272,'HSD UPAH,BAHAN,ALAT'!$C$6:F1374,4,FALSE)</f>
        <v>10000</v>
      </c>
      <c r="G1272" s="84">
        <f t="shared" ref="G1272:G1273" si="164">E1272*F1272</f>
        <v>120000</v>
      </c>
    </row>
    <row r="1273" spans="1:7">
      <c r="A1273" s="8" t="s">
        <v>30</v>
      </c>
      <c r="B1273" s="1" t="s">
        <v>56</v>
      </c>
      <c r="C1273" s="8"/>
      <c r="D1273" s="9" t="s">
        <v>24</v>
      </c>
      <c r="E1273" s="10" t="s">
        <v>57</v>
      </c>
      <c r="F1273" s="83">
        <f>VLOOKUP(B1273,'HSD UPAH,BAHAN,ALAT'!$C$6:F1375,4,FALSE)</f>
        <v>10000</v>
      </c>
      <c r="G1273" s="84">
        <f t="shared" si="164"/>
        <v>100000</v>
      </c>
    </row>
    <row r="1274" spans="1:7">
      <c r="A1274" s="8">
        <v>4</v>
      </c>
      <c r="B1274" s="1" t="s">
        <v>26</v>
      </c>
      <c r="C1274" s="8"/>
      <c r="D1274" s="9"/>
      <c r="E1274" s="19"/>
      <c r="F1274" s="2"/>
      <c r="G1274" s="2"/>
    </row>
    <row r="1275" spans="1:7">
      <c r="A1275" s="8" t="s">
        <v>22</v>
      </c>
      <c r="B1275" s="1" t="s">
        <v>27</v>
      </c>
      <c r="C1275" s="8"/>
      <c r="D1275" s="9" t="s">
        <v>28</v>
      </c>
      <c r="E1275" s="10" t="s">
        <v>63</v>
      </c>
      <c r="F1275" s="83">
        <f>VLOOKUP(B1275,'HSD UPAH,BAHAN,ALAT'!$C$6:F1377,4,FALSE)</f>
        <v>10000</v>
      </c>
      <c r="G1275" s="84">
        <f t="shared" ref="G1275:G1277" si="165">E1275*F1275</f>
        <v>730</v>
      </c>
    </row>
    <row r="1276" spans="1:7">
      <c r="A1276" s="8" t="s">
        <v>30</v>
      </c>
      <c r="B1276" s="1" t="s">
        <v>31</v>
      </c>
      <c r="C1276" s="8"/>
      <c r="D1276" s="9" t="s">
        <v>28</v>
      </c>
      <c r="E1276" s="10" t="s">
        <v>64</v>
      </c>
      <c r="F1276" s="83">
        <f>VLOOKUP(B1276,'HSD UPAH,BAHAN,ALAT'!$C$6:F1378,4,FALSE)</f>
        <v>10000</v>
      </c>
      <c r="G1276" s="84">
        <f t="shared" si="165"/>
        <v>200</v>
      </c>
    </row>
    <row r="1277" spans="1:7">
      <c r="A1277" s="8" t="s">
        <v>33</v>
      </c>
      <c r="B1277" s="1" t="s">
        <v>34</v>
      </c>
      <c r="C1277" s="8"/>
      <c r="D1277" s="9" t="s">
        <v>28</v>
      </c>
      <c r="E1277" s="10" t="s">
        <v>20</v>
      </c>
      <c r="F1277" s="83">
        <f>VLOOKUP(B1277,'HSD UPAH,BAHAN,ALAT'!$C$6:F1379,4,FALSE)</f>
        <v>10000</v>
      </c>
      <c r="G1277" s="84">
        <f t="shared" si="165"/>
        <v>50</v>
      </c>
    </row>
    <row r="1278" spans="1:7">
      <c r="A1278" s="261" t="s">
        <v>421</v>
      </c>
      <c r="B1278" s="261"/>
      <c r="C1278" s="261"/>
      <c r="D1278" s="261"/>
      <c r="E1278" s="261"/>
      <c r="F1278" s="261"/>
      <c r="G1278" s="85">
        <f>SUM(G1269:G1277)</f>
        <v>231580</v>
      </c>
    </row>
    <row r="1279" spans="1:7">
      <c r="A1279" s="8" t="s">
        <v>36</v>
      </c>
      <c r="B1279" s="1" t="s">
        <v>37</v>
      </c>
      <c r="C1279" s="8"/>
      <c r="D1279" s="9"/>
      <c r="E1279" s="19"/>
      <c r="F1279" s="2"/>
      <c r="G1279" s="2"/>
    </row>
    <row r="1280" spans="1:7">
      <c r="A1280" s="263" t="s">
        <v>419</v>
      </c>
      <c r="B1280" s="263"/>
      <c r="C1280" s="263"/>
      <c r="D1280" s="263"/>
      <c r="E1280" s="263"/>
      <c r="F1280" s="263"/>
      <c r="G1280" s="80">
        <f>SUM(G1279)</f>
        <v>0</v>
      </c>
    </row>
    <row r="1281" spans="1:7">
      <c r="A1281" s="81" t="s">
        <v>38</v>
      </c>
      <c r="B1281" s="262" t="s">
        <v>39</v>
      </c>
      <c r="C1281" s="262"/>
      <c r="D1281" s="262"/>
      <c r="E1281" s="262"/>
      <c r="F1281" s="262"/>
      <c r="G1281" s="80">
        <f>SUM(G1263:G1280)/2</f>
        <v>248350</v>
      </c>
    </row>
    <row r="1282" spans="1:7">
      <c r="A1282" s="81" t="s">
        <v>40</v>
      </c>
      <c r="B1282" s="262" t="s">
        <v>180</v>
      </c>
      <c r="C1282" s="262"/>
      <c r="D1282" s="262"/>
      <c r="E1282" s="262"/>
      <c r="F1282" s="82">
        <v>0.1</v>
      </c>
      <c r="G1282" s="80">
        <f>G1281*F1282</f>
        <v>24835</v>
      </c>
    </row>
    <row r="1283" spans="1:7">
      <c r="A1283" s="81" t="s">
        <v>41</v>
      </c>
      <c r="B1283" s="262" t="s">
        <v>42</v>
      </c>
      <c r="C1283" s="262"/>
      <c r="D1283" s="262"/>
      <c r="E1283" s="262"/>
      <c r="F1283" s="262"/>
      <c r="G1283" s="80">
        <f>G1281+G1282</f>
        <v>273185</v>
      </c>
    </row>
    <row r="1284" spans="1:7">
      <c r="A1284" s="90"/>
      <c r="B1284" s="91"/>
      <c r="C1284" s="91"/>
      <c r="D1284" s="91"/>
      <c r="E1284" s="91"/>
      <c r="F1284" s="91"/>
      <c r="G1284" s="92"/>
    </row>
    <row r="1285" spans="1:7">
      <c r="A1285" s="4" t="s">
        <v>541</v>
      </c>
      <c r="B1285" s="91"/>
      <c r="C1285" s="91"/>
      <c r="D1285" s="91"/>
      <c r="E1285" s="91"/>
      <c r="F1285" s="91"/>
      <c r="G1285" s="92"/>
    </row>
    <row r="1286" spans="1:7" ht="30">
      <c r="A1286" s="79" t="s">
        <v>0</v>
      </c>
      <c r="B1286" s="79" t="s">
        <v>1</v>
      </c>
      <c r="C1286" s="79" t="s">
        <v>207</v>
      </c>
      <c r="D1286" s="79" t="s">
        <v>3</v>
      </c>
      <c r="E1286" s="79" t="s">
        <v>2</v>
      </c>
      <c r="F1286" s="79" t="s">
        <v>417</v>
      </c>
      <c r="G1286" s="79" t="s">
        <v>418</v>
      </c>
    </row>
    <row r="1287" spans="1:7">
      <c r="A1287" s="8" t="s">
        <v>4</v>
      </c>
      <c r="B1287" s="1" t="s">
        <v>5</v>
      </c>
      <c r="C1287" s="8"/>
      <c r="D1287" s="9"/>
      <c r="E1287" s="19"/>
      <c r="F1287" s="2"/>
      <c r="G1287" s="2"/>
    </row>
    <row r="1288" spans="1:7">
      <c r="A1288" s="8">
        <v>1</v>
      </c>
      <c r="B1288" s="1" t="s">
        <v>48</v>
      </c>
      <c r="C1288" s="8" t="s">
        <v>49</v>
      </c>
      <c r="D1288" s="9" t="s">
        <v>8</v>
      </c>
      <c r="E1288" s="10" t="s">
        <v>60</v>
      </c>
      <c r="F1288" s="83">
        <f>VLOOKUP(B1288,'HSD UPAH,BAHAN,ALAT'!$C$6:F1388,4,FALSE)</f>
        <v>100000</v>
      </c>
      <c r="G1288" s="84">
        <f t="shared" ref="G1288:G1291" si="166">E1288*F1288</f>
        <v>6700</v>
      </c>
    </row>
    <row r="1289" spans="1:7">
      <c r="A1289" s="8">
        <v>2</v>
      </c>
      <c r="B1289" s="1" t="s">
        <v>6</v>
      </c>
      <c r="C1289" s="8" t="s">
        <v>7</v>
      </c>
      <c r="D1289" s="9" t="s">
        <v>8</v>
      </c>
      <c r="E1289" s="10" t="s">
        <v>60</v>
      </c>
      <c r="F1289" s="83">
        <f>VLOOKUP(B1289,'HSD UPAH,BAHAN,ALAT'!$C$6:F1389,4,FALSE)</f>
        <v>100000</v>
      </c>
      <c r="G1289" s="84">
        <f t="shared" si="166"/>
        <v>6700</v>
      </c>
    </row>
    <row r="1290" spans="1:7">
      <c r="A1290" s="8">
        <v>3</v>
      </c>
      <c r="B1290" s="1" t="s">
        <v>10</v>
      </c>
      <c r="C1290" s="8" t="s">
        <v>11</v>
      </c>
      <c r="D1290" s="9" t="s">
        <v>8</v>
      </c>
      <c r="E1290" s="10" t="s">
        <v>61</v>
      </c>
      <c r="F1290" s="83">
        <f>VLOOKUP(B1290,'HSD UPAH,BAHAN,ALAT'!$C$6:F1390,4,FALSE)</f>
        <v>120000</v>
      </c>
      <c r="G1290" s="84">
        <f t="shared" si="166"/>
        <v>2640</v>
      </c>
    </row>
    <row r="1291" spans="1:7">
      <c r="A1291" s="8">
        <v>4</v>
      </c>
      <c r="B1291" s="1" t="s">
        <v>13</v>
      </c>
      <c r="C1291" s="8" t="s">
        <v>14</v>
      </c>
      <c r="D1291" s="9" t="s">
        <v>8</v>
      </c>
      <c r="E1291" s="10" t="s">
        <v>62</v>
      </c>
      <c r="F1291" s="83">
        <f>VLOOKUP(B1291,'HSD UPAH,BAHAN,ALAT'!$C$6:F1391,4,FALSE)</f>
        <v>100000</v>
      </c>
      <c r="G1291" s="84">
        <f t="shared" si="166"/>
        <v>730</v>
      </c>
    </row>
    <row r="1292" spans="1:7">
      <c r="A1292" s="261" t="s">
        <v>420</v>
      </c>
      <c r="B1292" s="261"/>
      <c r="C1292" s="261"/>
      <c r="D1292" s="261"/>
      <c r="E1292" s="261"/>
      <c r="F1292" s="261"/>
      <c r="G1292" s="85">
        <f>SUM(G1288:G1291)</f>
        <v>16770</v>
      </c>
    </row>
    <row r="1293" spans="1:7">
      <c r="A1293" s="8" t="s">
        <v>16</v>
      </c>
      <c r="B1293" s="1" t="s">
        <v>17</v>
      </c>
      <c r="C1293" s="8"/>
      <c r="D1293" s="9"/>
      <c r="E1293" s="19"/>
      <c r="F1293" s="83">
        <f>VLOOKUP(B1293,'HSD UPAH,BAHAN,ALAT'!$C$6:F1393,4,FALSE)</f>
        <v>0</v>
      </c>
      <c r="G1293" s="84">
        <f t="shared" ref="G1293:G1295" si="167">E1293*F1293</f>
        <v>0</v>
      </c>
    </row>
    <row r="1294" spans="1:7" ht="30">
      <c r="A1294" s="17" t="s">
        <v>208</v>
      </c>
      <c r="B1294" s="5" t="s">
        <v>276</v>
      </c>
      <c r="C1294" s="8"/>
      <c r="D1294" s="12" t="s">
        <v>86</v>
      </c>
      <c r="E1294" s="7" t="s">
        <v>87</v>
      </c>
      <c r="F1294" s="83">
        <f>VLOOKUP(B1294,'HSD UPAH,BAHAN,ALAT'!$C$6:F1394,4,FALSE)</f>
        <v>10000</v>
      </c>
      <c r="G1294" s="84">
        <f t="shared" si="167"/>
        <v>10500</v>
      </c>
    </row>
    <row r="1295" spans="1:7">
      <c r="A1295" s="8">
        <v>2</v>
      </c>
      <c r="B1295" s="1" t="s">
        <v>18</v>
      </c>
      <c r="C1295" s="8"/>
      <c r="D1295" s="9" t="s">
        <v>19</v>
      </c>
      <c r="E1295" s="10" t="s">
        <v>53</v>
      </c>
      <c r="F1295" s="83">
        <f>VLOOKUP(B1295,'HSD UPAH,BAHAN,ALAT'!$C$6:F1395,4,FALSE)</f>
        <v>10000</v>
      </c>
      <c r="G1295" s="84">
        <f t="shared" si="167"/>
        <v>100</v>
      </c>
    </row>
    <row r="1296" spans="1:7">
      <c r="A1296" s="8">
        <v>3</v>
      </c>
      <c r="B1296" s="1" t="s">
        <v>21</v>
      </c>
      <c r="C1296" s="8"/>
      <c r="D1296" s="9"/>
      <c r="E1296" s="19"/>
      <c r="F1296" s="2"/>
      <c r="G1296" s="2"/>
    </row>
    <row r="1297" spans="1:7">
      <c r="A1297" s="8" t="s">
        <v>22</v>
      </c>
      <c r="B1297" s="1" t="s">
        <v>54</v>
      </c>
      <c r="C1297" s="8"/>
      <c r="D1297" s="9" t="s">
        <v>24</v>
      </c>
      <c r="E1297" s="10" t="s">
        <v>55</v>
      </c>
      <c r="F1297" s="83">
        <f>VLOOKUP(B1297,'HSD UPAH,BAHAN,ALAT'!$C$6:F1397,4,FALSE)</f>
        <v>10000</v>
      </c>
      <c r="G1297" s="84">
        <f t="shared" ref="G1297:G1298" si="168">E1297*F1297</f>
        <v>120000</v>
      </c>
    </row>
    <row r="1298" spans="1:7">
      <c r="A1298" s="8" t="s">
        <v>30</v>
      </c>
      <c r="B1298" s="1" t="s">
        <v>56</v>
      </c>
      <c r="C1298" s="8"/>
      <c r="D1298" s="9" t="s">
        <v>24</v>
      </c>
      <c r="E1298" s="10" t="s">
        <v>57</v>
      </c>
      <c r="F1298" s="83">
        <f>VLOOKUP(B1298,'HSD UPAH,BAHAN,ALAT'!$C$6:F1398,4,FALSE)</f>
        <v>10000</v>
      </c>
      <c r="G1298" s="84">
        <f t="shared" si="168"/>
        <v>100000</v>
      </c>
    </row>
    <row r="1299" spans="1:7">
      <c r="A1299" s="8">
        <v>4</v>
      </c>
      <c r="B1299" s="1" t="s">
        <v>26</v>
      </c>
      <c r="C1299" s="8"/>
      <c r="D1299" s="9"/>
      <c r="E1299" s="19"/>
      <c r="F1299" s="2"/>
      <c r="G1299" s="2"/>
    </row>
    <row r="1300" spans="1:7">
      <c r="A1300" s="8" t="s">
        <v>22</v>
      </c>
      <c r="B1300" s="1" t="s">
        <v>27</v>
      </c>
      <c r="C1300" s="8"/>
      <c r="D1300" s="9" t="s">
        <v>28</v>
      </c>
      <c r="E1300" s="10" t="s">
        <v>63</v>
      </c>
      <c r="F1300" s="83">
        <f>VLOOKUP(B1300,'HSD UPAH,BAHAN,ALAT'!$C$6:F1400,4,FALSE)</f>
        <v>10000</v>
      </c>
      <c r="G1300" s="84">
        <f t="shared" ref="G1300:G1302" si="169">E1300*F1300</f>
        <v>730</v>
      </c>
    </row>
    <row r="1301" spans="1:7">
      <c r="A1301" s="8" t="s">
        <v>30</v>
      </c>
      <c r="B1301" s="1" t="s">
        <v>31</v>
      </c>
      <c r="C1301" s="8"/>
      <c r="D1301" s="9" t="s">
        <v>28</v>
      </c>
      <c r="E1301" s="10" t="s">
        <v>64</v>
      </c>
      <c r="F1301" s="83">
        <f>VLOOKUP(B1301,'HSD UPAH,BAHAN,ALAT'!$C$6:F1401,4,FALSE)</f>
        <v>10000</v>
      </c>
      <c r="G1301" s="84">
        <f t="shared" si="169"/>
        <v>200</v>
      </c>
    </row>
    <row r="1302" spans="1:7">
      <c r="A1302" s="8" t="s">
        <v>33</v>
      </c>
      <c r="B1302" s="1" t="s">
        <v>34</v>
      </c>
      <c r="C1302" s="8"/>
      <c r="D1302" s="9" t="s">
        <v>28</v>
      </c>
      <c r="E1302" s="10" t="s">
        <v>20</v>
      </c>
      <c r="F1302" s="83">
        <f>VLOOKUP(B1302,'HSD UPAH,BAHAN,ALAT'!$C$6:F1402,4,FALSE)</f>
        <v>10000</v>
      </c>
      <c r="G1302" s="84">
        <f t="shared" si="169"/>
        <v>50</v>
      </c>
    </row>
    <row r="1303" spans="1:7">
      <c r="A1303" s="261" t="s">
        <v>421</v>
      </c>
      <c r="B1303" s="261"/>
      <c r="C1303" s="261"/>
      <c r="D1303" s="261"/>
      <c r="E1303" s="261"/>
      <c r="F1303" s="261"/>
      <c r="G1303" s="85">
        <f>SUM(G1294:G1302)</f>
        <v>231580</v>
      </c>
    </row>
    <row r="1304" spans="1:7">
      <c r="A1304" s="8" t="s">
        <v>36</v>
      </c>
      <c r="B1304" s="1" t="s">
        <v>37</v>
      </c>
      <c r="C1304" s="8"/>
      <c r="D1304" s="9"/>
      <c r="E1304" s="19"/>
      <c r="F1304" s="2"/>
      <c r="G1304" s="2"/>
    </row>
    <row r="1305" spans="1:7">
      <c r="A1305" s="263" t="s">
        <v>419</v>
      </c>
      <c r="B1305" s="263"/>
      <c r="C1305" s="263"/>
      <c r="D1305" s="263"/>
      <c r="E1305" s="263"/>
      <c r="F1305" s="263"/>
      <c r="G1305" s="80">
        <f>SUM(G1304)</f>
        <v>0</v>
      </c>
    </row>
    <row r="1306" spans="1:7">
      <c r="A1306" s="81" t="s">
        <v>38</v>
      </c>
      <c r="B1306" s="262" t="s">
        <v>39</v>
      </c>
      <c r="C1306" s="262"/>
      <c r="D1306" s="262"/>
      <c r="E1306" s="262"/>
      <c r="F1306" s="262"/>
      <c r="G1306" s="80">
        <f>SUM(G1288:G1305)/2</f>
        <v>248350</v>
      </c>
    </row>
    <row r="1307" spans="1:7">
      <c r="A1307" s="81" t="s">
        <v>40</v>
      </c>
      <c r="B1307" s="262" t="s">
        <v>180</v>
      </c>
      <c r="C1307" s="262"/>
      <c r="D1307" s="262"/>
      <c r="E1307" s="262"/>
      <c r="F1307" s="82">
        <v>0.1</v>
      </c>
      <c r="G1307" s="80">
        <f>G1306*F1307</f>
        <v>24835</v>
      </c>
    </row>
    <row r="1308" spans="1:7">
      <c r="A1308" s="81" t="s">
        <v>41</v>
      </c>
      <c r="B1308" s="262" t="s">
        <v>42</v>
      </c>
      <c r="C1308" s="262"/>
      <c r="D1308" s="262"/>
      <c r="E1308" s="262"/>
      <c r="F1308" s="262"/>
      <c r="G1308" s="80">
        <f>G1306+G1307</f>
        <v>273185</v>
      </c>
    </row>
    <row r="1309" spans="1:7">
      <c r="A1309" s="90"/>
      <c r="B1309" s="91"/>
      <c r="C1309" s="91"/>
      <c r="D1309" s="91"/>
      <c r="E1309" s="91"/>
      <c r="F1309" s="91"/>
      <c r="G1309" s="92"/>
    </row>
    <row r="1310" spans="1:7">
      <c r="A1310" s="4" t="s">
        <v>542</v>
      </c>
      <c r="B1310" s="91"/>
      <c r="C1310" s="91"/>
      <c r="D1310" s="91"/>
      <c r="E1310" s="91"/>
      <c r="F1310" s="91"/>
      <c r="G1310" s="92"/>
    </row>
    <row r="1311" spans="1:7" ht="30">
      <c r="A1311" s="79" t="s">
        <v>0</v>
      </c>
      <c r="B1311" s="79" t="s">
        <v>1</v>
      </c>
      <c r="C1311" s="79" t="s">
        <v>207</v>
      </c>
      <c r="D1311" s="79" t="s">
        <v>3</v>
      </c>
      <c r="E1311" s="79" t="s">
        <v>2</v>
      </c>
      <c r="F1311" s="79" t="s">
        <v>417</v>
      </c>
      <c r="G1311" s="79" t="s">
        <v>418</v>
      </c>
    </row>
    <row r="1312" spans="1:7">
      <c r="A1312" s="8" t="s">
        <v>4</v>
      </c>
      <c r="B1312" s="1" t="s">
        <v>5</v>
      </c>
      <c r="C1312" s="8"/>
      <c r="D1312" s="9"/>
      <c r="E1312" s="19"/>
      <c r="F1312" s="2"/>
      <c r="G1312" s="2"/>
    </row>
    <row r="1313" spans="1:7">
      <c r="A1313" s="8">
        <v>1</v>
      </c>
      <c r="B1313" s="1" t="s">
        <v>48</v>
      </c>
      <c r="C1313" s="8" t="s">
        <v>49</v>
      </c>
      <c r="D1313" s="9" t="s">
        <v>8</v>
      </c>
      <c r="E1313" s="10" t="s">
        <v>60</v>
      </c>
      <c r="F1313" s="83">
        <f>VLOOKUP(B1313,'HSD UPAH,BAHAN,ALAT'!$C$6:F1411,4,FALSE)</f>
        <v>100000</v>
      </c>
      <c r="G1313" s="84">
        <f t="shared" ref="G1313:G1316" si="170">E1313*F1313</f>
        <v>6700</v>
      </c>
    </row>
    <row r="1314" spans="1:7">
      <c r="A1314" s="8">
        <v>2</v>
      </c>
      <c r="B1314" s="1" t="s">
        <v>6</v>
      </c>
      <c r="C1314" s="8" t="s">
        <v>7</v>
      </c>
      <c r="D1314" s="9" t="s">
        <v>8</v>
      </c>
      <c r="E1314" s="10" t="s">
        <v>60</v>
      </c>
      <c r="F1314" s="83">
        <f>VLOOKUP(B1314,'HSD UPAH,BAHAN,ALAT'!$C$6:F1412,4,FALSE)</f>
        <v>100000</v>
      </c>
      <c r="G1314" s="84">
        <f t="shared" si="170"/>
        <v>6700</v>
      </c>
    </row>
    <row r="1315" spans="1:7">
      <c r="A1315" s="8">
        <v>3</v>
      </c>
      <c r="B1315" s="1" t="s">
        <v>10</v>
      </c>
      <c r="C1315" s="8" t="s">
        <v>11</v>
      </c>
      <c r="D1315" s="9" t="s">
        <v>8</v>
      </c>
      <c r="E1315" s="10" t="s">
        <v>61</v>
      </c>
      <c r="F1315" s="83">
        <f>VLOOKUP(B1315,'HSD UPAH,BAHAN,ALAT'!$C$6:F1413,4,FALSE)</f>
        <v>120000</v>
      </c>
      <c r="G1315" s="84">
        <f t="shared" si="170"/>
        <v>2640</v>
      </c>
    </row>
    <row r="1316" spans="1:7">
      <c r="A1316" s="8">
        <v>4</v>
      </c>
      <c r="B1316" s="1" t="s">
        <v>13</v>
      </c>
      <c r="C1316" s="8" t="s">
        <v>14</v>
      </c>
      <c r="D1316" s="9" t="s">
        <v>8</v>
      </c>
      <c r="E1316" s="10" t="s">
        <v>62</v>
      </c>
      <c r="F1316" s="83">
        <f>VLOOKUP(B1316,'HSD UPAH,BAHAN,ALAT'!$C$6:F1414,4,FALSE)</f>
        <v>100000</v>
      </c>
      <c r="G1316" s="84">
        <f t="shared" si="170"/>
        <v>730</v>
      </c>
    </row>
    <row r="1317" spans="1:7">
      <c r="A1317" s="261" t="s">
        <v>420</v>
      </c>
      <c r="B1317" s="261"/>
      <c r="C1317" s="261"/>
      <c r="D1317" s="261"/>
      <c r="E1317" s="261"/>
      <c r="F1317" s="261"/>
      <c r="G1317" s="85">
        <f>SUM(G1313:G1316)</f>
        <v>16770</v>
      </c>
    </row>
    <row r="1318" spans="1:7">
      <c r="A1318" s="8" t="s">
        <v>16</v>
      </c>
      <c r="B1318" s="1" t="s">
        <v>17</v>
      </c>
      <c r="C1318" s="8"/>
      <c r="D1318" s="9"/>
      <c r="E1318" s="19"/>
      <c r="F1318" s="2"/>
      <c r="G1318" s="2"/>
    </row>
    <row r="1319" spans="1:7" ht="30">
      <c r="A1319" s="17" t="s">
        <v>208</v>
      </c>
      <c r="B1319" s="5" t="s">
        <v>277</v>
      </c>
      <c r="C1319" s="8"/>
      <c r="D1319" s="12" t="s">
        <v>86</v>
      </c>
      <c r="E1319" s="7" t="s">
        <v>87</v>
      </c>
      <c r="F1319" s="83">
        <f>VLOOKUP(B1319,'HSD UPAH,BAHAN,ALAT'!$C$6:F1417,4,FALSE)</f>
        <v>10000</v>
      </c>
      <c r="G1319" s="84">
        <f t="shared" ref="G1319:G1320" si="171">E1319*F1319</f>
        <v>10500</v>
      </c>
    </row>
    <row r="1320" spans="1:7">
      <c r="A1320" s="8">
        <v>2</v>
      </c>
      <c r="B1320" s="1" t="s">
        <v>18</v>
      </c>
      <c r="C1320" s="8"/>
      <c r="D1320" s="9" t="s">
        <v>19</v>
      </c>
      <c r="E1320" s="10" t="s">
        <v>53</v>
      </c>
      <c r="F1320" s="83">
        <f>VLOOKUP(B1320,'HSD UPAH,BAHAN,ALAT'!$C$6:F1418,4,FALSE)</f>
        <v>10000</v>
      </c>
      <c r="G1320" s="84">
        <f t="shared" si="171"/>
        <v>100</v>
      </c>
    </row>
    <row r="1321" spans="1:7">
      <c r="A1321" s="8">
        <v>3</v>
      </c>
      <c r="B1321" s="1" t="s">
        <v>21</v>
      </c>
      <c r="C1321" s="8"/>
      <c r="D1321" s="9"/>
      <c r="E1321" s="19"/>
      <c r="F1321" s="2"/>
      <c r="G1321" s="2"/>
    </row>
    <row r="1322" spans="1:7">
      <c r="A1322" s="8" t="s">
        <v>22</v>
      </c>
      <c r="B1322" s="1" t="s">
        <v>54</v>
      </c>
      <c r="C1322" s="8"/>
      <c r="D1322" s="9" t="s">
        <v>24</v>
      </c>
      <c r="E1322" s="10" t="s">
        <v>55</v>
      </c>
      <c r="F1322" s="83">
        <f>VLOOKUP(B1322,'HSD UPAH,BAHAN,ALAT'!$C$6:F1420,4,FALSE)</f>
        <v>10000</v>
      </c>
      <c r="G1322" s="84">
        <f t="shared" ref="G1322:G1323" si="172">E1322*F1322</f>
        <v>120000</v>
      </c>
    </row>
    <row r="1323" spans="1:7">
      <c r="A1323" s="8" t="s">
        <v>30</v>
      </c>
      <c r="B1323" s="1" t="s">
        <v>56</v>
      </c>
      <c r="C1323" s="8"/>
      <c r="D1323" s="9" t="s">
        <v>24</v>
      </c>
      <c r="E1323" s="10" t="s">
        <v>57</v>
      </c>
      <c r="F1323" s="83">
        <f>VLOOKUP(B1323,'HSD UPAH,BAHAN,ALAT'!$C$6:F1421,4,FALSE)</f>
        <v>10000</v>
      </c>
      <c r="G1323" s="84">
        <f t="shared" si="172"/>
        <v>100000</v>
      </c>
    </row>
    <row r="1324" spans="1:7">
      <c r="A1324" s="8">
        <v>4</v>
      </c>
      <c r="B1324" s="1" t="s">
        <v>26</v>
      </c>
      <c r="C1324" s="8"/>
      <c r="D1324" s="9"/>
      <c r="E1324" s="19"/>
      <c r="F1324" s="2"/>
      <c r="G1324" s="2"/>
    </row>
    <row r="1325" spans="1:7">
      <c r="A1325" s="8" t="s">
        <v>22</v>
      </c>
      <c r="B1325" s="1" t="s">
        <v>27</v>
      </c>
      <c r="C1325" s="8"/>
      <c r="D1325" s="9" t="s">
        <v>28</v>
      </c>
      <c r="E1325" s="10" t="s">
        <v>63</v>
      </c>
      <c r="F1325" s="83">
        <f>VLOOKUP(B1325,'HSD UPAH,BAHAN,ALAT'!$C$6:F1423,4,FALSE)</f>
        <v>10000</v>
      </c>
      <c r="G1325" s="84">
        <f t="shared" ref="G1325:G1327" si="173">E1325*F1325</f>
        <v>730</v>
      </c>
    </row>
    <row r="1326" spans="1:7">
      <c r="A1326" s="8" t="s">
        <v>30</v>
      </c>
      <c r="B1326" s="1" t="s">
        <v>31</v>
      </c>
      <c r="C1326" s="8"/>
      <c r="D1326" s="9" t="s">
        <v>28</v>
      </c>
      <c r="E1326" s="10" t="s">
        <v>64</v>
      </c>
      <c r="F1326" s="83">
        <f>VLOOKUP(B1326,'HSD UPAH,BAHAN,ALAT'!$C$6:F1424,4,FALSE)</f>
        <v>10000</v>
      </c>
      <c r="G1326" s="84">
        <f t="shared" si="173"/>
        <v>200</v>
      </c>
    </row>
    <row r="1327" spans="1:7">
      <c r="A1327" s="8" t="s">
        <v>33</v>
      </c>
      <c r="B1327" s="1" t="s">
        <v>34</v>
      </c>
      <c r="C1327" s="8"/>
      <c r="D1327" s="9" t="s">
        <v>28</v>
      </c>
      <c r="E1327" s="10" t="s">
        <v>20</v>
      </c>
      <c r="F1327" s="83">
        <f>VLOOKUP(B1327,'HSD UPAH,BAHAN,ALAT'!$C$6:F1425,4,FALSE)</f>
        <v>10000</v>
      </c>
      <c r="G1327" s="84">
        <f t="shared" si="173"/>
        <v>50</v>
      </c>
    </row>
    <row r="1328" spans="1:7">
      <c r="A1328" s="261" t="s">
        <v>421</v>
      </c>
      <c r="B1328" s="261"/>
      <c r="C1328" s="261"/>
      <c r="D1328" s="261"/>
      <c r="E1328" s="261"/>
      <c r="F1328" s="261"/>
      <c r="G1328" s="85">
        <f>SUM(G1319:G1327)</f>
        <v>231580</v>
      </c>
    </row>
    <row r="1329" spans="1:7">
      <c r="A1329" s="8" t="s">
        <v>36</v>
      </c>
      <c r="B1329" s="1" t="s">
        <v>37</v>
      </c>
      <c r="C1329" s="8"/>
      <c r="D1329" s="9"/>
      <c r="E1329" s="19"/>
      <c r="F1329" s="2"/>
      <c r="G1329" s="2"/>
    </row>
    <row r="1330" spans="1:7">
      <c r="A1330" s="263" t="s">
        <v>419</v>
      </c>
      <c r="B1330" s="263"/>
      <c r="C1330" s="263"/>
      <c r="D1330" s="263"/>
      <c r="E1330" s="263"/>
      <c r="F1330" s="263"/>
      <c r="G1330" s="80">
        <f>SUM(G1329)</f>
        <v>0</v>
      </c>
    </row>
    <row r="1331" spans="1:7">
      <c r="A1331" s="81" t="s">
        <v>38</v>
      </c>
      <c r="B1331" s="262" t="s">
        <v>39</v>
      </c>
      <c r="C1331" s="262"/>
      <c r="D1331" s="262"/>
      <c r="E1331" s="262"/>
      <c r="F1331" s="262"/>
      <c r="G1331" s="80">
        <f>SUM(G1313:G1330)/2</f>
        <v>248350</v>
      </c>
    </row>
    <row r="1332" spans="1:7">
      <c r="A1332" s="81" t="s">
        <v>40</v>
      </c>
      <c r="B1332" s="262" t="s">
        <v>180</v>
      </c>
      <c r="C1332" s="262"/>
      <c r="D1332" s="262"/>
      <c r="E1332" s="262"/>
      <c r="F1332" s="82">
        <v>0.1</v>
      </c>
      <c r="G1332" s="80">
        <f>G1331*F1332</f>
        <v>24835</v>
      </c>
    </row>
    <row r="1333" spans="1:7">
      <c r="A1333" s="81" t="s">
        <v>41</v>
      </c>
      <c r="B1333" s="262" t="s">
        <v>42</v>
      </c>
      <c r="C1333" s="262"/>
      <c r="D1333" s="262"/>
      <c r="E1333" s="262"/>
      <c r="F1333" s="262"/>
      <c r="G1333" s="80">
        <f>G1331+G1332</f>
        <v>273185</v>
      </c>
    </row>
    <row r="1334" spans="1:7">
      <c r="A1334" s="90"/>
      <c r="B1334" s="91"/>
      <c r="C1334" s="91"/>
      <c r="D1334" s="91"/>
      <c r="E1334" s="91"/>
      <c r="F1334" s="91"/>
      <c r="G1334" s="92"/>
    </row>
    <row r="1335" spans="1:7">
      <c r="A1335" s="4" t="s">
        <v>543</v>
      </c>
      <c r="B1335" s="91"/>
      <c r="C1335" s="91"/>
      <c r="D1335" s="91"/>
      <c r="E1335" s="91"/>
      <c r="F1335" s="91"/>
      <c r="G1335" s="92"/>
    </row>
    <row r="1336" spans="1:7" ht="30">
      <c r="A1336" s="79" t="s">
        <v>0</v>
      </c>
      <c r="B1336" s="79" t="s">
        <v>1</v>
      </c>
      <c r="C1336" s="79" t="s">
        <v>207</v>
      </c>
      <c r="D1336" s="79" t="s">
        <v>3</v>
      </c>
      <c r="E1336" s="79" t="s">
        <v>2</v>
      </c>
      <c r="F1336" s="79" t="s">
        <v>417</v>
      </c>
      <c r="G1336" s="79" t="s">
        <v>418</v>
      </c>
    </row>
    <row r="1337" spans="1:7">
      <c r="A1337" s="8" t="s">
        <v>4</v>
      </c>
      <c r="B1337" s="1" t="s">
        <v>5</v>
      </c>
      <c r="C1337" s="8"/>
      <c r="D1337" s="9"/>
      <c r="E1337" s="19"/>
      <c r="F1337" s="2"/>
      <c r="G1337" s="2"/>
    </row>
    <row r="1338" spans="1:7">
      <c r="A1338" s="8">
        <v>1</v>
      </c>
      <c r="B1338" s="1" t="s">
        <v>48</v>
      </c>
      <c r="C1338" s="8" t="s">
        <v>49</v>
      </c>
      <c r="D1338" s="9" t="s">
        <v>8</v>
      </c>
      <c r="E1338" s="10" t="s">
        <v>60</v>
      </c>
      <c r="F1338" s="83">
        <f>VLOOKUP(B1338,'HSD UPAH,BAHAN,ALAT'!$C$6:F1434,4,FALSE)</f>
        <v>100000</v>
      </c>
      <c r="G1338" s="84">
        <f t="shared" ref="G1338:G1341" si="174">E1338*F1338</f>
        <v>6700</v>
      </c>
    </row>
    <row r="1339" spans="1:7">
      <c r="A1339" s="8">
        <v>2</v>
      </c>
      <c r="B1339" s="1" t="s">
        <v>6</v>
      </c>
      <c r="C1339" s="8" t="s">
        <v>7</v>
      </c>
      <c r="D1339" s="9" t="s">
        <v>8</v>
      </c>
      <c r="E1339" s="10" t="s">
        <v>60</v>
      </c>
      <c r="F1339" s="83">
        <f>VLOOKUP(B1339,'HSD UPAH,BAHAN,ALAT'!$C$6:F1435,4,FALSE)</f>
        <v>100000</v>
      </c>
      <c r="G1339" s="84">
        <f t="shared" si="174"/>
        <v>6700</v>
      </c>
    </row>
    <row r="1340" spans="1:7">
      <c r="A1340" s="8">
        <v>3</v>
      </c>
      <c r="B1340" s="1" t="s">
        <v>10</v>
      </c>
      <c r="C1340" s="8" t="s">
        <v>11</v>
      </c>
      <c r="D1340" s="9" t="s">
        <v>8</v>
      </c>
      <c r="E1340" s="10" t="s">
        <v>61</v>
      </c>
      <c r="F1340" s="83">
        <f>VLOOKUP(B1340,'HSD UPAH,BAHAN,ALAT'!$C$6:F1436,4,FALSE)</f>
        <v>120000</v>
      </c>
      <c r="G1340" s="84">
        <f t="shared" si="174"/>
        <v>2640</v>
      </c>
    </row>
    <row r="1341" spans="1:7">
      <c r="A1341" s="8">
        <v>4</v>
      </c>
      <c r="B1341" s="1" t="s">
        <v>13</v>
      </c>
      <c r="C1341" s="8" t="s">
        <v>14</v>
      </c>
      <c r="D1341" s="9" t="s">
        <v>8</v>
      </c>
      <c r="E1341" s="10" t="s">
        <v>62</v>
      </c>
      <c r="F1341" s="83">
        <f>VLOOKUP(B1341,'HSD UPAH,BAHAN,ALAT'!$C$6:F1437,4,FALSE)</f>
        <v>100000</v>
      </c>
      <c r="G1341" s="84">
        <f t="shared" si="174"/>
        <v>730</v>
      </c>
    </row>
    <row r="1342" spans="1:7">
      <c r="A1342" s="261" t="s">
        <v>420</v>
      </c>
      <c r="B1342" s="261"/>
      <c r="C1342" s="261"/>
      <c r="D1342" s="261"/>
      <c r="E1342" s="261"/>
      <c r="F1342" s="261"/>
      <c r="G1342" s="85">
        <f>SUM(G1338:G1341)</f>
        <v>16770</v>
      </c>
    </row>
    <row r="1343" spans="1:7">
      <c r="A1343" s="8" t="s">
        <v>16</v>
      </c>
      <c r="B1343" s="1" t="s">
        <v>17</v>
      </c>
      <c r="C1343" s="8"/>
      <c r="D1343" s="9"/>
      <c r="E1343" s="19"/>
      <c r="F1343" s="2"/>
      <c r="G1343" s="2"/>
    </row>
    <row r="1344" spans="1:7" ht="30">
      <c r="A1344" s="17" t="s">
        <v>208</v>
      </c>
      <c r="B1344" s="5" t="s">
        <v>278</v>
      </c>
      <c r="C1344" s="8"/>
      <c r="D1344" s="12" t="s">
        <v>86</v>
      </c>
      <c r="E1344" s="7" t="s">
        <v>87</v>
      </c>
      <c r="F1344" s="83">
        <f>VLOOKUP(B1344,'HSD UPAH,BAHAN,ALAT'!$C$6:F1440,4,FALSE)</f>
        <v>10000</v>
      </c>
      <c r="G1344" s="84">
        <f t="shared" ref="G1344:G1345" si="175">E1344*F1344</f>
        <v>10500</v>
      </c>
    </row>
    <row r="1345" spans="1:7">
      <c r="A1345" s="8">
        <v>2</v>
      </c>
      <c r="B1345" s="1" t="s">
        <v>18</v>
      </c>
      <c r="C1345" s="8"/>
      <c r="D1345" s="9" t="s">
        <v>19</v>
      </c>
      <c r="E1345" s="10" t="s">
        <v>53</v>
      </c>
      <c r="F1345" s="83">
        <f>VLOOKUP(B1345,'HSD UPAH,BAHAN,ALAT'!$C$6:F1441,4,FALSE)</f>
        <v>10000</v>
      </c>
      <c r="G1345" s="84">
        <f t="shared" si="175"/>
        <v>100</v>
      </c>
    </row>
    <row r="1346" spans="1:7">
      <c r="A1346" s="8">
        <v>3</v>
      </c>
      <c r="B1346" s="1" t="s">
        <v>21</v>
      </c>
      <c r="C1346" s="8"/>
      <c r="D1346" s="9"/>
      <c r="E1346" s="19"/>
      <c r="F1346" s="2"/>
      <c r="G1346" s="2"/>
    </row>
    <row r="1347" spans="1:7">
      <c r="A1347" s="8" t="s">
        <v>22</v>
      </c>
      <c r="B1347" s="1" t="s">
        <v>54</v>
      </c>
      <c r="C1347" s="8"/>
      <c r="D1347" s="9" t="s">
        <v>24</v>
      </c>
      <c r="E1347" s="10" t="s">
        <v>55</v>
      </c>
      <c r="F1347" s="83">
        <f>VLOOKUP(B1347,'HSD UPAH,BAHAN,ALAT'!$C$6:F1443,4,FALSE)</f>
        <v>10000</v>
      </c>
      <c r="G1347" s="84">
        <f t="shared" ref="G1347:G1348" si="176">E1347*F1347</f>
        <v>120000</v>
      </c>
    </row>
    <row r="1348" spans="1:7">
      <c r="A1348" s="8" t="s">
        <v>30</v>
      </c>
      <c r="B1348" s="1" t="s">
        <v>56</v>
      </c>
      <c r="C1348" s="8"/>
      <c r="D1348" s="9" t="s">
        <v>24</v>
      </c>
      <c r="E1348" s="10" t="s">
        <v>57</v>
      </c>
      <c r="F1348" s="83">
        <f>VLOOKUP(B1348,'HSD UPAH,BAHAN,ALAT'!$C$6:F1444,4,FALSE)</f>
        <v>10000</v>
      </c>
      <c r="G1348" s="84">
        <f t="shared" si="176"/>
        <v>100000</v>
      </c>
    </row>
    <row r="1349" spans="1:7">
      <c r="A1349" s="8">
        <v>4</v>
      </c>
      <c r="B1349" s="1" t="s">
        <v>26</v>
      </c>
      <c r="C1349" s="8"/>
      <c r="D1349" s="9"/>
      <c r="E1349" s="19"/>
      <c r="F1349" s="2"/>
      <c r="G1349" s="2"/>
    </row>
    <row r="1350" spans="1:7">
      <c r="A1350" s="8" t="s">
        <v>22</v>
      </c>
      <c r="B1350" s="1" t="s">
        <v>27</v>
      </c>
      <c r="C1350" s="8"/>
      <c r="D1350" s="9" t="s">
        <v>28</v>
      </c>
      <c r="E1350" s="10" t="s">
        <v>63</v>
      </c>
      <c r="F1350" s="83">
        <f>VLOOKUP(B1350,'HSD UPAH,BAHAN,ALAT'!$C$6:F1446,4,FALSE)</f>
        <v>10000</v>
      </c>
      <c r="G1350" s="84">
        <f t="shared" ref="G1350:G1352" si="177">E1350*F1350</f>
        <v>730</v>
      </c>
    </row>
    <row r="1351" spans="1:7">
      <c r="A1351" s="8" t="s">
        <v>30</v>
      </c>
      <c r="B1351" s="1" t="s">
        <v>31</v>
      </c>
      <c r="C1351" s="8"/>
      <c r="D1351" s="9" t="s">
        <v>28</v>
      </c>
      <c r="E1351" s="10" t="s">
        <v>64</v>
      </c>
      <c r="F1351" s="83">
        <f>VLOOKUP(B1351,'HSD UPAH,BAHAN,ALAT'!$C$6:F1447,4,FALSE)</f>
        <v>10000</v>
      </c>
      <c r="G1351" s="84">
        <f t="shared" si="177"/>
        <v>200</v>
      </c>
    </row>
    <row r="1352" spans="1:7">
      <c r="A1352" s="8" t="s">
        <v>33</v>
      </c>
      <c r="B1352" s="1" t="s">
        <v>34</v>
      </c>
      <c r="C1352" s="8"/>
      <c r="D1352" s="9" t="s">
        <v>28</v>
      </c>
      <c r="E1352" s="10" t="s">
        <v>20</v>
      </c>
      <c r="F1352" s="83">
        <f>VLOOKUP(B1352,'HSD UPAH,BAHAN,ALAT'!$C$6:F1448,4,FALSE)</f>
        <v>10000</v>
      </c>
      <c r="G1352" s="84">
        <f t="shared" si="177"/>
        <v>50</v>
      </c>
    </row>
    <row r="1353" spans="1:7">
      <c r="A1353" s="261" t="s">
        <v>421</v>
      </c>
      <c r="B1353" s="261"/>
      <c r="C1353" s="261"/>
      <c r="D1353" s="261"/>
      <c r="E1353" s="261"/>
      <c r="F1353" s="261"/>
      <c r="G1353" s="85">
        <f>SUM(G1344:G1352)</f>
        <v>231580</v>
      </c>
    </row>
    <row r="1354" spans="1:7">
      <c r="A1354" s="8" t="s">
        <v>36</v>
      </c>
      <c r="B1354" s="1" t="s">
        <v>37</v>
      </c>
      <c r="C1354" s="8"/>
      <c r="D1354" s="9"/>
      <c r="E1354" s="19"/>
      <c r="F1354" s="2"/>
      <c r="G1354" s="2"/>
    </row>
    <row r="1355" spans="1:7">
      <c r="A1355" s="263" t="s">
        <v>419</v>
      </c>
      <c r="B1355" s="263"/>
      <c r="C1355" s="263"/>
      <c r="D1355" s="263"/>
      <c r="E1355" s="263"/>
      <c r="F1355" s="263"/>
      <c r="G1355" s="80">
        <f>SUM(G1354)</f>
        <v>0</v>
      </c>
    </row>
    <row r="1356" spans="1:7">
      <c r="A1356" s="81" t="s">
        <v>38</v>
      </c>
      <c r="B1356" s="262" t="s">
        <v>39</v>
      </c>
      <c r="C1356" s="262"/>
      <c r="D1356" s="262"/>
      <c r="E1356" s="262"/>
      <c r="F1356" s="262"/>
      <c r="G1356" s="80">
        <f>SUM(G1338:G1355)/2</f>
        <v>248350</v>
      </c>
    </row>
    <row r="1357" spans="1:7">
      <c r="A1357" s="81" t="s">
        <v>40</v>
      </c>
      <c r="B1357" s="262" t="s">
        <v>180</v>
      </c>
      <c r="C1357" s="262"/>
      <c r="D1357" s="262"/>
      <c r="E1357" s="262"/>
      <c r="F1357" s="82">
        <v>0.1</v>
      </c>
      <c r="G1357" s="80">
        <f>G1356*F1357</f>
        <v>24835</v>
      </c>
    </row>
    <row r="1358" spans="1:7">
      <c r="A1358" s="81" t="s">
        <v>41</v>
      </c>
      <c r="B1358" s="262" t="s">
        <v>42</v>
      </c>
      <c r="C1358" s="262"/>
      <c r="D1358" s="262"/>
      <c r="E1358" s="262"/>
      <c r="F1358" s="262"/>
      <c r="G1358" s="80">
        <f>G1356+G1357</f>
        <v>273185</v>
      </c>
    </row>
    <row r="1359" spans="1:7">
      <c r="A1359" s="90"/>
      <c r="B1359" s="91"/>
      <c r="C1359" s="91"/>
      <c r="D1359" s="91"/>
      <c r="E1359" s="91"/>
      <c r="F1359" s="91"/>
      <c r="G1359" s="92"/>
    </row>
    <row r="1360" spans="1:7">
      <c r="A1360" s="4" t="s">
        <v>544</v>
      </c>
      <c r="B1360" s="91"/>
      <c r="C1360" s="91"/>
      <c r="D1360" s="91"/>
      <c r="E1360" s="91"/>
      <c r="F1360" s="91"/>
      <c r="G1360" s="92"/>
    </row>
    <row r="1361" spans="1:7" ht="30">
      <c r="A1361" s="79" t="s">
        <v>0</v>
      </c>
      <c r="B1361" s="79" t="s">
        <v>1</v>
      </c>
      <c r="C1361" s="79" t="s">
        <v>207</v>
      </c>
      <c r="D1361" s="79" t="s">
        <v>3</v>
      </c>
      <c r="E1361" s="79" t="s">
        <v>2</v>
      </c>
      <c r="F1361" s="79" t="s">
        <v>417</v>
      </c>
      <c r="G1361" s="79" t="s">
        <v>418</v>
      </c>
    </row>
    <row r="1362" spans="1:7">
      <c r="A1362" s="8" t="s">
        <v>4</v>
      </c>
      <c r="B1362" s="1" t="s">
        <v>5</v>
      </c>
      <c r="C1362" s="8"/>
      <c r="D1362" s="9"/>
      <c r="E1362" s="19"/>
      <c r="F1362" s="2"/>
      <c r="G1362" s="2"/>
    </row>
    <row r="1363" spans="1:7">
      <c r="A1363" s="8">
        <v>1</v>
      </c>
      <c r="B1363" s="1" t="s">
        <v>48</v>
      </c>
      <c r="C1363" s="8" t="s">
        <v>49</v>
      </c>
      <c r="D1363" s="9" t="s">
        <v>8</v>
      </c>
      <c r="E1363" s="10" t="s">
        <v>60</v>
      </c>
      <c r="F1363" s="83">
        <f>VLOOKUP(B1363,'HSD UPAH,BAHAN,ALAT'!$C$6:F1457,4,FALSE)</f>
        <v>100000</v>
      </c>
      <c r="G1363" s="84">
        <f t="shared" ref="G1363:G1366" si="178">E1363*F1363</f>
        <v>6700</v>
      </c>
    </row>
    <row r="1364" spans="1:7">
      <c r="A1364" s="8">
        <v>2</v>
      </c>
      <c r="B1364" s="1" t="s">
        <v>6</v>
      </c>
      <c r="C1364" s="8" t="s">
        <v>7</v>
      </c>
      <c r="D1364" s="9" t="s">
        <v>8</v>
      </c>
      <c r="E1364" s="10" t="s">
        <v>60</v>
      </c>
      <c r="F1364" s="83">
        <f>VLOOKUP(B1364,'HSD UPAH,BAHAN,ALAT'!$C$6:F1458,4,FALSE)</f>
        <v>100000</v>
      </c>
      <c r="G1364" s="84">
        <f t="shared" si="178"/>
        <v>6700</v>
      </c>
    </row>
    <row r="1365" spans="1:7">
      <c r="A1365" s="8">
        <v>3</v>
      </c>
      <c r="B1365" s="1" t="s">
        <v>10</v>
      </c>
      <c r="C1365" s="8" t="s">
        <v>11</v>
      </c>
      <c r="D1365" s="9" t="s">
        <v>8</v>
      </c>
      <c r="E1365" s="10" t="s">
        <v>61</v>
      </c>
      <c r="F1365" s="83">
        <f>VLOOKUP(B1365,'HSD UPAH,BAHAN,ALAT'!$C$6:F1459,4,FALSE)</f>
        <v>120000</v>
      </c>
      <c r="G1365" s="84">
        <f t="shared" si="178"/>
        <v>2640</v>
      </c>
    </row>
    <row r="1366" spans="1:7">
      <c r="A1366" s="8">
        <v>4</v>
      </c>
      <c r="B1366" s="1" t="s">
        <v>13</v>
      </c>
      <c r="C1366" s="8" t="s">
        <v>14</v>
      </c>
      <c r="D1366" s="9" t="s">
        <v>8</v>
      </c>
      <c r="E1366" s="10" t="s">
        <v>62</v>
      </c>
      <c r="F1366" s="83">
        <f>VLOOKUP(B1366,'HSD UPAH,BAHAN,ALAT'!$C$6:F1460,4,FALSE)</f>
        <v>100000</v>
      </c>
      <c r="G1366" s="84">
        <f t="shared" si="178"/>
        <v>730</v>
      </c>
    </row>
    <row r="1367" spans="1:7">
      <c r="A1367" s="261" t="s">
        <v>420</v>
      </c>
      <c r="B1367" s="261"/>
      <c r="C1367" s="261"/>
      <c r="D1367" s="261"/>
      <c r="E1367" s="261"/>
      <c r="F1367" s="261"/>
      <c r="G1367" s="85">
        <f>SUM(G1363:G1366)</f>
        <v>16770</v>
      </c>
    </row>
    <row r="1368" spans="1:7">
      <c r="A1368" s="8" t="s">
        <v>16</v>
      </c>
      <c r="B1368" s="1" t="s">
        <v>17</v>
      </c>
      <c r="C1368" s="8"/>
      <c r="D1368" s="9"/>
      <c r="E1368" s="19"/>
      <c r="F1368" s="2"/>
      <c r="G1368" s="2"/>
    </row>
    <row r="1369" spans="1:7" ht="30">
      <c r="A1369" s="17" t="s">
        <v>208</v>
      </c>
      <c r="B1369" s="5" t="s">
        <v>279</v>
      </c>
      <c r="C1369" s="8"/>
      <c r="D1369" s="12" t="s">
        <v>86</v>
      </c>
      <c r="E1369" s="7" t="s">
        <v>87</v>
      </c>
      <c r="F1369" s="83">
        <f>VLOOKUP(B1369,'HSD UPAH,BAHAN,ALAT'!$C$6:F1463,4,FALSE)</f>
        <v>10000</v>
      </c>
      <c r="G1369" s="84">
        <f t="shared" ref="G1369:G1370" si="179">E1369*F1369</f>
        <v>10500</v>
      </c>
    </row>
    <row r="1370" spans="1:7">
      <c r="A1370" s="8">
        <v>2</v>
      </c>
      <c r="B1370" s="1" t="s">
        <v>18</v>
      </c>
      <c r="C1370" s="8"/>
      <c r="D1370" s="9" t="s">
        <v>19</v>
      </c>
      <c r="E1370" s="10" t="s">
        <v>53</v>
      </c>
      <c r="F1370" s="83">
        <f>VLOOKUP(B1370,'HSD UPAH,BAHAN,ALAT'!$C$6:F1464,4,FALSE)</f>
        <v>10000</v>
      </c>
      <c r="G1370" s="84">
        <f t="shared" si="179"/>
        <v>100</v>
      </c>
    </row>
    <row r="1371" spans="1:7">
      <c r="A1371" s="8">
        <v>3</v>
      </c>
      <c r="B1371" s="1" t="s">
        <v>21</v>
      </c>
      <c r="C1371" s="8"/>
      <c r="D1371" s="9"/>
      <c r="E1371" s="19"/>
      <c r="F1371" s="2"/>
      <c r="G1371" s="2"/>
    </row>
    <row r="1372" spans="1:7">
      <c r="A1372" s="8" t="s">
        <v>22</v>
      </c>
      <c r="B1372" s="1" t="s">
        <v>54</v>
      </c>
      <c r="C1372" s="8"/>
      <c r="D1372" s="9" t="s">
        <v>24</v>
      </c>
      <c r="E1372" s="10" t="s">
        <v>55</v>
      </c>
      <c r="F1372" s="83">
        <f>VLOOKUP(B1372,'HSD UPAH,BAHAN,ALAT'!$C$6:F1466,4,FALSE)</f>
        <v>10000</v>
      </c>
      <c r="G1372" s="84">
        <f t="shared" ref="G1372:G1373" si="180">E1372*F1372</f>
        <v>120000</v>
      </c>
    </row>
    <row r="1373" spans="1:7">
      <c r="A1373" s="8" t="s">
        <v>30</v>
      </c>
      <c r="B1373" s="1" t="s">
        <v>56</v>
      </c>
      <c r="C1373" s="8"/>
      <c r="D1373" s="9" t="s">
        <v>24</v>
      </c>
      <c r="E1373" s="10" t="s">
        <v>57</v>
      </c>
      <c r="F1373" s="83">
        <f>VLOOKUP(B1373,'HSD UPAH,BAHAN,ALAT'!$C$6:F1467,4,FALSE)</f>
        <v>10000</v>
      </c>
      <c r="G1373" s="84">
        <f t="shared" si="180"/>
        <v>100000</v>
      </c>
    </row>
    <row r="1374" spans="1:7">
      <c r="A1374" s="8">
        <v>4</v>
      </c>
      <c r="B1374" s="1" t="s">
        <v>26</v>
      </c>
      <c r="C1374" s="8"/>
      <c r="D1374" s="9"/>
      <c r="E1374" s="19"/>
      <c r="F1374" s="2"/>
      <c r="G1374" s="2"/>
    </row>
    <row r="1375" spans="1:7">
      <c r="A1375" s="8" t="s">
        <v>22</v>
      </c>
      <c r="B1375" s="1" t="s">
        <v>27</v>
      </c>
      <c r="C1375" s="8"/>
      <c r="D1375" s="9" t="s">
        <v>28</v>
      </c>
      <c r="E1375" s="10" t="s">
        <v>63</v>
      </c>
      <c r="F1375" s="83">
        <f>VLOOKUP(B1375,'HSD UPAH,BAHAN,ALAT'!$C$6:F1469,4,FALSE)</f>
        <v>10000</v>
      </c>
      <c r="G1375" s="84">
        <f t="shared" ref="G1375:G1377" si="181">E1375*F1375</f>
        <v>730</v>
      </c>
    </row>
    <row r="1376" spans="1:7">
      <c r="A1376" s="8" t="s">
        <v>30</v>
      </c>
      <c r="B1376" s="1" t="s">
        <v>31</v>
      </c>
      <c r="C1376" s="8"/>
      <c r="D1376" s="9" t="s">
        <v>28</v>
      </c>
      <c r="E1376" s="10" t="s">
        <v>64</v>
      </c>
      <c r="F1376" s="83">
        <f>VLOOKUP(B1376,'HSD UPAH,BAHAN,ALAT'!$C$6:F1470,4,FALSE)</f>
        <v>10000</v>
      </c>
      <c r="G1376" s="84">
        <f t="shared" si="181"/>
        <v>200</v>
      </c>
    </row>
    <row r="1377" spans="1:7">
      <c r="A1377" s="8" t="s">
        <v>33</v>
      </c>
      <c r="B1377" s="1" t="s">
        <v>34</v>
      </c>
      <c r="C1377" s="8"/>
      <c r="D1377" s="9" t="s">
        <v>28</v>
      </c>
      <c r="E1377" s="10" t="s">
        <v>20</v>
      </c>
      <c r="F1377" s="83">
        <f>VLOOKUP(B1377,'HSD UPAH,BAHAN,ALAT'!$C$6:F1471,4,FALSE)</f>
        <v>10000</v>
      </c>
      <c r="G1377" s="84">
        <f t="shared" si="181"/>
        <v>50</v>
      </c>
    </row>
    <row r="1378" spans="1:7">
      <c r="A1378" s="261" t="s">
        <v>421</v>
      </c>
      <c r="B1378" s="261"/>
      <c r="C1378" s="261"/>
      <c r="D1378" s="261"/>
      <c r="E1378" s="261"/>
      <c r="F1378" s="261"/>
      <c r="G1378" s="85">
        <f>SUM(G1369:G1377)</f>
        <v>231580</v>
      </c>
    </row>
    <row r="1379" spans="1:7">
      <c r="A1379" s="8" t="s">
        <v>36</v>
      </c>
      <c r="B1379" s="1" t="s">
        <v>37</v>
      </c>
      <c r="C1379" s="8"/>
      <c r="D1379" s="9"/>
      <c r="E1379" s="19"/>
      <c r="F1379" s="2"/>
      <c r="G1379" s="2"/>
    </row>
    <row r="1380" spans="1:7">
      <c r="A1380" s="263" t="s">
        <v>419</v>
      </c>
      <c r="B1380" s="263"/>
      <c r="C1380" s="263"/>
      <c r="D1380" s="263"/>
      <c r="E1380" s="263"/>
      <c r="F1380" s="263"/>
      <c r="G1380" s="80">
        <f>SUM(G1379)</f>
        <v>0</v>
      </c>
    </row>
    <row r="1381" spans="1:7">
      <c r="A1381" s="81" t="s">
        <v>38</v>
      </c>
      <c r="B1381" s="262" t="s">
        <v>39</v>
      </c>
      <c r="C1381" s="262"/>
      <c r="D1381" s="262"/>
      <c r="E1381" s="262"/>
      <c r="F1381" s="262"/>
      <c r="G1381" s="80">
        <f>SUM(G1363:G1380)/2</f>
        <v>248350</v>
      </c>
    </row>
    <row r="1382" spans="1:7">
      <c r="A1382" s="81" t="s">
        <v>40</v>
      </c>
      <c r="B1382" s="262" t="s">
        <v>180</v>
      </c>
      <c r="C1382" s="262"/>
      <c r="D1382" s="262"/>
      <c r="E1382" s="262"/>
      <c r="F1382" s="82">
        <v>0.1</v>
      </c>
      <c r="G1382" s="80">
        <f>G1381*F1382</f>
        <v>24835</v>
      </c>
    </row>
    <row r="1383" spans="1:7">
      <c r="A1383" s="81" t="s">
        <v>41</v>
      </c>
      <c r="B1383" s="262" t="s">
        <v>42</v>
      </c>
      <c r="C1383" s="262"/>
      <c r="D1383" s="262"/>
      <c r="E1383" s="262"/>
      <c r="F1383" s="262"/>
      <c r="G1383" s="80">
        <f>G1381+G1382</f>
        <v>273185</v>
      </c>
    </row>
    <row r="1384" spans="1:7">
      <c r="A1384" s="90"/>
      <c r="B1384" s="91"/>
      <c r="C1384" s="91"/>
      <c r="D1384" s="91"/>
      <c r="E1384" s="91"/>
      <c r="F1384" s="91"/>
      <c r="G1384" s="92"/>
    </row>
    <row r="1385" spans="1:7">
      <c r="A1385" s="4" t="s">
        <v>545</v>
      </c>
      <c r="B1385" s="91"/>
      <c r="C1385" s="91"/>
      <c r="D1385" s="91"/>
      <c r="E1385" s="91"/>
      <c r="F1385" s="91"/>
      <c r="G1385" s="92"/>
    </row>
    <row r="1386" spans="1:7" ht="30">
      <c r="A1386" s="79" t="s">
        <v>0</v>
      </c>
      <c r="B1386" s="79" t="s">
        <v>1</v>
      </c>
      <c r="C1386" s="79" t="s">
        <v>207</v>
      </c>
      <c r="D1386" s="79" t="s">
        <v>3</v>
      </c>
      <c r="E1386" s="79" t="s">
        <v>2</v>
      </c>
      <c r="F1386" s="79" t="s">
        <v>417</v>
      </c>
      <c r="G1386" s="79" t="s">
        <v>418</v>
      </c>
    </row>
    <row r="1387" spans="1:7">
      <c r="A1387" s="8" t="s">
        <v>4</v>
      </c>
      <c r="B1387" s="1" t="s">
        <v>5</v>
      </c>
      <c r="C1387" s="8"/>
      <c r="D1387" s="9"/>
      <c r="E1387" s="19"/>
      <c r="F1387" s="2"/>
      <c r="G1387" s="2"/>
    </row>
    <row r="1388" spans="1:7">
      <c r="A1388" s="8">
        <v>1</v>
      </c>
      <c r="B1388" s="1" t="s">
        <v>48</v>
      </c>
      <c r="C1388" s="8" t="s">
        <v>49</v>
      </c>
      <c r="D1388" s="9" t="s">
        <v>8</v>
      </c>
      <c r="E1388" s="10" t="s">
        <v>60</v>
      </c>
      <c r="F1388" s="83">
        <f>VLOOKUP(B1388,'HSD UPAH,BAHAN,ALAT'!$C$6:F1480,4,FALSE)</f>
        <v>100000</v>
      </c>
      <c r="G1388" s="84">
        <f t="shared" ref="G1388:G1391" si="182">E1388*F1388</f>
        <v>6700</v>
      </c>
    </row>
    <row r="1389" spans="1:7">
      <c r="A1389" s="8">
        <v>2</v>
      </c>
      <c r="B1389" s="1" t="s">
        <v>6</v>
      </c>
      <c r="C1389" s="8" t="s">
        <v>7</v>
      </c>
      <c r="D1389" s="9" t="s">
        <v>8</v>
      </c>
      <c r="E1389" s="10" t="s">
        <v>60</v>
      </c>
      <c r="F1389" s="83">
        <f>VLOOKUP(B1389,'HSD UPAH,BAHAN,ALAT'!$C$6:F1481,4,FALSE)</f>
        <v>100000</v>
      </c>
      <c r="G1389" s="84">
        <f t="shared" si="182"/>
        <v>6700</v>
      </c>
    </row>
    <row r="1390" spans="1:7">
      <c r="A1390" s="8">
        <v>3</v>
      </c>
      <c r="B1390" s="1" t="s">
        <v>10</v>
      </c>
      <c r="C1390" s="8" t="s">
        <v>11</v>
      </c>
      <c r="D1390" s="9" t="s">
        <v>8</v>
      </c>
      <c r="E1390" s="10" t="s">
        <v>61</v>
      </c>
      <c r="F1390" s="83">
        <f>VLOOKUP(B1390,'HSD UPAH,BAHAN,ALAT'!$C$6:F1482,4,FALSE)</f>
        <v>120000</v>
      </c>
      <c r="G1390" s="84">
        <f t="shared" si="182"/>
        <v>2640</v>
      </c>
    </row>
    <row r="1391" spans="1:7">
      <c r="A1391" s="8">
        <v>4</v>
      </c>
      <c r="B1391" s="1" t="s">
        <v>13</v>
      </c>
      <c r="C1391" s="8" t="s">
        <v>14</v>
      </c>
      <c r="D1391" s="9" t="s">
        <v>8</v>
      </c>
      <c r="E1391" s="10" t="s">
        <v>62</v>
      </c>
      <c r="F1391" s="83">
        <f>VLOOKUP(B1391,'HSD UPAH,BAHAN,ALAT'!$C$6:F1483,4,FALSE)</f>
        <v>100000</v>
      </c>
      <c r="G1391" s="84">
        <f t="shared" si="182"/>
        <v>730</v>
      </c>
    </row>
    <row r="1392" spans="1:7">
      <c r="A1392" s="261" t="s">
        <v>420</v>
      </c>
      <c r="B1392" s="261"/>
      <c r="C1392" s="261"/>
      <c r="D1392" s="261"/>
      <c r="E1392" s="261"/>
      <c r="F1392" s="261"/>
      <c r="G1392" s="85">
        <f>SUM(G1388:G1391)</f>
        <v>16770</v>
      </c>
    </row>
    <row r="1393" spans="1:7">
      <c r="A1393" s="8" t="s">
        <v>16</v>
      </c>
      <c r="B1393" s="1" t="s">
        <v>17</v>
      </c>
      <c r="C1393" s="8"/>
      <c r="D1393" s="9"/>
      <c r="E1393" s="19"/>
      <c r="F1393" s="2"/>
      <c r="G1393" s="2"/>
    </row>
    <row r="1394" spans="1:7" ht="30">
      <c r="A1394" s="17" t="s">
        <v>208</v>
      </c>
      <c r="B1394" s="5" t="s">
        <v>280</v>
      </c>
      <c r="C1394" s="8"/>
      <c r="D1394" s="12" t="s">
        <v>86</v>
      </c>
      <c r="E1394" s="7" t="s">
        <v>87</v>
      </c>
      <c r="F1394" s="83">
        <f>VLOOKUP(B1394,'HSD UPAH,BAHAN,ALAT'!$C$6:F1486,4,FALSE)</f>
        <v>10000</v>
      </c>
      <c r="G1394" s="84">
        <f t="shared" ref="G1394:G1398" si="183">E1394*F1394</f>
        <v>10500</v>
      </c>
    </row>
    <row r="1395" spans="1:7">
      <c r="A1395" s="8">
        <v>2</v>
      </c>
      <c r="B1395" s="1" t="s">
        <v>18</v>
      </c>
      <c r="C1395" s="8"/>
      <c r="D1395" s="9" t="s">
        <v>19</v>
      </c>
      <c r="E1395" s="10" t="s">
        <v>53</v>
      </c>
      <c r="F1395" s="83">
        <f>VLOOKUP(B1395,'HSD UPAH,BAHAN,ALAT'!$C$6:F1487,4,FALSE)</f>
        <v>10000</v>
      </c>
      <c r="G1395" s="84">
        <f t="shared" si="183"/>
        <v>100</v>
      </c>
    </row>
    <row r="1396" spans="1:7">
      <c r="A1396" s="8">
        <v>3</v>
      </c>
      <c r="B1396" s="1" t="s">
        <v>21</v>
      </c>
      <c r="C1396" s="8"/>
      <c r="D1396" s="9"/>
      <c r="E1396" s="19"/>
      <c r="F1396" s="83"/>
      <c r="G1396" s="84">
        <f t="shared" si="183"/>
        <v>0</v>
      </c>
    </row>
    <row r="1397" spans="1:7">
      <c r="A1397" s="8" t="s">
        <v>22</v>
      </c>
      <c r="B1397" s="1" t="s">
        <v>54</v>
      </c>
      <c r="C1397" s="8"/>
      <c r="D1397" s="9" t="s">
        <v>24</v>
      </c>
      <c r="E1397" s="10" t="s">
        <v>55</v>
      </c>
      <c r="F1397" s="83">
        <f>VLOOKUP(B1397,'HSD UPAH,BAHAN,ALAT'!$C$6:F1489,4,FALSE)</f>
        <v>10000</v>
      </c>
      <c r="G1397" s="84">
        <f t="shared" si="183"/>
        <v>120000</v>
      </c>
    </row>
    <row r="1398" spans="1:7">
      <c r="A1398" s="8" t="s">
        <v>30</v>
      </c>
      <c r="B1398" s="1" t="s">
        <v>56</v>
      </c>
      <c r="C1398" s="8"/>
      <c r="D1398" s="9" t="s">
        <v>24</v>
      </c>
      <c r="E1398" s="10" t="s">
        <v>57</v>
      </c>
      <c r="F1398" s="83">
        <f>VLOOKUP(B1398,'HSD UPAH,BAHAN,ALAT'!$C$6:F1490,4,FALSE)</f>
        <v>10000</v>
      </c>
      <c r="G1398" s="84">
        <f t="shared" si="183"/>
        <v>100000</v>
      </c>
    </row>
    <row r="1399" spans="1:7">
      <c r="A1399" s="8">
        <v>4</v>
      </c>
      <c r="B1399" s="1" t="s">
        <v>26</v>
      </c>
      <c r="C1399" s="8"/>
      <c r="D1399" s="9"/>
      <c r="E1399" s="19"/>
      <c r="F1399" s="2"/>
      <c r="G1399" s="2"/>
    </row>
    <row r="1400" spans="1:7">
      <c r="A1400" s="8" t="s">
        <v>22</v>
      </c>
      <c r="B1400" s="1" t="s">
        <v>27</v>
      </c>
      <c r="C1400" s="8"/>
      <c r="D1400" s="9" t="s">
        <v>28</v>
      </c>
      <c r="E1400" s="10" t="s">
        <v>63</v>
      </c>
      <c r="F1400" s="83">
        <f>VLOOKUP(B1400,'HSD UPAH,BAHAN,ALAT'!$C$6:F1492,4,FALSE)</f>
        <v>10000</v>
      </c>
      <c r="G1400" s="84">
        <f t="shared" ref="G1400:G1402" si="184">E1400*F1400</f>
        <v>730</v>
      </c>
    </row>
    <row r="1401" spans="1:7">
      <c r="A1401" s="8" t="s">
        <v>30</v>
      </c>
      <c r="B1401" s="1" t="s">
        <v>31</v>
      </c>
      <c r="C1401" s="8"/>
      <c r="D1401" s="9" t="s">
        <v>28</v>
      </c>
      <c r="E1401" s="10" t="s">
        <v>64</v>
      </c>
      <c r="F1401" s="83">
        <f>VLOOKUP(B1401,'HSD UPAH,BAHAN,ALAT'!$C$6:F1493,4,FALSE)</f>
        <v>10000</v>
      </c>
      <c r="G1401" s="84">
        <f t="shared" si="184"/>
        <v>200</v>
      </c>
    </row>
    <row r="1402" spans="1:7">
      <c r="A1402" s="8" t="s">
        <v>33</v>
      </c>
      <c r="B1402" s="1" t="s">
        <v>34</v>
      </c>
      <c r="C1402" s="8"/>
      <c r="D1402" s="9" t="s">
        <v>28</v>
      </c>
      <c r="E1402" s="10" t="s">
        <v>20</v>
      </c>
      <c r="F1402" s="83">
        <f>VLOOKUP(B1402,'HSD UPAH,BAHAN,ALAT'!$C$6:F1494,4,FALSE)</f>
        <v>10000</v>
      </c>
      <c r="G1402" s="84">
        <f t="shared" si="184"/>
        <v>50</v>
      </c>
    </row>
    <row r="1403" spans="1:7">
      <c r="A1403" s="261" t="s">
        <v>421</v>
      </c>
      <c r="B1403" s="261"/>
      <c r="C1403" s="261"/>
      <c r="D1403" s="261"/>
      <c r="E1403" s="261"/>
      <c r="F1403" s="261"/>
      <c r="G1403" s="85">
        <f>SUM(G1394:G1402)</f>
        <v>231580</v>
      </c>
    </row>
    <row r="1404" spans="1:7">
      <c r="A1404" s="8" t="s">
        <v>36</v>
      </c>
      <c r="B1404" s="1" t="s">
        <v>37</v>
      </c>
      <c r="C1404" s="8"/>
      <c r="D1404" s="9"/>
      <c r="E1404" s="19"/>
      <c r="F1404" s="2"/>
      <c r="G1404" s="2"/>
    </row>
    <row r="1405" spans="1:7">
      <c r="A1405" s="263" t="s">
        <v>419</v>
      </c>
      <c r="B1405" s="263"/>
      <c r="C1405" s="263"/>
      <c r="D1405" s="263"/>
      <c r="E1405" s="263"/>
      <c r="F1405" s="263"/>
      <c r="G1405" s="80">
        <f>SUM(G1404)</f>
        <v>0</v>
      </c>
    </row>
    <row r="1406" spans="1:7">
      <c r="A1406" s="81" t="s">
        <v>38</v>
      </c>
      <c r="B1406" s="262" t="s">
        <v>39</v>
      </c>
      <c r="C1406" s="262"/>
      <c r="D1406" s="262"/>
      <c r="E1406" s="262"/>
      <c r="F1406" s="262"/>
      <c r="G1406" s="80">
        <f>SUM(G1388:G1405)/2</f>
        <v>248350</v>
      </c>
    </row>
    <row r="1407" spans="1:7">
      <c r="A1407" s="81" t="s">
        <v>40</v>
      </c>
      <c r="B1407" s="262" t="s">
        <v>180</v>
      </c>
      <c r="C1407" s="262"/>
      <c r="D1407" s="262"/>
      <c r="E1407" s="262"/>
      <c r="F1407" s="82">
        <v>0.1</v>
      </c>
      <c r="G1407" s="80">
        <f>G1406*F1407</f>
        <v>24835</v>
      </c>
    </row>
    <row r="1408" spans="1:7">
      <c r="A1408" s="81" t="s">
        <v>41</v>
      </c>
      <c r="B1408" s="262" t="s">
        <v>42</v>
      </c>
      <c r="C1408" s="262"/>
      <c r="D1408" s="262"/>
      <c r="E1408" s="262"/>
      <c r="F1408" s="262"/>
      <c r="G1408" s="80">
        <f>G1406+G1407</f>
        <v>273185</v>
      </c>
    </row>
    <row r="1409" spans="1:7">
      <c r="A1409" s="90"/>
      <c r="B1409" s="91"/>
      <c r="C1409" s="91"/>
      <c r="D1409" s="91"/>
      <c r="E1409" s="91"/>
      <c r="F1409" s="91"/>
      <c r="G1409" s="92"/>
    </row>
    <row r="1410" spans="1:7">
      <c r="A1410" s="4" t="s">
        <v>546</v>
      </c>
      <c r="B1410" s="91"/>
      <c r="C1410" s="91"/>
      <c r="D1410" s="91"/>
      <c r="E1410" s="91"/>
      <c r="F1410" s="91"/>
      <c r="G1410" s="92"/>
    </row>
    <row r="1411" spans="1:7" ht="30">
      <c r="A1411" s="79" t="s">
        <v>0</v>
      </c>
      <c r="B1411" s="79" t="s">
        <v>1</v>
      </c>
      <c r="C1411" s="79" t="s">
        <v>207</v>
      </c>
      <c r="D1411" s="79" t="s">
        <v>3</v>
      </c>
      <c r="E1411" s="79" t="s">
        <v>2</v>
      </c>
      <c r="F1411" s="79" t="s">
        <v>417</v>
      </c>
      <c r="G1411" s="79" t="s">
        <v>418</v>
      </c>
    </row>
    <row r="1412" spans="1:7">
      <c r="A1412" s="8" t="s">
        <v>4</v>
      </c>
      <c r="B1412" s="1" t="s">
        <v>5</v>
      </c>
      <c r="C1412" s="8"/>
      <c r="D1412" s="9"/>
      <c r="E1412" s="19"/>
      <c r="F1412" s="2"/>
      <c r="G1412" s="2"/>
    </row>
    <row r="1413" spans="1:7">
      <c r="A1413" s="8">
        <v>1</v>
      </c>
      <c r="B1413" s="1" t="s">
        <v>48</v>
      </c>
      <c r="C1413" s="8" t="s">
        <v>49</v>
      </c>
      <c r="D1413" s="9" t="s">
        <v>8</v>
      </c>
      <c r="E1413" s="10" t="s">
        <v>60</v>
      </c>
      <c r="F1413" s="83">
        <f>VLOOKUP(B1413,'HSD UPAH,BAHAN,ALAT'!$C$6:F1503,4,FALSE)</f>
        <v>100000</v>
      </c>
      <c r="G1413" s="84">
        <f t="shared" ref="G1413:G1416" si="185">E1413*F1413</f>
        <v>6700</v>
      </c>
    </row>
    <row r="1414" spans="1:7">
      <c r="A1414" s="8">
        <v>2</v>
      </c>
      <c r="B1414" s="1" t="s">
        <v>6</v>
      </c>
      <c r="C1414" s="8" t="s">
        <v>7</v>
      </c>
      <c r="D1414" s="9" t="s">
        <v>8</v>
      </c>
      <c r="E1414" s="10" t="s">
        <v>60</v>
      </c>
      <c r="F1414" s="83">
        <f>VLOOKUP(B1414,'HSD UPAH,BAHAN,ALAT'!$C$6:F1504,4,FALSE)</f>
        <v>100000</v>
      </c>
      <c r="G1414" s="84">
        <f t="shared" si="185"/>
        <v>6700</v>
      </c>
    </row>
    <row r="1415" spans="1:7">
      <c r="A1415" s="8">
        <v>3</v>
      </c>
      <c r="B1415" s="1" t="s">
        <v>10</v>
      </c>
      <c r="C1415" s="8" t="s">
        <v>11</v>
      </c>
      <c r="D1415" s="9" t="s">
        <v>8</v>
      </c>
      <c r="E1415" s="10" t="s">
        <v>61</v>
      </c>
      <c r="F1415" s="83">
        <f>VLOOKUP(B1415,'HSD UPAH,BAHAN,ALAT'!$C$6:F1505,4,FALSE)</f>
        <v>120000</v>
      </c>
      <c r="G1415" s="84">
        <f t="shared" si="185"/>
        <v>2640</v>
      </c>
    </row>
    <row r="1416" spans="1:7">
      <c r="A1416" s="8">
        <v>4</v>
      </c>
      <c r="B1416" s="1" t="s">
        <v>13</v>
      </c>
      <c r="C1416" s="8" t="s">
        <v>14</v>
      </c>
      <c r="D1416" s="9" t="s">
        <v>8</v>
      </c>
      <c r="E1416" s="10" t="s">
        <v>62</v>
      </c>
      <c r="F1416" s="83">
        <f>VLOOKUP(B1416,'HSD UPAH,BAHAN,ALAT'!$C$6:F1506,4,FALSE)</f>
        <v>100000</v>
      </c>
      <c r="G1416" s="84">
        <f t="shared" si="185"/>
        <v>730</v>
      </c>
    </row>
    <row r="1417" spans="1:7">
      <c r="A1417" s="261" t="s">
        <v>420</v>
      </c>
      <c r="B1417" s="261"/>
      <c r="C1417" s="261"/>
      <c r="D1417" s="261"/>
      <c r="E1417" s="261"/>
      <c r="F1417" s="261"/>
      <c r="G1417" s="85">
        <f>SUM(G1413:G1416)</f>
        <v>16770</v>
      </c>
    </row>
    <row r="1418" spans="1:7">
      <c r="A1418" s="8" t="s">
        <v>16</v>
      </c>
      <c r="B1418" s="1" t="s">
        <v>17</v>
      </c>
      <c r="C1418" s="8"/>
      <c r="D1418" s="9"/>
      <c r="E1418" s="19"/>
      <c r="F1418" s="2"/>
      <c r="G1418" s="2"/>
    </row>
    <row r="1419" spans="1:7" ht="30">
      <c r="A1419" s="17" t="s">
        <v>208</v>
      </c>
      <c r="B1419" s="5" t="s">
        <v>281</v>
      </c>
      <c r="C1419" s="8"/>
      <c r="D1419" s="12" t="s">
        <v>86</v>
      </c>
      <c r="E1419" s="7" t="s">
        <v>87</v>
      </c>
      <c r="F1419" s="83">
        <f>VLOOKUP(B1419,'HSD UPAH,BAHAN,ALAT'!$C$6:F1509,4,FALSE)</f>
        <v>10000</v>
      </c>
      <c r="G1419" s="84">
        <f t="shared" ref="G1419:G1427" si="186">E1419*F1419</f>
        <v>10500</v>
      </c>
    </row>
    <row r="1420" spans="1:7">
      <c r="A1420" s="8">
        <v>2</v>
      </c>
      <c r="B1420" s="1" t="s">
        <v>18</v>
      </c>
      <c r="C1420" s="8"/>
      <c r="D1420" s="9" t="s">
        <v>19</v>
      </c>
      <c r="E1420" s="10" t="s">
        <v>53</v>
      </c>
      <c r="F1420" s="83">
        <f>VLOOKUP(B1420,'HSD UPAH,BAHAN,ALAT'!$C$6:F1510,4,FALSE)</f>
        <v>10000</v>
      </c>
      <c r="G1420" s="84">
        <f t="shared" si="186"/>
        <v>100</v>
      </c>
    </row>
    <row r="1421" spans="1:7">
      <c r="A1421" s="8">
        <v>3</v>
      </c>
      <c r="B1421" s="1" t="s">
        <v>21</v>
      </c>
      <c r="C1421" s="8"/>
      <c r="D1421" s="9"/>
      <c r="E1421" s="19"/>
      <c r="F1421" s="83"/>
      <c r="G1421" s="84">
        <f t="shared" si="186"/>
        <v>0</v>
      </c>
    </row>
    <row r="1422" spans="1:7">
      <c r="A1422" s="8" t="s">
        <v>22</v>
      </c>
      <c r="B1422" s="1" t="s">
        <v>54</v>
      </c>
      <c r="C1422" s="8"/>
      <c r="D1422" s="9" t="s">
        <v>24</v>
      </c>
      <c r="E1422" s="10" t="s">
        <v>55</v>
      </c>
      <c r="F1422" s="83">
        <f>VLOOKUP(B1422,'HSD UPAH,BAHAN,ALAT'!$C$6:F1512,4,FALSE)</f>
        <v>10000</v>
      </c>
      <c r="G1422" s="84">
        <f t="shared" si="186"/>
        <v>120000</v>
      </c>
    </row>
    <row r="1423" spans="1:7">
      <c r="A1423" s="8" t="s">
        <v>30</v>
      </c>
      <c r="B1423" s="1" t="s">
        <v>56</v>
      </c>
      <c r="C1423" s="8"/>
      <c r="D1423" s="9" t="s">
        <v>24</v>
      </c>
      <c r="E1423" s="10" t="s">
        <v>57</v>
      </c>
      <c r="F1423" s="83">
        <f>VLOOKUP(B1423,'HSD UPAH,BAHAN,ALAT'!$C$6:F1513,4,FALSE)</f>
        <v>10000</v>
      </c>
      <c r="G1423" s="84">
        <f t="shared" si="186"/>
        <v>100000</v>
      </c>
    </row>
    <row r="1424" spans="1:7">
      <c r="A1424" s="8">
        <v>4</v>
      </c>
      <c r="B1424" s="1" t="s">
        <v>26</v>
      </c>
      <c r="C1424" s="8"/>
      <c r="D1424" s="9"/>
      <c r="E1424" s="19"/>
      <c r="F1424" s="83"/>
      <c r="G1424" s="84">
        <f t="shared" si="186"/>
        <v>0</v>
      </c>
    </row>
    <row r="1425" spans="1:7">
      <c r="A1425" s="8" t="s">
        <v>22</v>
      </c>
      <c r="B1425" s="1" t="s">
        <v>27</v>
      </c>
      <c r="C1425" s="8"/>
      <c r="D1425" s="9" t="s">
        <v>28</v>
      </c>
      <c r="E1425" s="10" t="s">
        <v>63</v>
      </c>
      <c r="F1425" s="83">
        <f>VLOOKUP(B1425,'HSD UPAH,BAHAN,ALAT'!$C$6:F1515,4,FALSE)</f>
        <v>10000</v>
      </c>
      <c r="G1425" s="84">
        <f t="shared" si="186"/>
        <v>730</v>
      </c>
    </row>
    <row r="1426" spans="1:7">
      <c r="A1426" s="8" t="s">
        <v>30</v>
      </c>
      <c r="B1426" s="1" t="s">
        <v>31</v>
      </c>
      <c r="C1426" s="8"/>
      <c r="D1426" s="9" t="s">
        <v>28</v>
      </c>
      <c r="E1426" s="10" t="s">
        <v>64</v>
      </c>
      <c r="F1426" s="83">
        <f>VLOOKUP(B1426,'HSD UPAH,BAHAN,ALAT'!$C$6:F1516,4,FALSE)</f>
        <v>10000</v>
      </c>
      <c r="G1426" s="84">
        <f t="shared" si="186"/>
        <v>200</v>
      </c>
    </row>
    <row r="1427" spans="1:7">
      <c r="A1427" s="8" t="s">
        <v>33</v>
      </c>
      <c r="B1427" s="1" t="s">
        <v>34</v>
      </c>
      <c r="C1427" s="8"/>
      <c r="D1427" s="9" t="s">
        <v>28</v>
      </c>
      <c r="E1427" s="10" t="s">
        <v>20</v>
      </c>
      <c r="F1427" s="83">
        <f>VLOOKUP(B1427,'HSD UPAH,BAHAN,ALAT'!$C$6:F1517,4,FALSE)</f>
        <v>10000</v>
      </c>
      <c r="G1427" s="84">
        <f t="shared" si="186"/>
        <v>50</v>
      </c>
    </row>
    <row r="1428" spans="1:7">
      <c r="A1428" s="261" t="s">
        <v>421</v>
      </c>
      <c r="B1428" s="261"/>
      <c r="C1428" s="261"/>
      <c r="D1428" s="261"/>
      <c r="E1428" s="261"/>
      <c r="F1428" s="261"/>
      <c r="G1428" s="85">
        <f>SUM(G1419:G1427)</f>
        <v>231580</v>
      </c>
    </row>
    <row r="1429" spans="1:7">
      <c r="A1429" s="8" t="s">
        <v>36</v>
      </c>
      <c r="B1429" s="1" t="s">
        <v>37</v>
      </c>
      <c r="C1429" s="8"/>
      <c r="D1429" s="9"/>
      <c r="E1429" s="19"/>
      <c r="F1429" s="2"/>
      <c r="G1429" s="2"/>
    </row>
    <row r="1430" spans="1:7">
      <c r="A1430" s="263" t="s">
        <v>419</v>
      </c>
      <c r="B1430" s="263"/>
      <c r="C1430" s="263"/>
      <c r="D1430" s="263"/>
      <c r="E1430" s="263"/>
      <c r="F1430" s="263"/>
      <c r="G1430" s="80">
        <f>SUM(G1429)</f>
        <v>0</v>
      </c>
    </row>
    <row r="1431" spans="1:7">
      <c r="A1431" s="81" t="s">
        <v>38</v>
      </c>
      <c r="B1431" s="262" t="s">
        <v>39</v>
      </c>
      <c r="C1431" s="262"/>
      <c r="D1431" s="262"/>
      <c r="E1431" s="262"/>
      <c r="F1431" s="262"/>
      <c r="G1431" s="80">
        <f>SUM(G1413:G1430)/2</f>
        <v>248350</v>
      </c>
    </row>
    <row r="1432" spans="1:7">
      <c r="A1432" s="81" t="s">
        <v>40</v>
      </c>
      <c r="B1432" s="262" t="s">
        <v>180</v>
      </c>
      <c r="C1432" s="262"/>
      <c r="D1432" s="262"/>
      <c r="E1432" s="262"/>
      <c r="F1432" s="82">
        <v>0.1</v>
      </c>
      <c r="G1432" s="80">
        <f>G1431*F1432</f>
        <v>24835</v>
      </c>
    </row>
    <row r="1433" spans="1:7">
      <c r="A1433" s="81" t="s">
        <v>41</v>
      </c>
      <c r="B1433" s="262" t="s">
        <v>42</v>
      </c>
      <c r="C1433" s="262"/>
      <c r="D1433" s="262"/>
      <c r="E1433" s="262"/>
      <c r="F1433" s="262"/>
      <c r="G1433" s="80">
        <f>G1431+G1432</f>
        <v>273185</v>
      </c>
    </row>
    <row r="1434" spans="1:7">
      <c r="A1434" s="90"/>
      <c r="B1434" s="91"/>
      <c r="C1434" s="91"/>
      <c r="D1434" s="91"/>
      <c r="E1434" s="91"/>
      <c r="F1434" s="91"/>
      <c r="G1434" s="92"/>
    </row>
    <row r="1435" spans="1:7">
      <c r="A1435" s="4" t="s">
        <v>547</v>
      </c>
      <c r="B1435" s="91"/>
      <c r="C1435" s="91"/>
      <c r="D1435" s="91"/>
      <c r="E1435" s="91"/>
      <c r="F1435" s="91"/>
      <c r="G1435" s="92"/>
    </row>
    <row r="1436" spans="1:7" ht="30">
      <c r="A1436" s="79" t="s">
        <v>0</v>
      </c>
      <c r="B1436" s="79" t="s">
        <v>1</v>
      </c>
      <c r="C1436" s="79" t="s">
        <v>207</v>
      </c>
      <c r="D1436" s="79" t="s">
        <v>3</v>
      </c>
      <c r="E1436" s="79" t="s">
        <v>2</v>
      </c>
      <c r="F1436" s="79" t="s">
        <v>417</v>
      </c>
      <c r="G1436" s="79" t="s">
        <v>418</v>
      </c>
    </row>
    <row r="1437" spans="1:7">
      <c r="A1437" s="8" t="s">
        <v>4</v>
      </c>
      <c r="B1437" s="1" t="s">
        <v>5</v>
      </c>
      <c r="C1437" s="8"/>
      <c r="D1437" s="9"/>
      <c r="E1437" s="19"/>
      <c r="F1437" s="2"/>
      <c r="G1437" s="2"/>
    </row>
    <row r="1438" spans="1:7">
      <c r="A1438" s="8">
        <v>1</v>
      </c>
      <c r="B1438" s="1" t="s">
        <v>48</v>
      </c>
      <c r="C1438" s="8" t="s">
        <v>49</v>
      </c>
      <c r="D1438" s="9" t="s">
        <v>8</v>
      </c>
      <c r="E1438" s="10" t="s">
        <v>60</v>
      </c>
      <c r="F1438" s="83">
        <f>VLOOKUP(B1438,'HSD UPAH,BAHAN,ALAT'!$C$6:F1526,4,FALSE)</f>
        <v>100000</v>
      </c>
      <c r="G1438" s="84">
        <f t="shared" ref="G1438:G1441" si="187">E1438*F1438</f>
        <v>6700</v>
      </c>
    </row>
    <row r="1439" spans="1:7">
      <c r="A1439" s="8">
        <v>2</v>
      </c>
      <c r="B1439" s="1" t="s">
        <v>6</v>
      </c>
      <c r="C1439" s="8" t="s">
        <v>7</v>
      </c>
      <c r="D1439" s="9" t="s">
        <v>8</v>
      </c>
      <c r="E1439" s="10" t="s">
        <v>60</v>
      </c>
      <c r="F1439" s="83">
        <f>VLOOKUP(B1439,'HSD UPAH,BAHAN,ALAT'!$C$6:F1527,4,FALSE)</f>
        <v>100000</v>
      </c>
      <c r="G1439" s="84">
        <f t="shared" si="187"/>
        <v>6700</v>
      </c>
    </row>
    <row r="1440" spans="1:7">
      <c r="A1440" s="8">
        <v>3</v>
      </c>
      <c r="B1440" s="1" t="s">
        <v>10</v>
      </c>
      <c r="C1440" s="8" t="s">
        <v>11</v>
      </c>
      <c r="D1440" s="9" t="s">
        <v>8</v>
      </c>
      <c r="E1440" s="10" t="s">
        <v>61</v>
      </c>
      <c r="F1440" s="83">
        <f>VLOOKUP(B1440,'HSD UPAH,BAHAN,ALAT'!$C$6:F1528,4,FALSE)</f>
        <v>120000</v>
      </c>
      <c r="G1440" s="84">
        <f t="shared" si="187"/>
        <v>2640</v>
      </c>
    </row>
    <row r="1441" spans="1:7">
      <c r="A1441" s="8">
        <v>4</v>
      </c>
      <c r="B1441" s="1" t="s">
        <v>13</v>
      </c>
      <c r="C1441" s="8" t="s">
        <v>14</v>
      </c>
      <c r="D1441" s="9" t="s">
        <v>8</v>
      </c>
      <c r="E1441" s="10" t="s">
        <v>62</v>
      </c>
      <c r="F1441" s="83">
        <f>VLOOKUP(B1441,'HSD UPAH,BAHAN,ALAT'!$C$6:F1529,4,FALSE)</f>
        <v>100000</v>
      </c>
      <c r="G1441" s="84">
        <f t="shared" si="187"/>
        <v>730</v>
      </c>
    </row>
    <row r="1442" spans="1:7">
      <c r="A1442" s="261" t="s">
        <v>420</v>
      </c>
      <c r="B1442" s="261"/>
      <c r="C1442" s="261"/>
      <c r="D1442" s="261"/>
      <c r="E1442" s="261"/>
      <c r="F1442" s="261"/>
      <c r="G1442" s="85">
        <f>SUM(G1438:G1441)</f>
        <v>16770</v>
      </c>
    </row>
    <row r="1443" spans="1:7">
      <c r="A1443" s="8" t="s">
        <v>16</v>
      </c>
      <c r="B1443" s="1" t="s">
        <v>17</v>
      </c>
      <c r="C1443" s="8"/>
      <c r="D1443" s="9"/>
      <c r="E1443" s="19"/>
      <c r="F1443" s="2"/>
      <c r="G1443" s="2"/>
    </row>
    <row r="1444" spans="1:7" ht="30">
      <c r="A1444" s="17" t="s">
        <v>208</v>
      </c>
      <c r="B1444" s="5" t="s">
        <v>282</v>
      </c>
      <c r="C1444" s="8"/>
      <c r="D1444" s="12" t="s">
        <v>86</v>
      </c>
      <c r="E1444" s="7" t="s">
        <v>87</v>
      </c>
      <c r="F1444" s="83">
        <f>VLOOKUP(B1444,'HSD UPAH,BAHAN,ALAT'!$C$6:F1532,4,FALSE)</f>
        <v>10000</v>
      </c>
      <c r="G1444" s="84">
        <f t="shared" ref="G1444:G1445" si="188">E1444*F1444</f>
        <v>10500</v>
      </c>
    </row>
    <row r="1445" spans="1:7">
      <c r="A1445" s="8">
        <v>2</v>
      </c>
      <c r="B1445" s="1" t="s">
        <v>18</v>
      </c>
      <c r="C1445" s="8"/>
      <c r="D1445" s="9" t="s">
        <v>19</v>
      </c>
      <c r="E1445" s="10" t="s">
        <v>53</v>
      </c>
      <c r="F1445" s="83">
        <f>VLOOKUP(B1445,'HSD UPAH,BAHAN,ALAT'!$C$6:F1533,4,FALSE)</f>
        <v>10000</v>
      </c>
      <c r="G1445" s="84">
        <f t="shared" si="188"/>
        <v>100</v>
      </c>
    </row>
    <row r="1446" spans="1:7">
      <c r="A1446" s="8">
        <v>3</v>
      </c>
      <c r="B1446" s="1" t="s">
        <v>21</v>
      </c>
      <c r="C1446" s="8"/>
      <c r="D1446" s="9"/>
      <c r="E1446" s="19"/>
      <c r="F1446" s="2"/>
      <c r="G1446" s="2"/>
    </row>
    <row r="1447" spans="1:7">
      <c r="A1447" s="8" t="s">
        <v>22</v>
      </c>
      <c r="B1447" s="1" t="s">
        <v>54</v>
      </c>
      <c r="C1447" s="8"/>
      <c r="D1447" s="9" t="s">
        <v>24</v>
      </c>
      <c r="E1447" s="10" t="s">
        <v>55</v>
      </c>
      <c r="F1447" s="83">
        <f>VLOOKUP(B1447,'HSD UPAH,BAHAN,ALAT'!$C$6:F1535,4,FALSE)</f>
        <v>10000</v>
      </c>
      <c r="G1447" s="84">
        <f t="shared" ref="G1447:G1448" si="189">E1447*F1447</f>
        <v>120000</v>
      </c>
    </row>
    <row r="1448" spans="1:7">
      <c r="A1448" s="8" t="s">
        <v>30</v>
      </c>
      <c r="B1448" s="1" t="s">
        <v>56</v>
      </c>
      <c r="C1448" s="8"/>
      <c r="D1448" s="9" t="s">
        <v>24</v>
      </c>
      <c r="E1448" s="10" t="s">
        <v>57</v>
      </c>
      <c r="F1448" s="83">
        <f>VLOOKUP(B1448,'HSD UPAH,BAHAN,ALAT'!$C$6:F1536,4,FALSE)</f>
        <v>10000</v>
      </c>
      <c r="G1448" s="84">
        <f t="shared" si="189"/>
        <v>100000</v>
      </c>
    </row>
    <row r="1449" spans="1:7">
      <c r="A1449" s="8">
        <v>4</v>
      </c>
      <c r="B1449" s="1" t="s">
        <v>26</v>
      </c>
      <c r="C1449" s="8"/>
      <c r="D1449" s="9"/>
      <c r="E1449" s="19"/>
      <c r="F1449" s="2"/>
      <c r="G1449" s="2"/>
    </row>
    <row r="1450" spans="1:7">
      <c r="A1450" s="8" t="s">
        <v>22</v>
      </c>
      <c r="B1450" s="1" t="s">
        <v>27</v>
      </c>
      <c r="C1450" s="8"/>
      <c r="D1450" s="9" t="s">
        <v>28</v>
      </c>
      <c r="E1450" s="10" t="s">
        <v>63</v>
      </c>
      <c r="F1450" s="83">
        <f>VLOOKUP(B1450,'HSD UPAH,BAHAN,ALAT'!$C$6:F1538,4,FALSE)</f>
        <v>10000</v>
      </c>
      <c r="G1450" s="84">
        <f t="shared" ref="G1450:G1452" si="190">E1450*F1450</f>
        <v>730</v>
      </c>
    </row>
    <row r="1451" spans="1:7">
      <c r="A1451" s="8" t="s">
        <v>30</v>
      </c>
      <c r="B1451" s="1" t="s">
        <v>31</v>
      </c>
      <c r="C1451" s="8"/>
      <c r="D1451" s="9" t="s">
        <v>28</v>
      </c>
      <c r="E1451" s="10" t="s">
        <v>64</v>
      </c>
      <c r="F1451" s="83">
        <f>VLOOKUP(B1451,'HSD UPAH,BAHAN,ALAT'!$C$6:F1539,4,FALSE)</f>
        <v>10000</v>
      </c>
      <c r="G1451" s="84">
        <f t="shared" si="190"/>
        <v>200</v>
      </c>
    </row>
    <row r="1452" spans="1:7">
      <c r="A1452" s="8" t="s">
        <v>33</v>
      </c>
      <c r="B1452" s="1" t="s">
        <v>34</v>
      </c>
      <c r="C1452" s="8"/>
      <c r="D1452" s="9" t="s">
        <v>28</v>
      </c>
      <c r="E1452" s="10" t="s">
        <v>20</v>
      </c>
      <c r="F1452" s="83">
        <f>VLOOKUP(B1452,'HSD UPAH,BAHAN,ALAT'!$C$6:F1540,4,FALSE)</f>
        <v>10000</v>
      </c>
      <c r="G1452" s="84">
        <f t="shared" si="190"/>
        <v>50</v>
      </c>
    </row>
    <row r="1453" spans="1:7">
      <c r="A1453" s="261" t="s">
        <v>421</v>
      </c>
      <c r="B1453" s="261"/>
      <c r="C1453" s="261"/>
      <c r="D1453" s="261"/>
      <c r="E1453" s="261"/>
      <c r="F1453" s="261"/>
      <c r="G1453" s="85">
        <f>SUM(G1444:G1452)</f>
        <v>231580</v>
      </c>
    </row>
    <row r="1454" spans="1:7">
      <c r="A1454" s="8" t="s">
        <v>36</v>
      </c>
      <c r="B1454" s="1" t="s">
        <v>37</v>
      </c>
      <c r="C1454" s="8"/>
      <c r="D1454" s="9"/>
      <c r="E1454" s="19"/>
      <c r="F1454" s="2"/>
      <c r="G1454" s="2"/>
    </row>
    <row r="1455" spans="1:7">
      <c r="A1455" s="263" t="s">
        <v>419</v>
      </c>
      <c r="B1455" s="263"/>
      <c r="C1455" s="263"/>
      <c r="D1455" s="263"/>
      <c r="E1455" s="263"/>
      <c r="F1455" s="263"/>
      <c r="G1455" s="80">
        <f>SUM(G1454)</f>
        <v>0</v>
      </c>
    </row>
    <row r="1456" spans="1:7">
      <c r="A1456" s="81" t="s">
        <v>38</v>
      </c>
      <c r="B1456" s="262" t="s">
        <v>39</v>
      </c>
      <c r="C1456" s="262"/>
      <c r="D1456" s="262"/>
      <c r="E1456" s="262"/>
      <c r="F1456" s="262"/>
      <c r="G1456" s="80">
        <f>SUM(G1438:G1455)/2</f>
        <v>248350</v>
      </c>
    </row>
    <row r="1457" spans="1:7">
      <c r="A1457" s="81" t="s">
        <v>40</v>
      </c>
      <c r="B1457" s="262" t="s">
        <v>180</v>
      </c>
      <c r="C1457" s="262"/>
      <c r="D1457" s="262"/>
      <c r="E1457" s="262"/>
      <c r="F1457" s="82">
        <v>0.1</v>
      </c>
      <c r="G1457" s="80">
        <f>G1456*F1457</f>
        <v>24835</v>
      </c>
    </row>
    <row r="1458" spans="1:7">
      <c r="A1458" s="81" t="s">
        <v>41</v>
      </c>
      <c r="B1458" s="262" t="s">
        <v>42</v>
      </c>
      <c r="C1458" s="262"/>
      <c r="D1458" s="262"/>
      <c r="E1458" s="262"/>
      <c r="F1458" s="262"/>
      <c r="G1458" s="80">
        <f>G1456+G1457</f>
        <v>273185</v>
      </c>
    </row>
    <row r="1459" spans="1:7">
      <c r="A1459" s="90"/>
      <c r="B1459" s="91"/>
      <c r="C1459" s="91"/>
      <c r="D1459" s="91"/>
      <c r="E1459" s="91"/>
      <c r="F1459" s="91"/>
      <c r="G1459" s="92"/>
    </row>
    <row r="1460" spans="1:7">
      <c r="A1460" s="4" t="s">
        <v>548</v>
      </c>
      <c r="B1460" s="91"/>
      <c r="C1460" s="91"/>
      <c r="D1460" s="91"/>
      <c r="E1460" s="91"/>
      <c r="F1460" s="91"/>
      <c r="G1460" s="92"/>
    </row>
    <row r="1461" spans="1:7" ht="30">
      <c r="A1461" s="79" t="s">
        <v>0</v>
      </c>
      <c r="B1461" s="79" t="s">
        <v>1</v>
      </c>
      <c r="C1461" s="79" t="s">
        <v>207</v>
      </c>
      <c r="D1461" s="79" t="s">
        <v>3</v>
      </c>
      <c r="E1461" s="79" t="s">
        <v>2</v>
      </c>
      <c r="F1461" s="79" t="s">
        <v>417</v>
      </c>
      <c r="G1461" s="79" t="s">
        <v>418</v>
      </c>
    </row>
    <row r="1462" spans="1:7">
      <c r="A1462" s="8" t="s">
        <v>4</v>
      </c>
      <c r="B1462" s="1" t="s">
        <v>5</v>
      </c>
      <c r="C1462" s="8"/>
      <c r="D1462" s="9"/>
      <c r="E1462" s="19"/>
      <c r="F1462" s="2"/>
      <c r="G1462" s="2"/>
    </row>
    <row r="1463" spans="1:7">
      <c r="A1463" s="8">
        <v>1</v>
      </c>
      <c r="B1463" s="1" t="s">
        <v>48</v>
      </c>
      <c r="C1463" s="8" t="s">
        <v>49</v>
      </c>
      <c r="D1463" s="9" t="s">
        <v>8</v>
      </c>
      <c r="E1463" s="10" t="s">
        <v>60</v>
      </c>
      <c r="F1463" s="83">
        <f>VLOOKUP(B1463,'HSD UPAH,BAHAN,ALAT'!$C$6:F1549,4,FALSE)</f>
        <v>100000</v>
      </c>
      <c r="G1463" s="84">
        <f t="shared" ref="G1463:G1466" si="191">E1463*F1463</f>
        <v>6700</v>
      </c>
    </row>
    <row r="1464" spans="1:7">
      <c r="A1464" s="8">
        <v>2</v>
      </c>
      <c r="B1464" s="1" t="s">
        <v>6</v>
      </c>
      <c r="C1464" s="8" t="s">
        <v>7</v>
      </c>
      <c r="D1464" s="9" t="s">
        <v>8</v>
      </c>
      <c r="E1464" s="10" t="s">
        <v>60</v>
      </c>
      <c r="F1464" s="83">
        <f>VLOOKUP(B1464,'HSD UPAH,BAHAN,ALAT'!$C$6:F1550,4,FALSE)</f>
        <v>100000</v>
      </c>
      <c r="G1464" s="84">
        <f t="shared" si="191"/>
        <v>6700</v>
      </c>
    </row>
    <row r="1465" spans="1:7">
      <c r="A1465" s="8">
        <v>3</v>
      </c>
      <c r="B1465" s="1" t="s">
        <v>10</v>
      </c>
      <c r="C1465" s="8" t="s">
        <v>11</v>
      </c>
      <c r="D1465" s="9" t="s">
        <v>8</v>
      </c>
      <c r="E1465" s="10" t="s">
        <v>61</v>
      </c>
      <c r="F1465" s="83">
        <f>VLOOKUP(B1465,'HSD UPAH,BAHAN,ALAT'!$C$6:F1551,4,FALSE)</f>
        <v>120000</v>
      </c>
      <c r="G1465" s="84">
        <f t="shared" si="191"/>
        <v>2640</v>
      </c>
    </row>
    <row r="1466" spans="1:7">
      <c r="A1466" s="8">
        <v>4</v>
      </c>
      <c r="B1466" s="1" t="s">
        <v>13</v>
      </c>
      <c r="C1466" s="8" t="s">
        <v>14</v>
      </c>
      <c r="D1466" s="9" t="s">
        <v>8</v>
      </c>
      <c r="E1466" s="10" t="s">
        <v>62</v>
      </c>
      <c r="F1466" s="83">
        <f>VLOOKUP(B1466,'HSD UPAH,BAHAN,ALAT'!$C$6:F1552,4,FALSE)</f>
        <v>100000</v>
      </c>
      <c r="G1466" s="84">
        <f t="shared" si="191"/>
        <v>730</v>
      </c>
    </row>
    <row r="1467" spans="1:7">
      <c r="A1467" s="261" t="s">
        <v>420</v>
      </c>
      <c r="B1467" s="261"/>
      <c r="C1467" s="261"/>
      <c r="D1467" s="261"/>
      <c r="E1467" s="261"/>
      <c r="F1467" s="261"/>
      <c r="G1467" s="85">
        <f>SUM(G1463:G1466)</f>
        <v>16770</v>
      </c>
    </row>
    <row r="1468" spans="1:7">
      <c r="A1468" s="8" t="s">
        <v>16</v>
      </c>
      <c r="B1468" s="1" t="s">
        <v>17</v>
      </c>
      <c r="C1468" s="8"/>
      <c r="D1468" s="9"/>
      <c r="E1468" s="19"/>
      <c r="F1468" s="2"/>
      <c r="G1468" s="2"/>
    </row>
    <row r="1469" spans="1:7" ht="30">
      <c r="A1469" s="17" t="s">
        <v>208</v>
      </c>
      <c r="B1469" s="5" t="s">
        <v>283</v>
      </c>
      <c r="C1469" s="8"/>
      <c r="D1469" s="12" t="s">
        <v>86</v>
      </c>
      <c r="E1469" s="7" t="s">
        <v>87</v>
      </c>
      <c r="F1469" s="83">
        <f>VLOOKUP(B1469,'HSD UPAH,BAHAN,ALAT'!$C$6:F1555,4,FALSE)</f>
        <v>10000</v>
      </c>
      <c r="G1469" s="84">
        <f t="shared" ref="G1469:G1470" si="192">E1469*F1469</f>
        <v>10500</v>
      </c>
    </row>
    <row r="1470" spans="1:7">
      <c r="A1470" s="8">
        <v>2</v>
      </c>
      <c r="B1470" s="1" t="s">
        <v>18</v>
      </c>
      <c r="C1470" s="8"/>
      <c r="D1470" s="9" t="s">
        <v>19</v>
      </c>
      <c r="E1470" s="10" t="s">
        <v>53</v>
      </c>
      <c r="F1470" s="83">
        <f>VLOOKUP(B1470,'HSD UPAH,BAHAN,ALAT'!$C$6:F1556,4,FALSE)</f>
        <v>10000</v>
      </c>
      <c r="G1470" s="84">
        <f t="shared" si="192"/>
        <v>100</v>
      </c>
    </row>
    <row r="1471" spans="1:7">
      <c r="A1471" s="8">
        <v>3</v>
      </c>
      <c r="B1471" s="1" t="s">
        <v>21</v>
      </c>
      <c r="C1471" s="8"/>
      <c r="D1471" s="9"/>
      <c r="E1471" s="19"/>
      <c r="F1471" s="2"/>
      <c r="G1471" s="2"/>
    </row>
    <row r="1472" spans="1:7">
      <c r="A1472" s="8" t="s">
        <v>22</v>
      </c>
      <c r="B1472" s="1" t="s">
        <v>54</v>
      </c>
      <c r="C1472" s="8"/>
      <c r="D1472" s="9" t="s">
        <v>24</v>
      </c>
      <c r="E1472" s="10" t="s">
        <v>55</v>
      </c>
      <c r="F1472" s="83">
        <f>VLOOKUP(B1472,'HSD UPAH,BAHAN,ALAT'!$C$6:F1558,4,FALSE)</f>
        <v>10000</v>
      </c>
      <c r="G1472" s="84">
        <f t="shared" ref="G1472:G1473" si="193">E1472*F1472</f>
        <v>120000</v>
      </c>
    </row>
    <row r="1473" spans="1:7">
      <c r="A1473" s="8" t="s">
        <v>30</v>
      </c>
      <c r="B1473" s="1" t="s">
        <v>56</v>
      </c>
      <c r="C1473" s="8"/>
      <c r="D1473" s="9" t="s">
        <v>24</v>
      </c>
      <c r="E1473" s="10" t="s">
        <v>57</v>
      </c>
      <c r="F1473" s="83">
        <f>VLOOKUP(B1473,'HSD UPAH,BAHAN,ALAT'!$C$6:F1559,4,FALSE)</f>
        <v>10000</v>
      </c>
      <c r="G1473" s="84">
        <f t="shared" si="193"/>
        <v>100000</v>
      </c>
    </row>
    <row r="1474" spans="1:7">
      <c r="A1474" s="8">
        <v>4</v>
      </c>
      <c r="B1474" s="1" t="s">
        <v>26</v>
      </c>
      <c r="C1474" s="8"/>
      <c r="D1474" s="9"/>
      <c r="E1474" s="19"/>
      <c r="F1474" s="2"/>
      <c r="G1474" s="2"/>
    </row>
    <row r="1475" spans="1:7">
      <c r="A1475" s="8" t="s">
        <v>22</v>
      </c>
      <c r="B1475" s="1" t="s">
        <v>27</v>
      </c>
      <c r="C1475" s="8"/>
      <c r="D1475" s="9" t="s">
        <v>28</v>
      </c>
      <c r="E1475" s="10" t="s">
        <v>63</v>
      </c>
      <c r="F1475" s="83">
        <f>VLOOKUP(B1475,'HSD UPAH,BAHAN,ALAT'!$C$6:F1561,4,FALSE)</f>
        <v>10000</v>
      </c>
      <c r="G1475" s="84">
        <f t="shared" ref="G1475:G1477" si="194">E1475*F1475</f>
        <v>730</v>
      </c>
    </row>
    <row r="1476" spans="1:7">
      <c r="A1476" s="8" t="s">
        <v>30</v>
      </c>
      <c r="B1476" s="1" t="s">
        <v>31</v>
      </c>
      <c r="C1476" s="8"/>
      <c r="D1476" s="9" t="s">
        <v>28</v>
      </c>
      <c r="E1476" s="10" t="s">
        <v>64</v>
      </c>
      <c r="F1476" s="83">
        <f>VLOOKUP(B1476,'HSD UPAH,BAHAN,ALAT'!$C$6:F1562,4,FALSE)</f>
        <v>10000</v>
      </c>
      <c r="G1476" s="84">
        <f t="shared" si="194"/>
        <v>200</v>
      </c>
    </row>
    <row r="1477" spans="1:7">
      <c r="A1477" s="8" t="s">
        <v>33</v>
      </c>
      <c r="B1477" s="1" t="s">
        <v>34</v>
      </c>
      <c r="C1477" s="8"/>
      <c r="D1477" s="9" t="s">
        <v>28</v>
      </c>
      <c r="E1477" s="10" t="s">
        <v>20</v>
      </c>
      <c r="F1477" s="83">
        <f>VLOOKUP(B1477,'HSD UPAH,BAHAN,ALAT'!$C$6:F1563,4,FALSE)</f>
        <v>10000</v>
      </c>
      <c r="G1477" s="84">
        <f t="shared" si="194"/>
        <v>50</v>
      </c>
    </row>
    <row r="1478" spans="1:7">
      <c r="A1478" s="261" t="s">
        <v>421</v>
      </c>
      <c r="B1478" s="261"/>
      <c r="C1478" s="261"/>
      <c r="D1478" s="261"/>
      <c r="E1478" s="261"/>
      <c r="F1478" s="261"/>
      <c r="G1478" s="85">
        <f>SUM(G1469:G1477)</f>
        <v>231580</v>
      </c>
    </row>
    <row r="1479" spans="1:7">
      <c r="A1479" s="8" t="s">
        <v>36</v>
      </c>
      <c r="B1479" s="1" t="s">
        <v>37</v>
      </c>
      <c r="C1479" s="8"/>
      <c r="D1479" s="9"/>
      <c r="E1479" s="19"/>
      <c r="F1479" s="2"/>
      <c r="G1479" s="2"/>
    </row>
    <row r="1480" spans="1:7">
      <c r="A1480" s="263" t="s">
        <v>419</v>
      </c>
      <c r="B1480" s="263"/>
      <c r="C1480" s="263"/>
      <c r="D1480" s="263"/>
      <c r="E1480" s="263"/>
      <c r="F1480" s="263"/>
      <c r="G1480" s="80">
        <f>SUM(G1479)</f>
        <v>0</v>
      </c>
    </row>
    <row r="1481" spans="1:7">
      <c r="A1481" s="81" t="s">
        <v>38</v>
      </c>
      <c r="B1481" s="262" t="s">
        <v>39</v>
      </c>
      <c r="C1481" s="262"/>
      <c r="D1481" s="262"/>
      <c r="E1481" s="262"/>
      <c r="F1481" s="262"/>
      <c r="G1481" s="80">
        <f>SUM(G1463:G1480)/2</f>
        <v>248350</v>
      </c>
    </row>
    <row r="1482" spans="1:7">
      <c r="A1482" s="81" t="s">
        <v>40</v>
      </c>
      <c r="B1482" s="262" t="s">
        <v>180</v>
      </c>
      <c r="C1482" s="262"/>
      <c r="D1482" s="262"/>
      <c r="E1482" s="262"/>
      <c r="F1482" s="82">
        <v>0.1</v>
      </c>
      <c r="G1482" s="80">
        <f>G1481*F1482</f>
        <v>24835</v>
      </c>
    </row>
    <row r="1483" spans="1:7">
      <c r="A1483" s="81" t="s">
        <v>41</v>
      </c>
      <c r="B1483" s="262" t="s">
        <v>42</v>
      </c>
      <c r="C1483" s="262"/>
      <c r="D1483" s="262"/>
      <c r="E1483" s="262"/>
      <c r="F1483" s="262"/>
      <c r="G1483" s="80">
        <f>G1481+G1482</f>
        <v>273185</v>
      </c>
    </row>
    <row r="1484" spans="1:7">
      <c r="A1484" s="90"/>
      <c r="B1484" s="91"/>
      <c r="C1484" s="91"/>
      <c r="D1484" s="91"/>
      <c r="E1484" s="91"/>
      <c r="F1484" s="91"/>
      <c r="G1484" s="92"/>
    </row>
    <row r="1485" spans="1:7">
      <c r="A1485" s="4" t="s">
        <v>549</v>
      </c>
      <c r="B1485" s="91"/>
      <c r="C1485" s="91"/>
      <c r="D1485" s="91"/>
      <c r="E1485" s="91"/>
      <c r="F1485" s="91"/>
      <c r="G1485" s="92"/>
    </row>
    <row r="1486" spans="1:7" ht="30">
      <c r="A1486" s="79" t="s">
        <v>0</v>
      </c>
      <c r="B1486" s="79" t="s">
        <v>1</v>
      </c>
      <c r="C1486" s="79" t="s">
        <v>207</v>
      </c>
      <c r="D1486" s="79" t="s">
        <v>3</v>
      </c>
      <c r="E1486" s="79" t="s">
        <v>2</v>
      </c>
      <c r="F1486" s="79" t="s">
        <v>417</v>
      </c>
      <c r="G1486" s="79" t="s">
        <v>418</v>
      </c>
    </row>
    <row r="1487" spans="1:7">
      <c r="A1487" s="8" t="s">
        <v>4</v>
      </c>
      <c r="B1487" s="1" t="s">
        <v>5</v>
      </c>
      <c r="C1487" s="8"/>
      <c r="D1487" s="9"/>
      <c r="E1487" s="19"/>
      <c r="F1487" s="2"/>
      <c r="G1487" s="2"/>
    </row>
    <row r="1488" spans="1:7">
      <c r="A1488" s="8">
        <v>1</v>
      </c>
      <c r="B1488" s="1" t="s">
        <v>48</v>
      </c>
      <c r="C1488" s="8" t="s">
        <v>49</v>
      </c>
      <c r="D1488" s="9" t="s">
        <v>8</v>
      </c>
      <c r="E1488" s="10" t="s">
        <v>60</v>
      </c>
      <c r="F1488" s="83">
        <f>VLOOKUP(B1488,'HSD UPAH,BAHAN,ALAT'!$C$6:F1572,4,FALSE)</f>
        <v>100000</v>
      </c>
      <c r="G1488" s="84">
        <f t="shared" ref="G1488:G1491" si="195">E1488*F1488</f>
        <v>6700</v>
      </c>
    </row>
    <row r="1489" spans="1:7">
      <c r="A1489" s="8">
        <v>2</v>
      </c>
      <c r="B1489" s="1" t="s">
        <v>6</v>
      </c>
      <c r="C1489" s="8" t="s">
        <v>7</v>
      </c>
      <c r="D1489" s="9" t="s">
        <v>8</v>
      </c>
      <c r="E1489" s="10" t="s">
        <v>60</v>
      </c>
      <c r="F1489" s="83">
        <f>VLOOKUP(B1489,'HSD UPAH,BAHAN,ALAT'!$C$6:F1573,4,FALSE)</f>
        <v>100000</v>
      </c>
      <c r="G1489" s="84">
        <f t="shared" si="195"/>
        <v>6700</v>
      </c>
    </row>
    <row r="1490" spans="1:7">
      <c r="A1490" s="8">
        <v>3</v>
      </c>
      <c r="B1490" s="1" t="s">
        <v>10</v>
      </c>
      <c r="C1490" s="8" t="s">
        <v>11</v>
      </c>
      <c r="D1490" s="9" t="s">
        <v>8</v>
      </c>
      <c r="E1490" s="10" t="s">
        <v>61</v>
      </c>
      <c r="F1490" s="83">
        <f>VLOOKUP(B1490,'HSD UPAH,BAHAN,ALAT'!$C$6:F1574,4,FALSE)</f>
        <v>120000</v>
      </c>
      <c r="G1490" s="84">
        <f t="shared" si="195"/>
        <v>2640</v>
      </c>
    </row>
    <row r="1491" spans="1:7">
      <c r="A1491" s="8">
        <v>4</v>
      </c>
      <c r="B1491" s="1" t="s">
        <v>13</v>
      </c>
      <c r="C1491" s="8" t="s">
        <v>14</v>
      </c>
      <c r="D1491" s="9" t="s">
        <v>8</v>
      </c>
      <c r="E1491" s="10" t="s">
        <v>62</v>
      </c>
      <c r="F1491" s="83">
        <f>VLOOKUP(B1491,'HSD UPAH,BAHAN,ALAT'!$C$6:F1575,4,FALSE)</f>
        <v>100000</v>
      </c>
      <c r="G1491" s="84">
        <f t="shared" si="195"/>
        <v>730</v>
      </c>
    </row>
    <row r="1492" spans="1:7">
      <c r="A1492" s="261" t="s">
        <v>420</v>
      </c>
      <c r="B1492" s="261"/>
      <c r="C1492" s="261"/>
      <c r="D1492" s="261"/>
      <c r="E1492" s="261"/>
      <c r="F1492" s="261"/>
      <c r="G1492" s="85">
        <f>SUM(G1488:G1491)</f>
        <v>16770</v>
      </c>
    </row>
    <row r="1493" spans="1:7">
      <c r="A1493" s="8" t="s">
        <v>16</v>
      </c>
      <c r="B1493" s="1" t="s">
        <v>17</v>
      </c>
      <c r="C1493" s="8"/>
      <c r="D1493" s="9"/>
      <c r="E1493" s="19"/>
      <c r="F1493" s="2"/>
      <c r="G1493" s="2"/>
    </row>
    <row r="1494" spans="1:7" ht="30">
      <c r="A1494" s="17" t="s">
        <v>208</v>
      </c>
      <c r="B1494" s="5" t="s">
        <v>284</v>
      </c>
      <c r="C1494" s="8"/>
      <c r="D1494" s="12" t="s">
        <v>86</v>
      </c>
      <c r="E1494" s="7" t="s">
        <v>87</v>
      </c>
      <c r="F1494" s="83">
        <f>VLOOKUP(B1494,'HSD UPAH,BAHAN,ALAT'!$C$6:F1578,4,FALSE)</f>
        <v>10000</v>
      </c>
      <c r="G1494" s="84">
        <f t="shared" ref="G1494:G1502" si="196">E1494*F1494</f>
        <v>10500</v>
      </c>
    </row>
    <row r="1495" spans="1:7">
      <c r="A1495" s="8">
        <v>2</v>
      </c>
      <c r="B1495" s="1" t="s">
        <v>18</v>
      </c>
      <c r="C1495" s="8"/>
      <c r="D1495" s="9" t="s">
        <v>19</v>
      </c>
      <c r="E1495" s="10" t="s">
        <v>53</v>
      </c>
      <c r="F1495" s="83">
        <f>VLOOKUP(B1495,'HSD UPAH,BAHAN,ALAT'!$C$6:F1579,4,FALSE)</f>
        <v>10000</v>
      </c>
      <c r="G1495" s="84">
        <f t="shared" si="196"/>
        <v>100</v>
      </c>
    </row>
    <row r="1496" spans="1:7">
      <c r="A1496" s="8">
        <v>3</v>
      </c>
      <c r="B1496" s="1" t="s">
        <v>21</v>
      </c>
      <c r="C1496" s="8"/>
      <c r="D1496" s="9"/>
      <c r="E1496" s="19"/>
      <c r="F1496" s="83"/>
      <c r="G1496" s="84">
        <f t="shared" si="196"/>
        <v>0</v>
      </c>
    </row>
    <row r="1497" spans="1:7">
      <c r="A1497" s="8" t="s">
        <v>22</v>
      </c>
      <c r="B1497" s="1" t="s">
        <v>54</v>
      </c>
      <c r="C1497" s="8"/>
      <c r="D1497" s="9" t="s">
        <v>24</v>
      </c>
      <c r="E1497" s="10" t="s">
        <v>55</v>
      </c>
      <c r="F1497" s="83">
        <f>VLOOKUP(B1497,'HSD UPAH,BAHAN,ALAT'!$C$6:F1581,4,FALSE)</f>
        <v>10000</v>
      </c>
      <c r="G1497" s="84">
        <f t="shared" si="196"/>
        <v>120000</v>
      </c>
    </row>
    <row r="1498" spans="1:7">
      <c r="A1498" s="8" t="s">
        <v>30</v>
      </c>
      <c r="B1498" s="1" t="s">
        <v>56</v>
      </c>
      <c r="C1498" s="8"/>
      <c r="D1498" s="9" t="s">
        <v>24</v>
      </c>
      <c r="E1498" s="10" t="s">
        <v>57</v>
      </c>
      <c r="F1498" s="83">
        <f>VLOOKUP(B1498,'HSD UPAH,BAHAN,ALAT'!$C$6:F1582,4,FALSE)</f>
        <v>10000</v>
      </c>
      <c r="G1498" s="84">
        <f t="shared" si="196"/>
        <v>100000</v>
      </c>
    </row>
    <row r="1499" spans="1:7">
      <c r="A1499" s="8">
        <v>4</v>
      </c>
      <c r="B1499" s="1" t="s">
        <v>26</v>
      </c>
      <c r="C1499" s="8"/>
      <c r="D1499" s="9"/>
      <c r="E1499" s="19"/>
      <c r="F1499" s="83"/>
      <c r="G1499" s="84">
        <f t="shared" si="196"/>
        <v>0</v>
      </c>
    </row>
    <row r="1500" spans="1:7">
      <c r="A1500" s="8" t="s">
        <v>22</v>
      </c>
      <c r="B1500" s="1" t="s">
        <v>27</v>
      </c>
      <c r="C1500" s="8"/>
      <c r="D1500" s="9" t="s">
        <v>28</v>
      </c>
      <c r="E1500" s="10" t="s">
        <v>63</v>
      </c>
      <c r="F1500" s="83">
        <f>VLOOKUP(B1500,'HSD UPAH,BAHAN,ALAT'!$C$6:F1584,4,FALSE)</f>
        <v>10000</v>
      </c>
      <c r="G1500" s="84">
        <f t="shared" si="196"/>
        <v>730</v>
      </c>
    </row>
    <row r="1501" spans="1:7">
      <c r="A1501" s="8" t="s">
        <v>30</v>
      </c>
      <c r="B1501" s="1" t="s">
        <v>31</v>
      </c>
      <c r="C1501" s="8"/>
      <c r="D1501" s="9" t="s">
        <v>28</v>
      </c>
      <c r="E1501" s="10" t="s">
        <v>64</v>
      </c>
      <c r="F1501" s="83">
        <f>VLOOKUP(B1501,'HSD UPAH,BAHAN,ALAT'!$C$6:F1585,4,FALSE)</f>
        <v>10000</v>
      </c>
      <c r="G1501" s="84">
        <f t="shared" si="196"/>
        <v>200</v>
      </c>
    </row>
    <row r="1502" spans="1:7">
      <c r="A1502" s="8" t="s">
        <v>33</v>
      </c>
      <c r="B1502" s="1" t="s">
        <v>34</v>
      </c>
      <c r="C1502" s="8"/>
      <c r="D1502" s="9" t="s">
        <v>28</v>
      </c>
      <c r="E1502" s="10" t="s">
        <v>20</v>
      </c>
      <c r="F1502" s="83">
        <f>VLOOKUP(B1502,'HSD UPAH,BAHAN,ALAT'!$C$6:F1586,4,FALSE)</f>
        <v>10000</v>
      </c>
      <c r="G1502" s="84">
        <f t="shared" si="196"/>
        <v>50</v>
      </c>
    </row>
    <row r="1503" spans="1:7">
      <c r="A1503" s="261" t="s">
        <v>421</v>
      </c>
      <c r="B1503" s="261"/>
      <c r="C1503" s="261"/>
      <c r="D1503" s="261"/>
      <c r="E1503" s="261"/>
      <c r="F1503" s="261"/>
      <c r="G1503" s="85">
        <f>SUM(G1494:G1502)</f>
        <v>231580</v>
      </c>
    </row>
    <row r="1504" spans="1:7">
      <c r="A1504" s="8" t="s">
        <v>36</v>
      </c>
      <c r="B1504" s="1" t="s">
        <v>37</v>
      </c>
      <c r="C1504" s="8"/>
      <c r="D1504" s="9"/>
      <c r="E1504" s="19"/>
      <c r="F1504" s="2"/>
      <c r="G1504" s="2"/>
    </row>
    <row r="1505" spans="1:7">
      <c r="A1505" s="263" t="s">
        <v>419</v>
      </c>
      <c r="B1505" s="263"/>
      <c r="C1505" s="263"/>
      <c r="D1505" s="263"/>
      <c r="E1505" s="263"/>
      <c r="F1505" s="263"/>
      <c r="G1505" s="80">
        <f>SUM(G1504)</f>
        <v>0</v>
      </c>
    </row>
    <row r="1506" spans="1:7">
      <c r="A1506" s="81" t="s">
        <v>38</v>
      </c>
      <c r="B1506" s="262" t="s">
        <v>39</v>
      </c>
      <c r="C1506" s="262"/>
      <c r="D1506" s="262"/>
      <c r="E1506" s="262"/>
      <c r="F1506" s="262"/>
      <c r="G1506" s="80">
        <f>SUM(G1488:G1505)/2</f>
        <v>248350</v>
      </c>
    </row>
    <row r="1507" spans="1:7">
      <c r="A1507" s="81" t="s">
        <v>40</v>
      </c>
      <c r="B1507" s="262" t="s">
        <v>180</v>
      </c>
      <c r="C1507" s="262"/>
      <c r="D1507" s="262"/>
      <c r="E1507" s="262"/>
      <c r="F1507" s="82">
        <v>0.1</v>
      </c>
      <c r="G1507" s="80">
        <f>G1506*F1507</f>
        <v>24835</v>
      </c>
    </row>
    <row r="1508" spans="1:7">
      <c r="A1508" s="81" t="s">
        <v>41</v>
      </c>
      <c r="B1508" s="262" t="s">
        <v>42</v>
      </c>
      <c r="C1508" s="262"/>
      <c r="D1508" s="262"/>
      <c r="E1508" s="262"/>
      <c r="F1508" s="262"/>
      <c r="G1508" s="80">
        <f>G1506+G1507</f>
        <v>273185</v>
      </c>
    </row>
    <row r="1509" spans="1:7">
      <c r="A1509" s="90"/>
      <c r="B1509" s="91"/>
      <c r="C1509" s="91"/>
      <c r="D1509" s="91"/>
      <c r="E1509" s="91"/>
      <c r="F1509" s="91"/>
      <c r="G1509" s="92"/>
    </row>
    <row r="1510" spans="1:7" s="183" customFormat="1">
      <c r="A1510" s="187" t="s">
        <v>749</v>
      </c>
      <c r="B1510" s="211"/>
      <c r="C1510" s="211"/>
      <c r="D1510" s="211"/>
      <c r="E1510" s="211"/>
      <c r="F1510" s="211"/>
      <c r="G1510" s="212"/>
    </row>
    <row r="1511" spans="1:7" s="183" customFormat="1" ht="30">
      <c r="A1511" s="193" t="s">
        <v>0</v>
      </c>
      <c r="B1511" s="193" t="s">
        <v>1</v>
      </c>
      <c r="C1511" s="193" t="s">
        <v>207</v>
      </c>
      <c r="D1511" s="193" t="s">
        <v>3</v>
      </c>
      <c r="E1511" s="193" t="s">
        <v>2</v>
      </c>
      <c r="F1511" s="193" t="s">
        <v>417</v>
      </c>
      <c r="G1511" s="193" t="s">
        <v>418</v>
      </c>
    </row>
    <row r="1512" spans="1:7" s="183" customFormat="1">
      <c r="A1512" s="194" t="s">
        <v>4</v>
      </c>
      <c r="B1512" s="195" t="s">
        <v>5</v>
      </c>
      <c r="C1512" s="194"/>
      <c r="D1512" s="196"/>
      <c r="E1512" s="197"/>
      <c r="F1512" s="198"/>
      <c r="G1512" s="198"/>
    </row>
    <row r="1513" spans="1:7" s="183" customFormat="1">
      <c r="A1513" s="194">
        <v>1</v>
      </c>
      <c r="B1513" s="195" t="s">
        <v>48</v>
      </c>
      <c r="C1513" s="194" t="s">
        <v>49</v>
      </c>
      <c r="D1513" s="196" t="s">
        <v>8</v>
      </c>
      <c r="E1513" s="199" t="s">
        <v>60</v>
      </c>
      <c r="F1513" s="200">
        <f>VLOOKUP(B1513,'HSD UPAH,BAHAN,ALAT'!$C$6:F1597,4,FALSE)</f>
        <v>100000</v>
      </c>
      <c r="G1513" s="201">
        <f t="shared" ref="G1513:G1516" si="197">E1513*F1513</f>
        <v>6700</v>
      </c>
    </row>
    <row r="1514" spans="1:7" s="183" customFormat="1">
      <c r="A1514" s="194">
        <v>2</v>
      </c>
      <c r="B1514" s="195" t="s">
        <v>6</v>
      </c>
      <c r="C1514" s="194" t="s">
        <v>7</v>
      </c>
      <c r="D1514" s="196" t="s">
        <v>8</v>
      </c>
      <c r="E1514" s="199" t="s">
        <v>60</v>
      </c>
      <c r="F1514" s="200">
        <f>VLOOKUP(B1514,'HSD UPAH,BAHAN,ALAT'!$C$6:F1598,4,FALSE)</f>
        <v>100000</v>
      </c>
      <c r="G1514" s="201">
        <f t="shared" si="197"/>
        <v>6700</v>
      </c>
    </row>
    <row r="1515" spans="1:7" s="183" customFormat="1">
      <c r="A1515" s="194">
        <v>3</v>
      </c>
      <c r="B1515" s="195" t="s">
        <v>10</v>
      </c>
      <c r="C1515" s="194" t="s">
        <v>11</v>
      </c>
      <c r="D1515" s="196" t="s">
        <v>8</v>
      </c>
      <c r="E1515" s="199" t="s">
        <v>61</v>
      </c>
      <c r="F1515" s="200">
        <f>VLOOKUP(B1515,'HSD UPAH,BAHAN,ALAT'!$C$6:F1599,4,FALSE)</f>
        <v>120000</v>
      </c>
      <c r="G1515" s="201">
        <f t="shared" si="197"/>
        <v>2640</v>
      </c>
    </row>
    <row r="1516" spans="1:7" s="183" customFormat="1">
      <c r="A1516" s="194">
        <v>4</v>
      </c>
      <c r="B1516" s="195" t="s">
        <v>13</v>
      </c>
      <c r="C1516" s="194" t="s">
        <v>14</v>
      </c>
      <c r="D1516" s="196" t="s">
        <v>8</v>
      </c>
      <c r="E1516" s="199" t="s">
        <v>62</v>
      </c>
      <c r="F1516" s="200">
        <f>VLOOKUP(B1516,'HSD UPAH,BAHAN,ALAT'!$C$6:F1600,4,FALSE)</f>
        <v>100000</v>
      </c>
      <c r="G1516" s="201">
        <f t="shared" si="197"/>
        <v>730</v>
      </c>
    </row>
    <row r="1517" spans="1:7" s="183" customFormat="1">
      <c r="A1517" s="260" t="s">
        <v>420</v>
      </c>
      <c r="B1517" s="260"/>
      <c r="C1517" s="260"/>
      <c r="D1517" s="260"/>
      <c r="E1517" s="260"/>
      <c r="F1517" s="260"/>
      <c r="G1517" s="202">
        <f>SUM(G1513:G1516)</f>
        <v>16770</v>
      </c>
    </row>
    <row r="1518" spans="1:7" s="183" customFormat="1">
      <c r="A1518" s="194" t="s">
        <v>16</v>
      </c>
      <c r="B1518" s="195" t="s">
        <v>17</v>
      </c>
      <c r="C1518" s="194"/>
      <c r="D1518" s="196"/>
      <c r="E1518" s="197"/>
      <c r="F1518" s="198"/>
      <c r="G1518" s="198"/>
    </row>
    <row r="1519" spans="1:7" s="183" customFormat="1" ht="30">
      <c r="A1519" s="203" t="s">
        <v>208</v>
      </c>
      <c r="B1519" s="204" t="s">
        <v>750</v>
      </c>
      <c r="C1519" s="194"/>
      <c r="D1519" s="205" t="s">
        <v>86</v>
      </c>
      <c r="E1519" s="206" t="s">
        <v>87</v>
      </c>
      <c r="F1519" s="200">
        <f>VLOOKUP(B1519,'HSD UPAH,BAHAN,ALAT'!$C$6:F1603,4,FALSE)</f>
        <v>10000</v>
      </c>
      <c r="G1519" s="201">
        <f t="shared" ref="G1519:G1527" si="198">E1519*F1519</f>
        <v>10500</v>
      </c>
    </row>
    <row r="1520" spans="1:7" s="183" customFormat="1">
      <c r="A1520" s="194">
        <v>2</v>
      </c>
      <c r="B1520" s="195" t="s">
        <v>18</v>
      </c>
      <c r="C1520" s="194"/>
      <c r="D1520" s="196" t="s">
        <v>19</v>
      </c>
      <c r="E1520" s="199" t="s">
        <v>53</v>
      </c>
      <c r="F1520" s="200">
        <f>VLOOKUP(B1520,'HSD UPAH,BAHAN,ALAT'!$C$6:F1604,4,FALSE)</f>
        <v>10000</v>
      </c>
      <c r="G1520" s="201">
        <f t="shared" si="198"/>
        <v>100</v>
      </c>
    </row>
    <row r="1521" spans="1:7" s="183" customFormat="1">
      <c r="A1521" s="194">
        <v>3</v>
      </c>
      <c r="B1521" s="195" t="s">
        <v>21</v>
      </c>
      <c r="C1521" s="194"/>
      <c r="D1521" s="196"/>
      <c r="E1521" s="197"/>
      <c r="F1521" s="200"/>
      <c r="G1521" s="201">
        <f t="shared" si="198"/>
        <v>0</v>
      </c>
    </row>
    <row r="1522" spans="1:7" s="183" customFormat="1">
      <c r="A1522" s="194" t="s">
        <v>22</v>
      </c>
      <c r="B1522" s="195" t="s">
        <v>54</v>
      </c>
      <c r="C1522" s="194"/>
      <c r="D1522" s="196" t="s">
        <v>24</v>
      </c>
      <c r="E1522" s="199" t="s">
        <v>55</v>
      </c>
      <c r="F1522" s="200">
        <f>VLOOKUP(B1522,'HSD UPAH,BAHAN,ALAT'!$C$6:F1606,4,FALSE)</f>
        <v>10000</v>
      </c>
      <c r="G1522" s="201">
        <f t="shared" si="198"/>
        <v>120000</v>
      </c>
    </row>
    <row r="1523" spans="1:7" s="183" customFormat="1">
      <c r="A1523" s="194" t="s">
        <v>30</v>
      </c>
      <c r="B1523" s="195" t="s">
        <v>56</v>
      </c>
      <c r="C1523" s="194"/>
      <c r="D1523" s="196" t="s">
        <v>24</v>
      </c>
      <c r="E1523" s="199" t="s">
        <v>57</v>
      </c>
      <c r="F1523" s="200">
        <f>VLOOKUP(B1523,'HSD UPAH,BAHAN,ALAT'!$C$6:F1607,4,FALSE)</f>
        <v>10000</v>
      </c>
      <c r="G1523" s="201">
        <f t="shared" si="198"/>
        <v>100000</v>
      </c>
    </row>
    <row r="1524" spans="1:7" s="183" customFormat="1">
      <c r="A1524" s="194">
        <v>4</v>
      </c>
      <c r="B1524" s="195" t="s">
        <v>26</v>
      </c>
      <c r="C1524" s="194"/>
      <c r="D1524" s="196"/>
      <c r="E1524" s="197"/>
      <c r="F1524" s="200"/>
      <c r="G1524" s="201">
        <f t="shared" si="198"/>
        <v>0</v>
      </c>
    </row>
    <row r="1525" spans="1:7" s="183" customFormat="1">
      <c r="A1525" s="194" t="s">
        <v>22</v>
      </c>
      <c r="B1525" s="195" t="s">
        <v>27</v>
      </c>
      <c r="C1525" s="194"/>
      <c r="D1525" s="196" t="s">
        <v>28</v>
      </c>
      <c r="E1525" s="199" t="s">
        <v>63</v>
      </c>
      <c r="F1525" s="200">
        <f>VLOOKUP(B1525,'HSD UPAH,BAHAN,ALAT'!$C$6:F1609,4,FALSE)</f>
        <v>10000</v>
      </c>
      <c r="G1525" s="201">
        <f t="shared" si="198"/>
        <v>730</v>
      </c>
    </row>
    <row r="1526" spans="1:7" s="183" customFormat="1">
      <c r="A1526" s="194" t="s">
        <v>30</v>
      </c>
      <c r="B1526" s="195" t="s">
        <v>31</v>
      </c>
      <c r="C1526" s="194"/>
      <c r="D1526" s="196" t="s">
        <v>28</v>
      </c>
      <c r="E1526" s="199" t="s">
        <v>64</v>
      </c>
      <c r="F1526" s="200">
        <f>VLOOKUP(B1526,'HSD UPAH,BAHAN,ALAT'!$C$6:F1610,4,FALSE)</f>
        <v>10000</v>
      </c>
      <c r="G1526" s="201">
        <f t="shared" si="198"/>
        <v>200</v>
      </c>
    </row>
    <row r="1527" spans="1:7" s="183" customFormat="1">
      <c r="A1527" s="194" t="s">
        <v>33</v>
      </c>
      <c r="B1527" s="195" t="s">
        <v>34</v>
      </c>
      <c r="C1527" s="194"/>
      <c r="D1527" s="196" t="s">
        <v>28</v>
      </c>
      <c r="E1527" s="199" t="s">
        <v>20</v>
      </c>
      <c r="F1527" s="200">
        <f>VLOOKUP(B1527,'HSD UPAH,BAHAN,ALAT'!$C$6:F1611,4,FALSE)</f>
        <v>10000</v>
      </c>
      <c r="G1527" s="201">
        <f t="shared" si="198"/>
        <v>50</v>
      </c>
    </row>
    <row r="1528" spans="1:7" s="183" customFormat="1">
      <c r="A1528" s="260" t="s">
        <v>421</v>
      </c>
      <c r="B1528" s="260"/>
      <c r="C1528" s="260"/>
      <c r="D1528" s="260"/>
      <c r="E1528" s="260"/>
      <c r="F1528" s="260"/>
      <c r="G1528" s="202">
        <f>SUM(G1519:G1527)</f>
        <v>231580</v>
      </c>
    </row>
    <row r="1529" spans="1:7" s="183" customFormat="1">
      <c r="A1529" s="194" t="s">
        <v>36</v>
      </c>
      <c r="B1529" s="195" t="s">
        <v>37</v>
      </c>
      <c r="C1529" s="194"/>
      <c r="D1529" s="196"/>
      <c r="E1529" s="197"/>
      <c r="F1529" s="198"/>
      <c r="G1529" s="198"/>
    </row>
    <row r="1530" spans="1:7" s="183" customFormat="1">
      <c r="A1530" s="258" t="s">
        <v>419</v>
      </c>
      <c r="B1530" s="258"/>
      <c r="C1530" s="258"/>
      <c r="D1530" s="258"/>
      <c r="E1530" s="258"/>
      <c r="F1530" s="258"/>
      <c r="G1530" s="207">
        <f>SUM(G1529)</f>
        <v>0</v>
      </c>
    </row>
    <row r="1531" spans="1:7" s="183" customFormat="1">
      <c r="A1531" s="208" t="s">
        <v>38</v>
      </c>
      <c r="B1531" s="259" t="s">
        <v>39</v>
      </c>
      <c r="C1531" s="259"/>
      <c r="D1531" s="259"/>
      <c r="E1531" s="259"/>
      <c r="F1531" s="259"/>
      <c r="G1531" s="207">
        <f>SUM(G1513:G1530)/2</f>
        <v>248350</v>
      </c>
    </row>
    <row r="1532" spans="1:7" s="183" customFormat="1">
      <c r="A1532" s="208" t="s">
        <v>40</v>
      </c>
      <c r="B1532" s="259" t="s">
        <v>180</v>
      </c>
      <c r="C1532" s="259"/>
      <c r="D1532" s="259"/>
      <c r="E1532" s="259"/>
      <c r="F1532" s="209">
        <v>0.1</v>
      </c>
      <c r="G1532" s="207">
        <f>G1531*F1532</f>
        <v>24835</v>
      </c>
    </row>
    <row r="1533" spans="1:7" s="183" customFormat="1">
      <c r="A1533" s="208" t="s">
        <v>41</v>
      </c>
      <c r="B1533" s="259" t="s">
        <v>42</v>
      </c>
      <c r="C1533" s="259"/>
      <c r="D1533" s="259"/>
      <c r="E1533" s="259"/>
      <c r="F1533" s="259"/>
      <c r="G1533" s="207">
        <f>G1531+G1532</f>
        <v>273185</v>
      </c>
    </row>
    <row r="1534" spans="1:7" s="183" customFormat="1">
      <c r="A1534" s="210"/>
      <c r="B1534" s="211"/>
      <c r="C1534" s="211"/>
      <c r="D1534" s="211"/>
      <c r="E1534" s="211"/>
      <c r="F1534" s="211"/>
      <c r="G1534" s="212"/>
    </row>
    <row r="1535" spans="1:7" s="183" customFormat="1">
      <c r="A1535" s="187" t="s">
        <v>752</v>
      </c>
      <c r="B1535" s="211"/>
      <c r="C1535" s="211"/>
      <c r="D1535" s="211"/>
      <c r="E1535" s="211"/>
      <c r="F1535" s="211"/>
      <c r="G1535" s="212"/>
    </row>
    <row r="1536" spans="1:7" s="183" customFormat="1" ht="30">
      <c r="A1536" s="193" t="s">
        <v>0</v>
      </c>
      <c r="B1536" s="193" t="s">
        <v>1</v>
      </c>
      <c r="C1536" s="193" t="s">
        <v>207</v>
      </c>
      <c r="D1536" s="193" t="s">
        <v>3</v>
      </c>
      <c r="E1536" s="193" t="s">
        <v>2</v>
      </c>
      <c r="F1536" s="193" t="s">
        <v>417</v>
      </c>
      <c r="G1536" s="193" t="s">
        <v>418</v>
      </c>
    </row>
    <row r="1537" spans="1:7" s="183" customFormat="1">
      <c r="A1537" s="194" t="s">
        <v>4</v>
      </c>
      <c r="B1537" s="195" t="s">
        <v>5</v>
      </c>
      <c r="C1537" s="194"/>
      <c r="D1537" s="196"/>
      <c r="E1537" s="197"/>
      <c r="F1537" s="198"/>
      <c r="G1537" s="198"/>
    </row>
    <row r="1538" spans="1:7" s="183" customFormat="1">
      <c r="A1538" s="194">
        <v>1</v>
      </c>
      <c r="B1538" s="195" t="s">
        <v>48</v>
      </c>
      <c r="C1538" s="194" t="s">
        <v>49</v>
      </c>
      <c r="D1538" s="196" t="s">
        <v>8</v>
      </c>
      <c r="E1538" s="199" t="s">
        <v>60</v>
      </c>
      <c r="F1538" s="200">
        <f>VLOOKUP(B1538,'HSD UPAH,BAHAN,ALAT'!$C$6:F1621,4,FALSE)</f>
        <v>100000</v>
      </c>
      <c r="G1538" s="201">
        <f t="shared" ref="G1538:G1541" si="199">E1538*F1538</f>
        <v>6700</v>
      </c>
    </row>
    <row r="1539" spans="1:7" s="183" customFormat="1">
      <c r="A1539" s="194">
        <v>2</v>
      </c>
      <c r="B1539" s="195" t="s">
        <v>6</v>
      </c>
      <c r="C1539" s="194" t="s">
        <v>7</v>
      </c>
      <c r="D1539" s="196" t="s">
        <v>8</v>
      </c>
      <c r="E1539" s="199" t="s">
        <v>60</v>
      </c>
      <c r="F1539" s="200">
        <f>VLOOKUP(B1539,'HSD UPAH,BAHAN,ALAT'!$C$6:F1622,4,FALSE)</f>
        <v>100000</v>
      </c>
      <c r="G1539" s="201">
        <f t="shared" si="199"/>
        <v>6700</v>
      </c>
    </row>
    <row r="1540" spans="1:7" s="183" customFormat="1">
      <c r="A1540" s="194">
        <v>3</v>
      </c>
      <c r="B1540" s="195" t="s">
        <v>10</v>
      </c>
      <c r="C1540" s="194" t="s">
        <v>11</v>
      </c>
      <c r="D1540" s="196" t="s">
        <v>8</v>
      </c>
      <c r="E1540" s="199" t="s">
        <v>61</v>
      </c>
      <c r="F1540" s="200">
        <f>VLOOKUP(B1540,'HSD UPAH,BAHAN,ALAT'!$C$6:F1623,4,FALSE)</f>
        <v>120000</v>
      </c>
      <c r="G1540" s="201">
        <f t="shared" si="199"/>
        <v>2640</v>
      </c>
    </row>
    <row r="1541" spans="1:7" s="183" customFormat="1">
      <c r="A1541" s="194">
        <v>4</v>
      </c>
      <c r="B1541" s="195" t="s">
        <v>13</v>
      </c>
      <c r="C1541" s="194" t="s">
        <v>14</v>
      </c>
      <c r="D1541" s="196" t="s">
        <v>8</v>
      </c>
      <c r="E1541" s="199" t="s">
        <v>62</v>
      </c>
      <c r="F1541" s="200">
        <f>VLOOKUP(B1541,'HSD UPAH,BAHAN,ALAT'!$C$6:F1624,4,FALSE)</f>
        <v>100000</v>
      </c>
      <c r="G1541" s="201">
        <f t="shared" si="199"/>
        <v>730</v>
      </c>
    </row>
    <row r="1542" spans="1:7" s="183" customFormat="1">
      <c r="A1542" s="260" t="s">
        <v>420</v>
      </c>
      <c r="B1542" s="260"/>
      <c r="C1542" s="260"/>
      <c r="D1542" s="260"/>
      <c r="E1542" s="260"/>
      <c r="F1542" s="260"/>
      <c r="G1542" s="202">
        <f>SUM(G1538:G1541)</f>
        <v>16770</v>
      </c>
    </row>
    <row r="1543" spans="1:7" s="183" customFormat="1">
      <c r="A1543" s="194" t="s">
        <v>16</v>
      </c>
      <c r="B1543" s="195" t="s">
        <v>17</v>
      </c>
      <c r="C1543" s="194"/>
      <c r="D1543" s="196"/>
      <c r="E1543" s="197"/>
      <c r="F1543" s="198"/>
      <c r="G1543" s="198"/>
    </row>
    <row r="1544" spans="1:7" s="183" customFormat="1" ht="30">
      <c r="A1544" s="203" t="s">
        <v>208</v>
      </c>
      <c r="B1544" s="204" t="s">
        <v>751</v>
      </c>
      <c r="C1544" s="194"/>
      <c r="D1544" s="205" t="s">
        <v>86</v>
      </c>
      <c r="E1544" s="206" t="s">
        <v>87</v>
      </c>
      <c r="F1544" s="200">
        <f>VLOOKUP(B1544,'HSD UPAH,BAHAN,ALAT'!$C$6:F1627,4,FALSE)</f>
        <v>10000</v>
      </c>
      <c r="G1544" s="201">
        <f t="shared" ref="G1544:G1552" si="200">E1544*F1544</f>
        <v>10500</v>
      </c>
    </row>
    <row r="1545" spans="1:7" s="183" customFormat="1">
      <c r="A1545" s="194">
        <v>2</v>
      </c>
      <c r="B1545" s="195" t="s">
        <v>18</v>
      </c>
      <c r="C1545" s="194"/>
      <c r="D1545" s="196" t="s">
        <v>19</v>
      </c>
      <c r="E1545" s="199" t="s">
        <v>53</v>
      </c>
      <c r="F1545" s="200">
        <f>VLOOKUP(B1545,'HSD UPAH,BAHAN,ALAT'!$C$6:F1628,4,FALSE)</f>
        <v>10000</v>
      </c>
      <c r="G1545" s="201">
        <f t="shared" si="200"/>
        <v>100</v>
      </c>
    </row>
    <row r="1546" spans="1:7" s="183" customFormat="1">
      <c r="A1546" s="194">
        <v>3</v>
      </c>
      <c r="B1546" s="195" t="s">
        <v>21</v>
      </c>
      <c r="C1546" s="194"/>
      <c r="D1546" s="196"/>
      <c r="E1546" s="197"/>
      <c r="F1546" s="200"/>
      <c r="G1546" s="201">
        <f t="shared" si="200"/>
        <v>0</v>
      </c>
    </row>
    <row r="1547" spans="1:7" s="183" customFormat="1">
      <c r="A1547" s="194" t="s">
        <v>22</v>
      </c>
      <c r="B1547" s="195" t="s">
        <v>54</v>
      </c>
      <c r="C1547" s="194"/>
      <c r="D1547" s="196" t="s">
        <v>24</v>
      </c>
      <c r="E1547" s="199" t="s">
        <v>55</v>
      </c>
      <c r="F1547" s="200">
        <f>VLOOKUP(B1547,'HSD UPAH,BAHAN,ALAT'!$C$6:F1630,4,FALSE)</f>
        <v>10000</v>
      </c>
      <c r="G1547" s="201">
        <f t="shared" si="200"/>
        <v>120000</v>
      </c>
    </row>
    <row r="1548" spans="1:7" s="183" customFormat="1">
      <c r="A1548" s="194" t="s">
        <v>30</v>
      </c>
      <c r="B1548" s="195" t="s">
        <v>56</v>
      </c>
      <c r="C1548" s="194"/>
      <c r="D1548" s="196" t="s">
        <v>24</v>
      </c>
      <c r="E1548" s="199" t="s">
        <v>57</v>
      </c>
      <c r="F1548" s="200">
        <f>VLOOKUP(B1548,'HSD UPAH,BAHAN,ALAT'!$C$6:F1631,4,FALSE)</f>
        <v>10000</v>
      </c>
      <c r="G1548" s="201">
        <f t="shared" si="200"/>
        <v>100000</v>
      </c>
    </row>
    <row r="1549" spans="1:7" s="183" customFormat="1">
      <c r="A1549" s="194">
        <v>4</v>
      </c>
      <c r="B1549" s="195" t="s">
        <v>26</v>
      </c>
      <c r="C1549" s="194"/>
      <c r="D1549" s="196"/>
      <c r="E1549" s="197"/>
      <c r="F1549" s="200"/>
      <c r="G1549" s="201">
        <f t="shared" si="200"/>
        <v>0</v>
      </c>
    </row>
    <row r="1550" spans="1:7" s="183" customFormat="1">
      <c r="A1550" s="194" t="s">
        <v>22</v>
      </c>
      <c r="B1550" s="195" t="s">
        <v>27</v>
      </c>
      <c r="C1550" s="194"/>
      <c r="D1550" s="196" t="s">
        <v>28</v>
      </c>
      <c r="E1550" s="199" t="s">
        <v>63</v>
      </c>
      <c r="F1550" s="200">
        <f>VLOOKUP(B1550,'HSD UPAH,BAHAN,ALAT'!$C$6:F1633,4,FALSE)</f>
        <v>10000</v>
      </c>
      <c r="G1550" s="201">
        <f t="shared" si="200"/>
        <v>730</v>
      </c>
    </row>
    <row r="1551" spans="1:7" s="183" customFormat="1">
      <c r="A1551" s="194" t="s">
        <v>30</v>
      </c>
      <c r="B1551" s="195" t="s">
        <v>31</v>
      </c>
      <c r="C1551" s="194"/>
      <c r="D1551" s="196" t="s">
        <v>28</v>
      </c>
      <c r="E1551" s="199" t="s">
        <v>64</v>
      </c>
      <c r="F1551" s="200">
        <f>VLOOKUP(B1551,'HSD UPAH,BAHAN,ALAT'!$C$6:F1634,4,FALSE)</f>
        <v>10000</v>
      </c>
      <c r="G1551" s="201">
        <f t="shared" si="200"/>
        <v>200</v>
      </c>
    </row>
    <row r="1552" spans="1:7" s="183" customFormat="1">
      <c r="A1552" s="194" t="s">
        <v>33</v>
      </c>
      <c r="B1552" s="195" t="s">
        <v>34</v>
      </c>
      <c r="C1552" s="194"/>
      <c r="D1552" s="196" t="s">
        <v>28</v>
      </c>
      <c r="E1552" s="199" t="s">
        <v>20</v>
      </c>
      <c r="F1552" s="200">
        <f>VLOOKUP(B1552,'HSD UPAH,BAHAN,ALAT'!$C$6:F1635,4,FALSE)</f>
        <v>10000</v>
      </c>
      <c r="G1552" s="201">
        <f t="shared" si="200"/>
        <v>50</v>
      </c>
    </row>
    <row r="1553" spans="1:7" s="183" customFormat="1">
      <c r="A1553" s="260" t="s">
        <v>421</v>
      </c>
      <c r="B1553" s="260"/>
      <c r="C1553" s="260"/>
      <c r="D1553" s="260"/>
      <c r="E1553" s="260"/>
      <c r="F1553" s="260"/>
      <c r="G1553" s="202">
        <f>SUM(G1544:G1552)</f>
        <v>231580</v>
      </c>
    </row>
    <row r="1554" spans="1:7" s="183" customFormat="1">
      <c r="A1554" s="194" t="s">
        <v>36</v>
      </c>
      <c r="B1554" s="195" t="s">
        <v>37</v>
      </c>
      <c r="C1554" s="194"/>
      <c r="D1554" s="196"/>
      <c r="E1554" s="197"/>
      <c r="F1554" s="198"/>
      <c r="G1554" s="198"/>
    </row>
    <row r="1555" spans="1:7" s="183" customFormat="1">
      <c r="A1555" s="258" t="s">
        <v>419</v>
      </c>
      <c r="B1555" s="258"/>
      <c r="C1555" s="258"/>
      <c r="D1555" s="258"/>
      <c r="E1555" s="258"/>
      <c r="F1555" s="258"/>
      <c r="G1555" s="207">
        <f>SUM(G1554)</f>
        <v>0</v>
      </c>
    </row>
    <row r="1556" spans="1:7" s="183" customFormat="1">
      <c r="A1556" s="208" t="s">
        <v>38</v>
      </c>
      <c r="B1556" s="259" t="s">
        <v>39</v>
      </c>
      <c r="C1556" s="259"/>
      <c r="D1556" s="259"/>
      <c r="E1556" s="259"/>
      <c r="F1556" s="259"/>
      <c r="G1556" s="207">
        <f>SUM(G1538:G1555)/2</f>
        <v>248350</v>
      </c>
    </row>
    <row r="1557" spans="1:7" s="183" customFormat="1">
      <c r="A1557" s="208" t="s">
        <v>40</v>
      </c>
      <c r="B1557" s="259" t="s">
        <v>180</v>
      </c>
      <c r="C1557" s="259"/>
      <c r="D1557" s="259"/>
      <c r="E1557" s="259"/>
      <c r="F1557" s="209">
        <v>0.1</v>
      </c>
      <c r="G1557" s="207">
        <f>G1556*F1557</f>
        <v>24835</v>
      </c>
    </row>
    <row r="1558" spans="1:7" s="183" customFormat="1">
      <c r="A1558" s="208" t="s">
        <v>41</v>
      </c>
      <c r="B1558" s="259" t="s">
        <v>42</v>
      </c>
      <c r="C1558" s="259"/>
      <c r="D1558" s="259"/>
      <c r="E1558" s="259"/>
      <c r="F1558" s="259"/>
      <c r="G1558" s="207">
        <f>G1556+G1557</f>
        <v>273185</v>
      </c>
    </row>
    <row r="1559" spans="1:7" s="183" customFormat="1">
      <c r="A1559" s="210"/>
      <c r="B1559" s="211"/>
      <c r="C1559" s="211"/>
      <c r="D1559" s="211"/>
      <c r="E1559" s="211"/>
      <c r="F1559" s="211"/>
      <c r="G1559" s="212"/>
    </row>
    <row r="1560" spans="1:7" s="183" customFormat="1">
      <c r="A1560" s="187" t="s">
        <v>753</v>
      </c>
      <c r="B1560" s="211"/>
      <c r="C1560" s="211"/>
      <c r="D1560" s="211"/>
      <c r="E1560" s="211"/>
      <c r="F1560" s="211"/>
      <c r="G1560" s="212"/>
    </row>
    <row r="1561" spans="1:7" s="183" customFormat="1" ht="30">
      <c r="A1561" s="193" t="s">
        <v>0</v>
      </c>
      <c r="B1561" s="193" t="s">
        <v>1</v>
      </c>
      <c r="C1561" s="193" t="s">
        <v>207</v>
      </c>
      <c r="D1561" s="193" t="s">
        <v>3</v>
      </c>
      <c r="E1561" s="193" t="s">
        <v>2</v>
      </c>
      <c r="F1561" s="193" t="s">
        <v>417</v>
      </c>
      <c r="G1561" s="193" t="s">
        <v>418</v>
      </c>
    </row>
    <row r="1562" spans="1:7" s="183" customFormat="1">
      <c r="A1562" s="194" t="s">
        <v>4</v>
      </c>
      <c r="B1562" s="195" t="s">
        <v>5</v>
      </c>
      <c r="C1562" s="194"/>
      <c r="D1562" s="196"/>
      <c r="E1562" s="197"/>
      <c r="F1562" s="198"/>
      <c r="G1562" s="198"/>
    </row>
    <row r="1563" spans="1:7" s="183" customFormat="1">
      <c r="A1563" s="194">
        <v>1</v>
      </c>
      <c r="B1563" s="195" t="s">
        <v>48</v>
      </c>
      <c r="C1563" s="194" t="s">
        <v>49</v>
      </c>
      <c r="D1563" s="196" t="s">
        <v>8</v>
      </c>
      <c r="E1563" s="199" t="s">
        <v>60</v>
      </c>
      <c r="F1563" s="200">
        <f>VLOOKUP(B1563,'HSD UPAH,BAHAN,ALAT'!$C$6:F1645,4,FALSE)</f>
        <v>100000</v>
      </c>
      <c r="G1563" s="201">
        <f t="shared" ref="G1563:G1566" si="201">E1563*F1563</f>
        <v>6700</v>
      </c>
    </row>
    <row r="1564" spans="1:7" s="183" customFormat="1">
      <c r="A1564" s="194">
        <v>2</v>
      </c>
      <c r="B1564" s="195" t="s">
        <v>6</v>
      </c>
      <c r="C1564" s="194" t="s">
        <v>7</v>
      </c>
      <c r="D1564" s="196" t="s">
        <v>8</v>
      </c>
      <c r="E1564" s="199" t="s">
        <v>60</v>
      </c>
      <c r="F1564" s="200">
        <f>VLOOKUP(B1564,'HSD UPAH,BAHAN,ALAT'!$C$6:F1646,4,FALSE)</f>
        <v>100000</v>
      </c>
      <c r="G1564" s="201">
        <f t="shared" si="201"/>
        <v>6700</v>
      </c>
    </row>
    <row r="1565" spans="1:7" s="183" customFormat="1">
      <c r="A1565" s="194">
        <v>3</v>
      </c>
      <c r="B1565" s="195" t="s">
        <v>10</v>
      </c>
      <c r="C1565" s="194" t="s">
        <v>11</v>
      </c>
      <c r="D1565" s="196" t="s">
        <v>8</v>
      </c>
      <c r="E1565" s="199" t="s">
        <v>61</v>
      </c>
      <c r="F1565" s="200">
        <f>VLOOKUP(B1565,'HSD UPAH,BAHAN,ALAT'!$C$6:F1647,4,FALSE)</f>
        <v>120000</v>
      </c>
      <c r="G1565" s="201">
        <f t="shared" si="201"/>
        <v>2640</v>
      </c>
    </row>
    <row r="1566" spans="1:7" s="183" customFormat="1">
      <c r="A1566" s="194">
        <v>4</v>
      </c>
      <c r="B1566" s="195" t="s">
        <v>13</v>
      </c>
      <c r="C1566" s="194" t="s">
        <v>14</v>
      </c>
      <c r="D1566" s="196" t="s">
        <v>8</v>
      </c>
      <c r="E1566" s="199" t="s">
        <v>62</v>
      </c>
      <c r="F1566" s="200">
        <f>VLOOKUP(B1566,'HSD UPAH,BAHAN,ALAT'!$C$6:F1648,4,FALSE)</f>
        <v>100000</v>
      </c>
      <c r="G1566" s="201">
        <f t="shared" si="201"/>
        <v>730</v>
      </c>
    </row>
    <row r="1567" spans="1:7" s="183" customFormat="1">
      <c r="A1567" s="260" t="s">
        <v>420</v>
      </c>
      <c r="B1567" s="260"/>
      <c r="C1567" s="260"/>
      <c r="D1567" s="260"/>
      <c r="E1567" s="260"/>
      <c r="F1567" s="260"/>
      <c r="G1567" s="202">
        <f>SUM(G1563:G1566)</f>
        <v>16770</v>
      </c>
    </row>
    <row r="1568" spans="1:7" s="183" customFormat="1">
      <c r="A1568" s="194" t="s">
        <v>16</v>
      </c>
      <c r="B1568" s="195" t="s">
        <v>17</v>
      </c>
      <c r="C1568" s="194"/>
      <c r="D1568" s="196"/>
      <c r="E1568" s="197"/>
      <c r="F1568" s="198"/>
      <c r="G1568" s="198"/>
    </row>
    <row r="1569" spans="1:7" s="183" customFormat="1" ht="30">
      <c r="A1569" s="203" t="s">
        <v>208</v>
      </c>
      <c r="B1569" s="204" t="s">
        <v>754</v>
      </c>
      <c r="C1569" s="194"/>
      <c r="D1569" s="205" t="s">
        <v>86</v>
      </c>
      <c r="E1569" s="206" t="s">
        <v>87</v>
      </c>
      <c r="F1569" s="200">
        <f>VLOOKUP(B1569,'HSD UPAH,BAHAN,ALAT'!$C$6:F1651,4,FALSE)</f>
        <v>10000</v>
      </c>
      <c r="G1569" s="201">
        <f t="shared" ref="G1569:G1577" si="202">E1569*F1569</f>
        <v>10500</v>
      </c>
    </row>
    <row r="1570" spans="1:7" s="183" customFormat="1">
      <c r="A1570" s="194">
        <v>2</v>
      </c>
      <c r="B1570" s="195" t="s">
        <v>18</v>
      </c>
      <c r="C1570" s="194"/>
      <c r="D1570" s="196" t="s">
        <v>19</v>
      </c>
      <c r="E1570" s="199" t="s">
        <v>53</v>
      </c>
      <c r="F1570" s="200">
        <f>VLOOKUP(B1570,'HSD UPAH,BAHAN,ALAT'!$C$6:F1652,4,FALSE)</f>
        <v>10000</v>
      </c>
      <c r="G1570" s="201">
        <f t="shared" si="202"/>
        <v>100</v>
      </c>
    </row>
    <row r="1571" spans="1:7" s="183" customFormat="1">
      <c r="A1571" s="194">
        <v>3</v>
      </c>
      <c r="B1571" s="195" t="s">
        <v>21</v>
      </c>
      <c r="C1571" s="194"/>
      <c r="D1571" s="196"/>
      <c r="E1571" s="197"/>
      <c r="F1571" s="200"/>
      <c r="G1571" s="201">
        <f t="shared" si="202"/>
        <v>0</v>
      </c>
    </row>
    <row r="1572" spans="1:7" s="183" customFormat="1">
      <c r="A1572" s="194" t="s">
        <v>22</v>
      </c>
      <c r="B1572" s="195" t="s">
        <v>54</v>
      </c>
      <c r="C1572" s="194"/>
      <c r="D1572" s="196" t="s">
        <v>24</v>
      </c>
      <c r="E1572" s="199" t="s">
        <v>55</v>
      </c>
      <c r="F1572" s="200">
        <f>VLOOKUP(B1572,'HSD UPAH,BAHAN,ALAT'!$C$6:F1654,4,FALSE)</f>
        <v>10000</v>
      </c>
      <c r="G1572" s="201">
        <f t="shared" si="202"/>
        <v>120000</v>
      </c>
    </row>
    <row r="1573" spans="1:7" s="183" customFormat="1">
      <c r="A1573" s="194" t="s">
        <v>30</v>
      </c>
      <c r="B1573" s="195" t="s">
        <v>56</v>
      </c>
      <c r="C1573" s="194"/>
      <c r="D1573" s="196" t="s">
        <v>24</v>
      </c>
      <c r="E1573" s="199" t="s">
        <v>57</v>
      </c>
      <c r="F1573" s="200">
        <f>VLOOKUP(B1573,'HSD UPAH,BAHAN,ALAT'!$C$6:F1655,4,FALSE)</f>
        <v>10000</v>
      </c>
      <c r="G1573" s="201">
        <f t="shared" si="202"/>
        <v>100000</v>
      </c>
    </row>
    <row r="1574" spans="1:7" s="183" customFormat="1">
      <c r="A1574" s="194">
        <v>4</v>
      </c>
      <c r="B1574" s="195" t="s">
        <v>26</v>
      </c>
      <c r="C1574" s="194"/>
      <c r="D1574" s="196"/>
      <c r="E1574" s="197"/>
      <c r="F1574" s="200"/>
      <c r="G1574" s="201">
        <f t="shared" si="202"/>
        <v>0</v>
      </c>
    </row>
    <row r="1575" spans="1:7" s="183" customFormat="1">
      <c r="A1575" s="194" t="s">
        <v>22</v>
      </c>
      <c r="B1575" s="195" t="s">
        <v>27</v>
      </c>
      <c r="C1575" s="194"/>
      <c r="D1575" s="196" t="s">
        <v>28</v>
      </c>
      <c r="E1575" s="199" t="s">
        <v>63</v>
      </c>
      <c r="F1575" s="200">
        <f>VLOOKUP(B1575,'HSD UPAH,BAHAN,ALAT'!$C$6:F1657,4,FALSE)</f>
        <v>10000</v>
      </c>
      <c r="G1575" s="201">
        <f t="shared" si="202"/>
        <v>730</v>
      </c>
    </row>
    <row r="1576" spans="1:7" s="183" customFormat="1">
      <c r="A1576" s="194" t="s">
        <v>30</v>
      </c>
      <c r="B1576" s="195" t="s">
        <v>31</v>
      </c>
      <c r="C1576" s="194"/>
      <c r="D1576" s="196" t="s">
        <v>28</v>
      </c>
      <c r="E1576" s="199" t="s">
        <v>64</v>
      </c>
      <c r="F1576" s="200">
        <f>VLOOKUP(B1576,'HSD UPAH,BAHAN,ALAT'!$C$6:F1658,4,FALSE)</f>
        <v>10000</v>
      </c>
      <c r="G1576" s="201">
        <f t="shared" si="202"/>
        <v>200</v>
      </c>
    </row>
    <row r="1577" spans="1:7" s="183" customFormat="1">
      <c r="A1577" s="194" t="s">
        <v>33</v>
      </c>
      <c r="B1577" s="195" t="s">
        <v>34</v>
      </c>
      <c r="C1577" s="194"/>
      <c r="D1577" s="196" t="s">
        <v>28</v>
      </c>
      <c r="E1577" s="199" t="s">
        <v>20</v>
      </c>
      <c r="F1577" s="200">
        <f>VLOOKUP(B1577,'HSD UPAH,BAHAN,ALAT'!$C$6:F1659,4,FALSE)</f>
        <v>10000</v>
      </c>
      <c r="G1577" s="201">
        <f t="shared" si="202"/>
        <v>50</v>
      </c>
    </row>
    <row r="1578" spans="1:7" s="183" customFormat="1">
      <c r="A1578" s="260" t="s">
        <v>421</v>
      </c>
      <c r="B1578" s="260"/>
      <c r="C1578" s="260"/>
      <c r="D1578" s="260"/>
      <c r="E1578" s="260"/>
      <c r="F1578" s="260"/>
      <c r="G1578" s="202">
        <f>SUM(G1569:G1577)</f>
        <v>231580</v>
      </c>
    </row>
    <row r="1579" spans="1:7" s="183" customFormat="1">
      <c r="A1579" s="194" t="s">
        <v>36</v>
      </c>
      <c r="B1579" s="195" t="s">
        <v>37</v>
      </c>
      <c r="C1579" s="194"/>
      <c r="D1579" s="196"/>
      <c r="E1579" s="197"/>
      <c r="F1579" s="198"/>
      <c r="G1579" s="198"/>
    </row>
    <row r="1580" spans="1:7" s="183" customFormat="1">
      <c r="A1580" s="258" t="s">
        <v>419</v>
      </c>
      <c r="B1580" s="258"/>
      <c r="C1580" s="258"/>
      <c r="D1580" s="258"/>
      <c r="E1580" s="258"/>
      <c r="F1580" s="258"/>
      <c r="G1580" s="207">
        <f>SUM(G1579)</f>
        <v>0</v>
      </c>
    </row>
    <row r="1581" spans="1:7" s="183" customFormat="1">
      <c r="A1581" s="208" t="s">
        <v>38</v>
      </c>
      <c r="B1581" s="259" t="s">
        <v>39</v>
      </c>
      <c r="C1581" s="259"/>
      <c r="D1581" s="259"/>
      <c r="E1581" s="259"/>
      <c r="F1581" s="259"/>
      <c r="G1581" s="207">
        <f>SUM(G1563:G1580)/2</f>
        <v>248350</v>
      </c>
    </row>
    <row r="1582" spans="1:7" s="183" customFormat="1">
      <c r="A1582" s="208" t="s">
        <v>40</v>
      </c>
      <c r="B1582" s="259" t="s">
        <v>180</v>
      </c>
      <c r="C1582" s="259"/>
      <c r="D1582" s="259"/>
      <c r="E1582" s="259"/>
      <c r="F1582" s="209">
        <v>0.1</v>
      </c>
      <c r="G1582" s="207">
        <f>G1581*F1582</f>
        <v>24835</v>
      </c>
    </row>
    <row r="1583" spans="1:7" s="183" customFormat="1">
      <c r="A1583" s="208" t="s">
        <v>41</v>
      </c>
      <c r="B1583" s="259" t="s">
        <v>42</v>
      </c>
      <c r="C1583" s="259"/>
      <c r="D1583" s="259"/>
      <c r="E1583" s="259"/>
      <c r="F1583" s="259"/>
      <c r="G1583" s="207">
        <f>G1581+G1582</f>
        <v>273185</v>
      </c>
    </row>
    <row r="1584" spans="1:7" s="183" customFormat="1">
      <c r="A1584" s="210"/>
      <c r="B1584" s="211"/>
      <c r="C1584" s="211"/>
      <c r="D1584" s="211"/>
      <c r="E1584" s="211"/>
      <c r="F1584" s="211"/>
      <c r="G1584" s="212"/>
    </row>
    <row r="1585" spans="1:7" s="183" customFormat="1">
      <c r="A1585" s="187" t="s">
        <v>755</v>
      </c>
      <c r="B1585" s="211"/>
      <c r="C1585" s="211"/>
      <c r="D1585" s="211"/>
      <c r="E1585" s="211"/>
      <c r="F1585" s="211"/>
      <c r="G1585" s="212"/>
    </row>
    <row r="1586" spans="1:7" s="183" customFormat="1" ht="30">
      <c r="A1586" s="193" t="s">
        <v>0</v>
      </c>
      <c r="B1586" s="193" t="s">
        <v>1</v>
      </c>
      <c r="C1586" s="193" t="s">
        <v>207</v>
      </c>
      <c r="D1586" s="193" t="s">
        <v>3</v>
      </c>
      <c r="E1586" s="193" t="s">
        <v>2</v>
      </c>
      <c r="F1586" s="193" t="s">
        <v>417</v>
      </c>
      <c r="G1586" s="193" t="s">
        <v>418</v>
      </c>
    </row>
    <row r="1587" spans="1:7" s="183" customFormat="1">
      <c r="A1587" s="194" t="s">
        <v>4</v>
      </c>
      <c r="B1587" s="195" t="s">
        <v>5</v>
      </c>
      <c r="C1587" s="194"/>
      <c r="D1587" s="196"/>
      <c r="E1587" s="197"/>
      <c r="F1587" s="198"/>
      <c r="G1587" s="198"/>
    </row>
    <row r="1588" spans="1:7" s="183" customFormat="1">
      <c r="A1588" s="194">
        <v>1</v>
      </c>
      <c r="B1588" s="195" t="s">
        <v>48</v>
      </c>
      <c r="C1588" s="194" t="s">
        <v>49</v>
      </c>
      <c r="D1588" s="196" t="s">
        <v>8</v>
      </c>
      <c r="E1588" s="199" t="s">
        <v>60</v>
      </c>
      <c r="F1588" s="200">
        <f>VLOOKUP(B1588,'HSD UPAH,BAHAN,ALAT'!$C$6:F1669,4,FALSE)</f>
        <v>100000</v>
      </c>
      <c r="G1588" s="201">
        <f t="shared" ref="G1588:G1591" si="203">E1588*F1588</f>
        <v>6700</v>
      </c>
    </row>
    <row r="1589" spans="1:7" s="183" customFormat="1">
      <c r="A1589" s="194">
        <v>2</v>
      </c>
      <c r="B1589" s="195" t="s">
        <v>6</v>
      </c>
      <c r="C1589" s="194" t="s">
        <v>7</v>
      </c>
      <c r="D1589" s="196" t="s">
        <v>8</v>
      </c>
      <c r="E1589" s="199" t="s">
        <v>60</v>
      </c>
      <c r="F1589" s="200">
        <f>VLOOKUP(B1589,'HSD UPAH,BAHAN,ALAT'!$C$6:F1670,4,FALSE)</f>
        <v>100000</v>
      </c>
      <c r="G1589" s="201">
        <f t="shared" si="203"/>
        <v>6700</v>
      </c>
    </row>
    <row r="1590" spans="1:7" s="183" customFormat="1">
      <c r="A1590" s="194">
        <v>3</v>
      </c>
      <c r="B1590" s="195" t="s">
        <v>10</v>
      </c>
      <c r="C1590" s="194" t="s">
        <v>11</v>
      </c>
      <c r="D1590" s="196" t="s">
        <v>8</v>
      </c>
      <c r="E1590" s="199" t="s">
        <v>61</v>
      </c>
      <c r="F1590" s="200">
        <f>VLOOKUP(B1590,'HSD UPAH,BAHAN,ALAT'!$C$6:F1671,4,FALSE)</f>
        <v>120000</v>
      </c>
      <c r="G1590" s="201">
        <f t="shared" si="203"/>
        <v>2640</v>
      </c>
    </row>
    <row r="1591" spans="1:7" s="183" customFormat="1">
      <c r="A1591" s="194">
        <v>4</v>
      </c>
      <c r="B1591" s="195" t="s">
        <v>13</v>
      </c>
      <c r="C1591" s="194" t="s">
        <v>14</v>
      </c>
      <c r="D1591" s="196" t="s">
        <v>8</v>
      </c>
      <c r="E1591" s="199" t="s">
        <v>62</v>
      </c>
      <c r="F1591" s="200">
        <f>VLOOKUP(B1591,'HSD UPAH,BAHAN,ALAT'!$C$6:F1672,4,FALSE)</f>
        <v>100000</v>
      </c>
      <c r="G1591" s="201">
        <f t="shared" si="203"/>
        <v>730</v>
      </c>
    </row>
    <row r="1592" spans="1:7" s="183" customFormat="1">
      <c r="A1592" s="260" t="s">
        <v>420</v>
      </c>
      <c r="B1592" s="260"/>
      <c r="C1592" s="260"/>
      <c r="D1592" s="260"/>
      <c r="E1592" s="260"/>
      <c r="F1592" s="260"/>
      <c r="G1592" s="202">
        <f>SUM(G1588:G1591)</f>
        <v>16770</v>
      </c>
    </row>
    <row r="1593" spans="1:7" s="183" customFormat="1">
      <c r="A1593" s="194" t="s">
        <v>16</v>
      </c>
      <c r="B1593" s="195" t="s">
        <v>17</v>
      </c>
      <c r="C1593" s="194"/>
      <c r="D1593" s="196"/>
      <c r="E1593" s="197"/>
      <c r="F1593" s="198"/>
      <c r="G1593" s="198"/>
    </row>
    <row r="1594" spans="1:7" s="183" customFormat="1" ht="45">
      <c r="A1594" s="203" t="s">
        <v>208</v>
      </c>
      <c r="B1594" s="204" t="s">
        <v>756</v>
      </c>
      <c r="C1594" s="194"/>
      <c r="D1594" s="205" t="s">
        <v>86</v>
      </c>
      <c r="E1594" s="206" t="s">
        <v>87</v>
      </c>
      <c r="F1594" s="200">
        <f>VLOOKUP(B1594,'HSD UPAH,BAHAN,ALAT'!$C$6:F1675,4,FALSE)</f>
        <v>10000</v>
      </c>
      <c r="G1594" s="201">
        <f t="shared" ref="G1594:G1602" si="204">E1594*F1594</f>
        <v>10500</v>
      </c>
    </row>
    <row r="1595" spans="1:7" s="183" customFormat="1">
      <c r="A1595" s="194">
        <v>2</v>
      </c>
      <c r="B1595" s="195" t="s">
        <v>18</v>
      </c>
      <c r="C1595" s="194"/>
      <c r="D1595" s="196" t="s">
        <v>19</v>
      </c>
      <c r="E1595" s="199" t="s">
        <v>53</v>
      </c>
      <c r="F1595" s="200">
        <f>VLOOKUP(B1595,'HSD UPAH,BAHAN,ALAT'!$C$6:F1676,4,FALSE)</f>
        <v>10000</v>
      </c>
      <c r="G1595" s="201">
        <f t="shared" si="204"/>
        <v>100</v>
      </c>
    </row>
    <row r="1596" spans="1:7" s="183" customFormat="1">
      <c r="A1596" s="194">
        <v>3</v>
      </c>
      <c r="B1596" s="195" t="s">
        <v>21</v>
      </c>
      <c r="C1596" s="194"/>
      <c r="D1596" s="196"/>
      <c r="E1596" s="197"/>
      <c r="F1596" s="200"/>
      <c r="G1596" s="201">
        <f t="shared" si="204"/>
        <v>0</v>
      </c>
    </row>
    <row r="1597" spans="1:7" s="183" customFormat="1">
      <c r="A1597" s="194" t="s">
        <v>22</v>
      </c>
      <c r="B1597" s="195" t="s">
        <v>54</v>
      </c>
      <c r="C1597" s="194"/>
      <c r="D1597" s="196" t="s">
        <v>24</v>
      </c>
      <c r="E1597" s="199" t="s">
        <v>55</v>
      </c>
      <c r="F1597" s="200">
        <f>VLOOKUP(B1597,'HSD UPAH,BAHAN,ALAT'!$C$6:F1678,4,FALSE)</f>
        <v>10000</v>
      </c>
      <c r="G1597" s="201">
        <f t="shared" si="204"/>
        <v>120000</v>
      </c>
    </row>
    <row r="1598" spans="1:7" s="183" customFormat="1">
      <c r="A1598" s="194" t="s">
        <v>30</v>
      </c>
      <c r="B1598" s="195" t="s">
        <v>56</v>
      </c>
      <c r="C1598" s="194"/>
      <c r="D1598" s="196" t="s">
        <v>24</v>
      </c>
      <c r="E1598" s="199" t="s">
        <v>57</v>
      </c>
      <c r="F1598" s="200">
        <f>VLOOKUP(B1598,'HSD UPAH,BAHAN,ALAT'!$C$6:F1679,4,FALSE)</f>
        <v>10000</v>
      </c>
      <c r="G1598" s="201">
        <f t="shared" si="204"/>
        <v>100000</v>
      </c>
    </row>
    <row r="1599" spans="1:7" s="183" customFormat="1">
      <c r="A1599" s="194">
        <v>4</v>
      </c>
      <c r="B1599" s="195" t="s">
        <v>26</v>
      </c>
      <c r="C1599" s="194"/>
      <c r="D1599" s="196"/>
      <c r="E1599" s="197"/>
      <c r="F1599" s="200"/>
      <c r="G1599" s="201">
        <f t="shared" si="204"/>
        <v>0</v>
      </c>
    </row>
    <row r="1600" spans="1:7" s="183" customFormat="1">
      <c r="A1600" s="194" t="s">
        <v>22</v>
      </c>
      <c r="B1600" s="195" t="s">
        <v>27</v>
      </c>
      <c r="C1600" s="194"/>
      <c r="D1600" s="196" t="s">
        <v>28</v>
      </c>
      <c r="E1600" s="199" t="s">
        <v>63</v>
      </c>
      <c r="F1600" s="200">
        <f>VLOOKUP(B1600,'HSD UPAH,BAHAN,ALAT'!$C$6:F1681,4,FALSE)</f>
        <v>10000</v>
      </c>
      <c r="G1600" s="201">
        <f t="shared" si="204"/>
        <v>730</v>
      </c>
    </row>
    <row r="1601" spans="1:7" s="183" customFormat="1">
      <c r="A1601" s="194" t="s">
        <v>30</v>
      </c>
      <c r="B1601" s="195" t="s">
        <v>31</v>
      </c>
      <c r="C1601" s="194"/>
      <c r="D1601" s="196" t="s">
        <v>28</v>
      </c>
      <c r="E1601" s="199" t="s">
        <v>64</v>
      </c>
      <c r="F1601" s="200">
        <f>VLOOKUP(B1601,'HSD UPAH,BAHAN,ALAT'!$C$6:F1682,4,FALSE)</f>
        <v>10000</v>
      </c>
      <c r="G1601" s="201">
        <f t="shared" si="204"/>
        <v>200</v>
      </c>
    </row>
    <row r="1602" spans="1:7" s="183" customFormat="1">
      <c r="A1602" s="194" t="s">
        <v>33</v>
      </c>
      <c r="B1602" s="195" t="s">
        <v>34</v>
      </c>
      <c r="C1602" s="194"/>
      <c r="D1602" s="196" t="s">
        <v>28</v>
      </c>
      <c r="E1602" s="199" t="s">
        <v>20</v>
      </c>
      <c r="F1602" s="200">
        <f>VLOOKUP(B1602,'HSD UPAH,BAHAN,ALAT'!$C$6:F1683,4,FALSE)</f>
        <v>10000</v>
      </c>
      <c r="G1602" s="201">
        <f t="shared" si="204"/>
        <v>50</v>
      </c>
    </row>
    <row r="1603" spans="1:7" s="183" customFormat="1">
      <c r="A1603" s="260" t="s">
        <v>421</v>
      </c>
      <c r="B1603" s="260"/>
      <c r="C1603" s="260"/>
      <c r="D1603" s="260"/>
      <c r="E1603" s="260"/>
      <c r="F1603" s="260"/>
      <c r="G1603" s="202">
        <f>SUM(G1594:G1602)</f>
        <v>231580</v>
      </c>
    </row>
    <row r="1604" spans="1:7" s="183" customFormat="1">
      <c r="A1604" s="194" t="s">
        <v>36</v>
      </c>
      <c r="B1604" s="195" t="s">
        <v>37</v>
      </c>
      <c r="C1604" s="194"/>
      <c r="D1604" s="196"/>
      <c r="E1604" s="197"/>
      <c r="F1604" s="198"/>
      <c r="G1604" s="198"/>
    </row>
    <row r="1605" spans="1:7" s="183" customFormat="1">
      <c r="A1605" s="258" t="s">
        <v>419</v>
      </c>
      <c r="B1605" s="258"/>
      <c r="C1605" s="258"/>
      <c r="D1605" s="258"/>
      <c r="E1605" s="258"/>
      <c r="F1605" s="258"/>
      <c r="G1605" s="207">
        <f>SUM(G1604)</f>
        <v>0</v>
      </c>
    </row>
    <row r="1606" spans="1:7" s="183" customFormat="1">
      <c r="A1606" s="208" t="s">
        <v>38</v>
      </c>
      <c r="B1606" s="259" t="s">
        <v>39</v>
      </c>
      <c r="C1606" s="259"/>
      <c r="D1606" s="259"/>
      <c r="E1606" s="259"/>
      <c r="F1606" s="259"/>
      <c r="G1606" s="207">
        <f>SUM(G1588:G1605)/2</f>
        <v>248350</v>
      </c>
    </row>
    <row r="1607" spans="1:7" s="183" customFormat="1">
      <c r="A1607" s="208" t="s">
        <v>40</v>
      </c>
      <c r="B1607" s="259" t="s">
        <v>180</v>
      </c>
      <c r="C1607" s="259"/>
      <c r="D1607" s="259"/>
      <c r="E1607" s="259"/>
      <c r="F1607" s="209">
        <v>0.1</v>
      </c>
      <c r="G1607" s="207">
        <f>G1606*F1607</f>
        <v>24835</v>
      </c>
    </row>
    <row r="1608" spans="1:7" s="183" customFormat="1">
      <c r="A1608" s="208" t="s">
        <v>41</v>
      </c>
      <c r="B1608" s="259" t="s">
        <v>42</v>
      </c>
      <c r="C1608" s="259"/>
      <c r="D1608" s="259"/>
      <c r="E1608" s="259"/>
      <c r="F1608" s="259"/>
      <c r="G1608" s="207">
        <f>G1606+G1607</f>
        <v>273185</v>
      </c>
    </row>
    <row r="1609" spans="1:7" s="183" customFormat="1">
      <c r="A1609" s="210"/>
      <c r="B1609" s="211"/>
      <c r="C1609" s="211"/>
      <c r="D1609" s="211"/>
      <c r="E1609" s="211"/>
      <c r="F1609" s="211"/>
      <c r="G1609" s="212"/>
    </row>
    <row r="1610" spans="1:7">
      <c r="A1610" s="4" t="s">
        <v>459</v>
      </c>
      <c r="B1610" s="91"/>
      <c r="C1610" s="91"/>
      <c r="D1610" s="91"/>
      <c r="E1610" s="91"/>
      <c r="F1610" s="91"/>
      <c r="G1610" s="92"/>
    </row>
    <row r="1611" spans="1:7">
      <c r="A1611" s="4" t="s">
        <v>550</v>
      </c>
      <c r="B1611" s="91"/>
      <c r="C1611" s="91"/>
      <c r="D1611" s="91"/>
      <c r="E1611" s="91"/>
      <c r="F1611" s="91"/>
      <c r="G1611" s="92"/>
    </row>
    <row r="1612" spans="1:7" ht="30">
      <c r="A1612" s="79" t="s">
        <v>0</v>
      </c>
      <c r="B1612" s="79" t="s">
        <v>1</v>
      </c>
      <c r="C1612" s="79" t="s">
        <v>207</v>
      </c>
      <c r="D1612" s="79" t="s">
        <v>3</v>
      </c>
      <c r="E1612" s="79" t="s">
        <v>2</v>
      </c>
      <c r="F1612" s="79" t="s">
        <v>417</v>
      </c>
      <c r="G1612" s="79" t="s">
        <v>418</v>
      </c>
    </row>
    <row r="1613" spans="1:7">
      <c r="A1613" s="8" t="s">
        <v>4</v>
      </c>
      <c r="B1613" s="1" t="s">
        <v>5</v>
      </c>
      <c r="C1613" s="8"/>
      <c r="D1613" s="9"/>
      <c r="E1613" s="10"/>
      <c r="F1613" s="3"/>
      <c r="G1613" s="2"/>
    </row>
    <row r="1614" spans="1:7">
      <c r="A1614" s="8">
        <v>1</v>
      </c>
      <c r="B1614" s="1" t="s">
        <v>48</v>
      </c>
      <c r="C1614" s="8" t="s">
        <v>49</v>
      </c>
      <c r="D1614" s="9" t="s">
        <v>8</v>
      </c>
      <c r="E1614" s="10" t="s">
        <v>50</v>
      </c>
      <c r="F1614" s="83">
        <f>VLOOKUP(B1614,'HSD UPAH,BAHAN,ALAT'!$C$6:F1595,4,FALSE)</f>
        <v>100000</v>
      </c>
      <c r="G1614" s="84">
        <f t="shared" ref="G1614:G1617" si="205">E1614*F1614</f>
        <v>4000</v>
      </c>
    </row>
    <row r="1615" spans="1:7">
      <c r="A1615" s="8">
        <v>2</v>
      </c>
      <c r="B1615" s="1" t="s">
        <v>6</v>
      </c>
      <c r="C1615" s="8" t="s">
        <v>7</v>
      </c>
      <c r="D1615" s="9" t="s">
        <v>8</v>
      </c>
      <c r="E1615" s="10" t="s">
        <v>50</v>
      </c>
      <c r="F1615" s="83">
        <f>VLOOKUP(B1615,'HSD UPAH,BAHAN,ALAT'!$C$6:F1596,4,FALSE)</f>
        <v>100000</v>
      </c>
      <c r="G1615" s="84">
        <f t="shared" si="205"/>
        <v>4000</v>
      </c>
    </row>
    <row r="1616" spans="1:7">
      <c r="A1616" s="8">
        <v>3</v>
      </c>
      <c r="B1616" s="1" t="s">
        <v>10</v>
      </c>
      <c r="C1616" s="8" t="s">
        <v>11</v>
      </c>
      <c r="D1616" s="9" t="s">
        <v>8</v>
      </c>
      <c r="E1616" s="10" t="s">
        <v>65</v>
      </c>
      <c r="F1616" s="83">
        <f>VLOOKUP(B1616,'HSD UPAH,BAHAN,ALAT'!$C$6:F1597,4,FALSE)</f>
        <v>120000</v>
      </c>
      <c r="G1616" s="84">
        <f t="shared" si="205"/>
        <v>2400</v>
      </c>
    </row>
    <row r="1617" spans="1:7">
      <c r="A1617" s="8">
        <v>4</v>
      </c>
      <c r="B1617" s="1" t="s">
        <v>13</v>
      </c>
      <c r="C1617" s="8" t="s">
        <v>14</v>
      </c>
      <c r="D1617" s="9" t="s">
        <v>8</v>
      </c>
      <c r="E1617" s="10" t="s">
        <v>44</v>
      </c>
      <c r="F1617" s="83">
        <f>VLOOKUP(B1617,'HSD UPAH,BAHAN,ALAT'!$C$6:F1598,4,FALSE)</f>
        <v>100000</v>
      </c>
      <c r="G1617" s="84">
        <f t="shared" si="205"/>
        <v>670</v>
      </c>
    </row>
    <row r="1618" spans="1:7">
      <c r="A1618" s="261" t="s">
        <v>420</v>
      </c>
      <c r="B1618" s="261"/>
      <c r="C1618" s="261"/>
      <c r="D1618" s="261"/>
      <c r="E1618" s="261"/>
      <c r="F1618" s="261"/>
      <c r="G1618" s="85">
        <f>SUM(G1614:G1617)</f>
        <v>11070</v>
      </c>
    </row>
    <row r="1619" spans="1:7">
      <c r="A1619" s="8" t="s">
        <v>16</v>
      </c>
      <c r="B1619" s="1" t="s">
        <v>17</v>
      </c>
      <c r="C1619" s="8"/>
      <c r="D1619" s="9"/>
      <c r="E1619" s="10"/>
      <c r="F1619" s="3"/>
      <c r="G1619" s="2"/>
    </row>
    <row r="1620" spans="1:7" ht="30">
      <c r="A1620" s="17" t="s">
        <v>208</v>
      </c>
      <c r="B1620" s="5" t="s">
        <v>285</v>
      </c>
      <c r="C1620" s="17"/>
      <c r="D1620" s="12" t="s">
        <v>86</v>
      </c>
      <c r="E1620" s="7" t="s">
        <v>87</v>
      </c>
      <c r="F1620" s="83">
        <f>VLOOKUP(B1620,'HSD UPAH,BAHAN,ALAT'!$C$6:F1601,4,FALSE)</f>
        <v>10000</v>
      </c>
      <c r="G1620" s="84">
        <f t="shared" ref="G1620:G1628" si="206">E1620*F1620</f>
        <v>10500</v>
      </c>
    </row>
    <row r="1621" spans="1:7">
      <c r="A1621" s="8">
        <v>2</v>
      </c>
      <c r="B1621" s="1" t="s">
        <v>18</v>
      </c>
      <c r="C1621" s="8"/>
      <c r="D1621" s="9" t="s">
        <v>19</v>
      </c>
      <c r="E1621" s="10" t="s">
        <v>64</v>
      </c>
      <c r="F1621" s="83">
        <f>VLOOKUP(B1621,'HSD UPAH,BAHAN,ALAT'!$C$6:F1602,4,FALSE)</f>
        <v>10000</v>
      </c>
      <c r="G1621" s="84">
        <f t="shared" si="206"/>
        <v>200</v>
      </c>
    </row>
    <row r="1622" spans="1:7">
      <c r="A1622" s="8">
        <v>3</v>
      </c>
      <c r="B1622" s="1" t="s">
        <v>21</v>
      </c>
      <c r="C1622" s="8"/>
      <c r="D1622" s="9"/>
      <c r="E1622" s="10"/>
      <c r="F1622" s="83"/>
      <c r="G1622" s="84">
        <f t="shared" si="206"/>
        <v>0</v>
      </c>
    </row>
    <row r="1623" spans="1:7">
      <c r="A1623" s="8" t="s">
        <v>22</v>
      </c>
      <c r="B1623" s="1" t="s">
        <v>66</v>
      </c>
      <c r="C1623" s="8"/>
      <c r="D1623" s="9" t="s">
        <v>24</v>
      </c>
      <c r="E1623" s="10" t="s">
        <v>67</v>
      </c>
      <c r="F1623" s="83">
        <f>VLOOKUP(B1623,'HSD UPAH,BAHAN,ALAT'!$C$6:F1604,4,FALSE)</f>
        <v>10000</v>
      </c>
      <c r="G1623" s="84">
        <f t="shared" si="206"/>
        <v>180000</v>
      </c>
    </row>
    <row r="1624" spans="1:7">
      <c r="A1624" s="8" t="s">
        <v>30</v>
      </c>
      <c r="B1624" s="1" t="s">
        <v>56</v>
      </c>
      <c r="C1624" s="8"/>
      <c r="D1624" s="9" t="s">
        <v>24</v>
      </c>
      <c r="E1624" s="10" t="s">
        <v>57</v>
      </c>
      <c r="F1624" s="83">
        <f>VLOOKUP(B1624,'HSD UPAH,BAHAN,ALAT'!$C$6:F1605,4,FALSE)</f>
        <v>10000</v>
      </c>
      <c r="G1624" s="84">
        <f t="shared" si="206"/>
        <v>100000</v>
      </c>
    </row>
    <row r="1625" spans="1:7">
      <c r="A1625" s="8">
        <v>4</v>
      </c>
      <c r="B1625" s="1" t="s">
        <v>26</v>
      </c>
      <c r="C1625" s="8"/>
      <c r="D1625" s="9"/>
      <c r="E1625" s="10"/>
      <c r="F1625" s="83"/>
      <c r="G1625" s="84">
        <f t="shared" si="206"/>
        <v>0</v>
      </c>
    </row>
    <row r="1626" spans="1:7">
      <c r="A1626" s="8" t="s">
        <v>22</v>
      </c>
      <c r="B1626" s="1" t="s">
        <v>27</v>
      </c>
      <c r="C1626" s="8"/>
      <c r="D1626" s="9" t="s">
        <v>28</v>
      </c>
      <c r="E1626" s="10" t="s">
        <v>68</v>
      </c>
      <c r="F1626" s="83">
        <f>VLOOKUP(B1626,'HSD UPAH,BAHAN,ALAT'!$C$6:F1607,4,FALSE)</f>
        <v>10000</v>
      </c>
      <c r="G1626" s="84">
        <f t="shared" si="206"/>
        <v>980</v>
      </c>
    </row>
    <row r="1627" spans="1:7">
      <c r="A1627" s="8" t="s">
        <v>30</v>
      </c>
      <c r="B1627" s="1" t="s">
        <v>31</v>
      </c>
      <c r="C1627" s="8"/>
      <c r="D1627" s="9" t="s">
        <v>28</v>
      </c>
      <c r="E1627" s="10" t="s">
        <v>69</v>
      </c>
      <c r="F1627" s="83">
        <f>VLOOKUP(B1627,'HSD UPAH,BAHAN,ALAT'!$C$6:F1608,4,FALSE)</f>
        <v>10000</v>
      </c>
      <c r="G1627" s="84">
        <f t="shared" si="206"/>
        <v>260</v>
      </c>
    </row>
    <row r="1628" spans="1:7">
      <c r="A1628" s="8" t="s">
        <v>33</v>
      </c>
      <c r="B1628" s="1" t="s">
        <v>34</v>
      </c>
      <c r="C1628" s="8"/>
      <c r="D1628" s="9" t="s">
        <v>28</v>
      </c>
      <c r="E1628" s="10" t="s">
        <v>70</v>
      </c>
      <c r="F1628" s="83">
        <f>VLOOKUP(B1628,'HSD UPAH,BAHAN,ALAT'!$C$6:F1609,4,FALSE)</f>
        <v>10000</v>
      </c>
      <c r="G1628" s="84">
        <f t="shared" si="206"/>
        <v>70</v>
      </c>
    </row>
    <row r="1629" spans="1:7">
      <c r="A1629" s="261" t="s">
        <v>421</v>
      </c>
      <c r="B1629" s="261"/>
      <c r="C1629" s="261"/>
      <c r="D1629" s="261"/>
      <c r="E1629" s="261"/>
      <c r="F1629" s="261"/>
      <c r="G1629" s="85">
        <f>SUM(G1620:G1628)</f>
        <v>292010</v>
      </c>
    </row>
    <row r="1630" spans="1:7">
      <c r="A1630" s="8" t="s">
        <v>36</v>
      </c>
      <c r="B1630" s="1" t="s">
        <v>37</v>
      </c>
      <c r="C1630" s="8"/>
      <c r="D1630" s="9"/>
      <c r="E1630" s="10"/>
      <c r="F1630" s="3"/>
      <c r="G1630" s="2"/>
    </row>
    <row r="1631" spans="1:7">
      <c r="A1631" s="8">
        <v>1</v>
      </c>
      <c r="B1631" s="1" t="s">
        <v>71</v>
      </c>
      <c r="C1631" s="8"/>
      <c r="D1631" s="10" t="s">
        <v>72</v>
      </c>
      <c r="E1631" s="10" t="s">
        <v>73</v>
      </c>
      <c r="F1631" s="83">
        <f>VLOOKUP(B1631,'HSD UPAH,BAHAN,ALAT'!$C$6:F1612,4,FALSE)</f>
        <v>10000</v>
      </c>
      <c r="G1631" s="84">
        <f t="shared" ref="G1631" si="207">E1631*F1631</f>
        <v>2800.0000000000005</v>
      </c>
    </row>
    <row r="1632" spans="1:7">
      <c r="A1632" s="263" t="s">
        <v>419</v>
      </c>
      <c r="B1632" s="263"/>
      <c r="C1632" s="263"/>
      <c r="D1632" s="263"/>
      <c r="E1632" s="263"/>
      <c r="F1632" s="263"/>
      <c r="G1632" s="80">
        <f>SUM(G1631)</f>
        <v>2800.0000000000005</v>
      </c>
    </row>
    <row r="1633" spans="1:7">
      <c r="A1633" s="81" t="s">
        <v>38</v>
      </c>
      <c r="B1633" s="262" t="s">
        <v>39</v>
      </c>
      <c r="C1633" s="262"/>
      <c r="D1633" s="262"/>
      <c r="E1633" s="262"/>
      <c r="F1633" s="262"/>
      <c r="G1633" s="80">
        <f>SUM(G1615:G1632)/2</f>
        <v>303880</v>
      </c>
    </row>
    <row r="1634" spans="1:7">
      <c r="A1634" s="81" t="s">
        <v>40</v>
      </c>
      <c r="B1634" s="262" t="s">
        <v>180</v>
      </c>
      <c r="C1634" s="262"/>
      <c r="D1634" s="262"/>
      <c r="E1634" s="262"/>
      <c r="F1634" s="82">
        <v>0.1</v>
      </c>
      <c r="G1634" s="80">
        <f>G1633*F1634</f>
        <v>30388</v>
      </c>
    </row>
    <row r="1635" spans="1:7">
      <c r="A1635" s="81" t="s">
        <v>41</v>
      </c>
      <c r="B1635" s="262" t="s">
        <v>42</v>
      </c>
      <c r="C1635" s="262"/>
      <c r="D1635" s="262"/>
      <c r="E1635" s="262"/>
      <c r="F1635" s="262"/>
      <c r="G1635" s="80">
        <f>G1633+G1634</f>
        <v>334268</v>
      </c>
    </row>
    <row r="1636" spans="1:7">
      <c r="A1636" s="90"/>
      <c r="B1636" s="91"/>
      <c r="C1636" s="91"/>
      <c r="D1636" s="91"/>
      <c r="E1636" s="91"/>
      <c r="F1636" s="91"/>
      <c r="G1636" s="92"/>
    </row>
    <row r="1637" spans="1:7">
      <c r="A1637" s="96" t="s">
        <v>551</v>
      </c>
      <c r="B1637" s="91"/>
      <c r="C1637" s="91"/>
      <c r="D1637" s="91"/>
      <c r="E1637" s="91"/>
      <c r="F1637" s="91"/>
      <c r="G1637" s="92"/>
    </row>
    <row r="1638" spans="1:7" ht="30">
      <c r="A1638" s="79" t="s">
        <v>0</v>
      </c>
      <c r="B1638" s="79" t="s">
        <v>1</v>
      </c>
      <c r="C1638" s="79" t="s">
        <v>207</v>
      </c>
      <c r="D1638" s="79" t="s">
        <v>3</v>
      </c>
      <c r="E1638" s="79" t="s">
        <v>2</v>
      </c>
      <c r="F1638" s="79" t="s">
        <v>417</v>
      </c>
      <c r="G1638" s="79" t="s">
        <v>418</v>
      </c>
    </row>
    <row r="1639" spans="1:7">
      <c r="A1639" s="8" t="s">
        <v>4</v>
      </c>
      <c r="B1639" s="1" t="s">
        <v>5</v>
      </c>
      <c r="C1639" s="8"/>
      <c r="D1639" s="9"/>
      <c r="E1639" s="10"/>
      <c r="F1639" s="3"/>
      <c r="G1639" s="2"/>
    </row>
    <row r="1640" spans="1:7">
      <c r="A1640" s="8">
        <v>1</v>
      </c>
      <c r="B1640" s="1" t="s">
        <v>48</v>
      </c>
      <c r="C1640" s="8" t="s">
        <v>49</v>
      </c>
      <c r="D1640" s="9" t="s">
        <v>8</v>
      </c>
      <c r="E1640" s="10" t="s">
        <v>50</v>
      </c>
      <c r="F1640" s="83">
        <f>VLOOKUP(B1640,'HSD UPAH,BAHAN,ALAT'!$C$6:F1619,4,FALSE)</f>
        <v>100000</v>
      </c>
      <c r="G1640" s="84">
        <f t="shared" ref="G1640:G1643" si="208">E1640*F1640</f>
        <v>4000</v>
      </c>
    </row>
    <row r="1641" spans="1:7">
      <c r="A1641" s="8">
        <v>2</v>
      </c>
      <c r="B1641" s="1" t="s">
        <v>6</v>
      </c>
      <c r="C1641" s="8" t="s">
        <v>7</v>
      </c>
      <c r="D1641" s="9" t="s">
        <v>8</v>
      </c>
      <c r="E1641" s="10" t="s">
        <v>50</v>
      </c>
      <c r="F1641" s="83">
        <f>VLOOKUP(B1641,'HSD UPAH,BAHAN,ALAT'!$C$6:F1620,4,FALSE)</f>
        <v>100000</v>
      </c>
      <c r="G1641" s="84">
        <f t="shared" si="208"/>
        <v>4000</v>
      </c>
    </row>
    <row r="1642" spans="1:7">
      <c r="A1642" s="8">
        <v>3</v>
      </c>
      <c r="B1642" s="1" t="s">
        <v>10</v>
      </c>
      <c r="C1642" s="8" t="s">
        <v>11</v>
      </c>
      <c r="D1642" s="9" t="s">
        <v>8</v>
      </c>
      <c r="E1642" s="10" t="s">
        <v>65</v>
      </c>
      <c r="F1642" s="83">
        <f>VLOOKUP(B1642,'HSD UPAH,BAHAN,ALAT'!$C$6:F1621,4,FALSE)</f>
        <v>120000</v>
      </c>
      <c r="G1642" s="84">
        <f t="shared" si="208"/>
        <v>2400</v>
      </c>
    </row>
    <row r="1643" spans="1:7">
      <c r="A1643" s="8">
        <v>4</v>
      </c>
      <c r="B1643" s="1" t="s">
        <v>13</v>
      </c>
      <c r="C1643" s="8" t="s">
        <v>14</v>
      </c>
      <c r="D1643" s="9" t="s">
        <v>8</v>
      </c>
      <c r="E1643" s="10" t="s">
        <v>44</v>
      </c>
      <c r="F1643" s="83">
        <f>VLOOKUP(B1643,'HSD UPAH,BAHAN,ALAT'!$C$6:F1622,4,FALSE)</f>
        <v>100000</v>
      </c>
      <c r="G1643" s="84">
        <f t="shared" si="208"/>
        <v>670</v>
      </c>
    </row>
    <row r="1644" spans="1:7">
      <c r="A1644" s="261" t="s">
        <v>420</v>
      </c>
      <c r="B1644" s="261"/>
      <c r="C1644" s="261"/>
      <c r="D1644" s="261"/>
      <c r="E1644" s="261"/>
      <c r="F1644" s="261"/>
      <c r="G1644" s="85">
        <f>SUM(G1640:G1643)</f>
        <v>11070</v>
      </c>
    </row>
    <row r="1645" spans="1:7">
      <c r="A1645" s="8" t="s">
        <v>16</v>
      </c>
      <c r="B1645" s="1" t="s">
        <v>17</v>
      </c>
      <c r="C1645" s="8"/>
      <c r="D1645" s="9"/>
      <c r="E1645" s="10"/>
      <c r="F1645" s="83">
        <f>VLOOKUP(B1645,'HSD UPAH,BAHAN,ALAT'!$C$6:F1624,4,FALSE)</f>
        <v>0</v>
      </c>
      <c r="G1645" s="84">
        <f t="shared" ref="G1645:G1654" si="209">E1645*F1645</f>
        <v>0</v>
      </c>
    </row>
    <row r="1646" spans="1:7" ht="30">
      <c r="A1646" s="17" t="s">
        <v>208</v>
      </c>
      <c r="B1646" s="5" t="s">
        <v>286</v>
      </c>
      <c r="C1646" s="17"/>
      <c r="D1646" s="12" t="s">
        <v>86</v>
      </c>
      <c r="E1646" s="7" t="s">
        <v>87</v>
      </c>
      <c r="F1646" s="83">
        <f>VLOOKUP(B1646,'HSD UPAH,BAHAN,ALAT'!$C$6:F1625,4,FALSE)</f>
        <v>10000</v>
      </c>
      <c r="G1646" s="84">
        <f t="shared" si="209"/>
        <v>10500</v>
      </c>
    </row>
    <row r="1647" spans="1:7">
      <c r="A1647" s="8">
        <v>2</v>
      </c>
      <c r="B1647" s="1" t="s">
        <v>18</v>
      </c>
      <c r="C1647" s="8"/>
      <c r="D1647" s="9" t="s">
        <v>19</v>
      </c>
      <c r="E1647" s="10" t="s">
        <v>64</v>
      </c>
      <c r="F1647" s="83">
        <f>VLOOKUP(B1647,'HSD UPAH,BAHAN,ALAT'!$C$6:F1626,4,FALSE)</f>
        <v>10000</v>
      </c>
      <c r="G1647" s="84">
        <f t="shared" si="209"/>
        <v>200</v>
      </c>
    </row>
    <row r="1648" spans="1:7">
      <c r="A1648" s="8">
        <v>3</v>
      </c>
      <c r="B1648" s="1" t="s">
        <v>21</v>
      </c>
      <c r="C1648" s="8"/>
      <c r="D1648" s="9"/>
      <c r="E1648" s="10"/>
      <c r="F1648" s="83"/>
      <c r="G1648" s="84">
        <f t="shared" si="209"/>
        <v>0</v>
      </c>
    </row>
    <row r="1649" spans="1:7">
      <c r="A1649" s="8" t="s">
        <v>22</v>
      </c>
      <c r="B1649" s="1" t="s">
        <v>66</v>
      </c>
      <c r="C1649" s="8"/>
      <c r="D1649" s="9" t="s">
        <v>24</v>
      </c>
      <c r="E1649" s="10" t="s">
        <v>67</v>
      </c>
      <c r="F1649" s="83">
        <f>VLOOKUP(B1649,'HSD UPAH,BAHAN,ALAT'!$C$6:F1628,4,FALSE)</f>
        <v>10000</v>
      </c>
      <c r="G1649" s="84">
        <f t="shared" si="209"/>
        <v>180000</v>
      </c>
    </row>
    <row r="1650" spans="1:7">
      <c r="A1650" s="8" t="s">
        <v>30</v>
      </c>
      <c r="B1650" s="1" t="s">
        <v>56</v>
      </c>
      <c r="C1650" s="8"/>
      <c r="D1650" s="9" t="s">
        <v>24</v>
      </c>
      <c r="E1650" s="10" t="s">
        <v>57</v>
      </c>
      <c r="F1650" s="83">
        <f>VLOOKUP(B1650,'HSD UPAH,BAHAN,ALAT'!$C$6:F1629,4,FALSE)</f>
        <v>10000</v>
      </c>
      <c r="G1650" s="84">
        <f t="shared" si="209"/>
        <v>100000</v>
      </c>
    </row>
    <row r="1651" spans="1:7">
      <c r="A1651" s="8">
        <v>4</v>
      </c>
      <c r="B1651" s="1" t="s">
        <v>26</v>
      </c>
      <c r="C1651" s="8"/>
      <c r="D1651" s="9"/>
      <c r="E1651" s="10"/>
      <c r="F1651" s="83"/>
      <c r="G1651" s="84">
        <f t="shared" si="209"/>
        <v>0</v>
      </c>
    </row>
    <row r="1652" spans="1:7">
      <c r="A1652" s="8" t="s">
        <v>22</v>
      </c>
      <c r="B1652" s="1" t="s">
        <v>27</v>
      </c>
      <c r="C1652" s="8"/>
      <c r="D1652" s="9" t="s">
        <v>28</v>
      </c>
      <c r="E1652" s="10" t="s">
        <v>68</v>
      </c>
      <c r="F1652" s="83">
        <f>VLOOKUP(B1652,'HSD UPAH,BAHAN,ALAT'!$C$6:F1631,4,FALSE)</f>
        <v>10000</v>
      </c>
      <c r="G1652" s="84">
        <f t="shared" si="209"/>
        <v>980</v>
      </c>
    </row>
    <row r="1653" spans="1:7">
      <c r="A1653" s="8" t="s">
        <v>30</v>
      </c>
      <c r="B1653" s="1" t="s">
        <v>31</v>
      </c>
      <c r="C1653" s="8"/>
      <c r="D1653" s="9" t="s">
        <v>28</v>
      </c>
      <c r="E1653" s="10" t="s">
        <v>69</v>
      </c>
      <c r="F1653" s="83">
        <f>VLOOKUP(B1653,'HSD UPAH,BAHAN,ALAT'!$C$6:F1632,4,FALSE)</f>
        <v>10000</v>
      </c>
      <c r="G1653" s="84">
        <f t="shared" si="209"/>
        <v>260</v>
      </c>
    </row>
    <row r="1654" spans="1:7">
      <c r="A1654" s="8" t="s">
        <v>33</v>
      </c>
      <c r="B1654" s="1" t="s">
        <v>34</v>
      </c>
      <c r="C1654" s="8"/>
      <c r="D1654" s="9" t="s">
        <v>28</v>
      </c>
      <c r="E1654" s="10" t="s">
        <v>70</v>
      </c>
      <c r="F1654" s="83">
        <f>VLOOKUP(B1654,'HSD UPAH,BAHAN,ALAT'!$C$6:F1633,4,FALSE)</f>
        <v>10000</v>
      </c>
      <c r="G1654" s="84">
        <f t="shared" si="209"/>
        <v>70</v>
      </c>
    </row>
    <row r="1655" spans="1:7">
      <c r="A1655" s="261" t="s">
        <v>421</v>
      </c>
      <c r="B1655" s="261"/>
      <c r="C1655" s="261"/>
      <c r="D1655" s="261"/>
      <c r="E1655" s="261"/>
      <c r="F1655" s="261"/>
      <c r="G1655" s="85">
        <f>SUM(G1646:G1654)</f>
        <v>292010</v>
      </c>
    </row>
    <row r="1656" spans="1:7">
      <c r="A1656" s="8" t="s">
        <v>36</v>
      </c>
      <c r="B1656" s="1" t="s">
        <v>37</v>
      </c>
      <c r="C1656" s="8"/>
      <c r="D1656" s="9"/>
      <c r="E1656" s="10"/>
      <c r="F1656" s="3"/>
      <c r="G1656" s="2"/>
    </row>
    <row r="1657" spans="1:7">
      <c r="A1657" s="8">
        <v>1</v>
      </c>
      <c r="B1657" s="1" t="s">
        <v>71</v>
      </c>
      <c r="C1657" s="8"/>
      <c r="D1657" s="9" t="s">
        <v>72</v>
      </c>
      <c r="E1657" s="10" t="s">
        <v>73</v>
      </c>
      <c r="F1657" s="83">
        <f>VLOOKUP(B1657,'HSD UPAH,BAHAN,ALAT'!$C$6:F1636,4,FALSE)</f>
        <v>10000</v>
      </c>
      <c r="G1657" s="84">
        <f t="shared" ref="G1657" si="210">E1657*F1657</f>
        <v>2800.0000000000005</v>
      </c>
    </row>
    <row r="1658" spans="1:7">
      <c r="A1658" s="263" t="s">
        <v>419</v>
      </c>
      <c r="B1658" s="263"/>
      <c r="C1658" s="263"/>
      <c r="D1658" s="263"/>
      <c r="E1658" s="263"/>
      <c r="F1658" s="263"/>
      <c r="G1658" s="80">
        <f>SUM(G1657)</f>
        <v>2800.0000000000005</v>
      </c>
    </row>
    <row r="1659" spans="1:7">
      <c r="A1659" s="81" t="s">
        <v>38</v>
      </c>
      <c r="B1659" s="262" t="s">
        <v>39</v>
      </c>
      <c r="C1659" s="262"/>
      <c r="D1659" s="262"/>
      <c r="E1659" s="262"/>
      <c r="F1659" s="262"/>
      <c r="G1659" s="80">
        <f>SUM(G1641:G1658)/2</f>
        <v>303880</v>
      </c>
    </row>
    <row r="1660" spans="1:7">
      <c r="A1660" s="81" t="s">
        <v>40</v>
      </c>
      <c r="B1660" s="262" t="s">
        <v>180</v>
      </c>
      <c r="C1660" s="262"/>
      <c r="D1660" s="262"/>
      <c r="E1660" s="262"/>
      <c r="F1660" s="82">
        <v>0.1</v>
      </c>
      <c r="G1660" s="80">
        <f>G1659*F1660</f>
        <v>30388</v>
      </c>
    </row>
    <row r="1661" spans="1:7">
      <c r="A1661" s="81" t="s">
        <v>41</v>
      </c>
      <c r="B1661" s="262" t="s">
        <v>42</v>
      </c>
      <c r="C1661" s="262"/>
      <c r="D1661" s="262"/>
      <c r="E1661" s="262"/>
      <c r="F1661" s="262"/>
      <c r="G1661" s="80">
        <f>G1659+G1660</f>
        <v>334268</v>
      </c>
    </row>
    <row r="1662" spans="1:7">
      <c r="A1662" s="90"/>
      <c r="B1662" s="91"/>
      <c r="C1662" s="91"/>
      <c r="D1662" s="91"/>
      <c r="E1662" s="91"/>
      <c r="F1662" s="91"/>
      <c r="G1662" s="92"/>
    </row>
    <row r="1663" spans="1:7">
      <c r="A1663" s="96" t="s">
        <v>552</v>
      </c>
      <c r="B1663" s="91"/>
      <c r="C1663" s="91"/>
      <c r="D1663" s="91"/>
      <c r="E1663" s="91"/>
      <c r="F1663" s="91"/>
      <c r="G1663" s="92"/>
    </row>
    <row r="1664" spans="1:7" ht="30">
      <c r="A1664" s="79" t="s">
        <v>0</v>
      </c>
      <c r="B1664" s="79" t="s">
        <v>1</v>
      </c>
      <c r="C1664" s="79" t="s">
        <v>207</v>
      </c>
      <c r="D1664" s="79" t="s">
        <v>3</v>
      </c>
      <c r="E1664" s="79" t="s">
        <v>2</v>
      </c>
      <c r="F1664" s="79" t="s">
        <v>417</v>
      </c>
      <c r="G1664" s="79" t="s">
        <v>418</v>
      </c>
    </row>
    <row r="1665" spans="1:7">
      <c r="A1665" s="8" t="s">
        <v>4</v>
      </c>
      <c r="B1665" s="1" t="s">
        <v>5</v>
      </c>
      <c r="C1665" s="8"/>
      <c r="D1665" s="9"/>
      <c r="E1665" s="10"/>
      <c r="F1665" s="3"/>
      <c r="G1665" s="2"/>
    </row>
    <row r="1666" spans="1:7">
      <c r="A1666" s="8">
        <v>1</v>
      </c>
      <c r="B1666" s="1" t="s">
        <v>48</v>
      </c>
      <c r="C1666" s="8" t="s">
        <v>49</v>
      </c>
      <c r="D1666" s="9" t="s">
        <v>8</v>
      </c>
      <c r="E1666" s="10" t="s">
        <v>50</v>
      </c>
      <c r="F1666" s="83">
        <f>VLOOKUP(B1666,'HSD UPAH,BAHAN,ALAT'!$C$6:F1643,4,FALSE)</f>
        <v>100000</v>
      </c>
      <c r="G1666" s="84">
        <f t="shared" ref="G1666:G1669" si="211">E1666*F1666</f>
        <v>4000</v>
      </c>
    </row>
    <row r="1667" spans="1:7">
      <c r="A1667" s="8">
        <v>2</v>
      </c>
      <c r="B1667" s="1" t="s">
        <v>6</v>
      </c>
      <c r="C1667" s="8" t="s">
        <v>7</v>
      </c>
      <c r="D1667" s="9" t="s">
        <v>8</v>
      </c>
      <c r="E1667" s="10" t="s">
        <v>50</v>
      </c>
      <c r="F1667" s="83">
        <f>VLOOKUP(B1667,'HSD UPAH,BAHAN,ALAT'!$C$6:F1644,4,FALSE)</f>
        <v>100000</v>
      </c>
      <c r="G1667" s="84">
        <f t="shared" si="211"/>
        <v>4000</v>
      </c>
    </row>
    <row r="1668" spans="1:7">
      <c r="A1668" s="8">
        <v>3</v>
      </c>
      <c r="B1668" s="1" t="s">
        <v>10</v>
      </c>
      <c r="C1668" s="8" t="s">
        <v>11</v>
      </c>
      <c r="D1668" s="9" t="s">
        <v>8</v>
      </c>
      <c r="E1668" s="10" t="s">
        <v>65</v>
      </c>
      <c r="F1668" s="83">
        <f>VLOOKUP(B1668,'HSD UPAH,BAHAN,ALAT'!$C$6:F1645,4,FALSE)</f>
        <v>120000</v>
      </c>
      <c r="G1668" s="84">
        <f t="shared" si="211"/>
        <v>2400</v>
      </c>
    </row>
    <row r="1669" spans="1:7">
      <c r="A1669" s="8">
        <v>4</v>
      </c>
      <c r="B1669" s="1" t="s">
        <v>13</v>
      </c>
      <c r="C1669" s="8" t="s">
        <v>14</v>
      </c>
      <c r="D1669" s="9" t="s">
        <v>8</v>
      </c>
      <c r="E1669" s="10" t="s">
        <v>44</v>
      </c>
      <c r="F1669" s="83">
        <f>VLOOKUP(B1669,'HSD UPAH,BAHAN,ALAT'!$C$6:F1646,4,FALSE)</f>
        <v>100000</v>
      </c>
      <c r="G1669" s="84">
        <f t="shared" si="211"/>
        <v>670</v>
      </c>
    </row>
    <row r="1670" spans="1:7">
      <c r="A1670" s="261" t="s">
        <v>420</v>
      </c>
      <c r="B1670" s="261"/>
      <c r="C1670" s="261"/>
      <c r="D1670" s="261"/>
      <c r="E1670" s="261"/>
      <c r="F1670" s="261"/>
      <c r="G1670" s="85">
        <f>SUM(G1666:G1669)</f>
        <v>11070</v>
      </c>
    </row>
    <row r="1671" spans="1:7">
      <c r="A1671" s="8" t="s">
        <v>16</v>
      </c>
      <c r="B1671" s="1" t="s">
        <v>17</v>
      </c>
      <c r="C1671" s="8"/>
      <c r="D1671" s="9"/>
      <c r="E1671" s="10"/>
      <c r="F1671" s="3"/>
      <c r="G1671" s="2"/>
    </row>
    <row r="1672" spans="1:7" ht="30">
      <c r="A1672" s="17" t="s">
        <v>208</v>
      </c>
      <c r="B1672" s="5" t="s">
        <v>287</v>
      </c>
      <c r="C1672" s="17"/>
      <c r="D1672" s="12" t="s">
        <v>86</v>
      </c>
      <c r="E1672" s="7" t="s">
        <v>87</v>
      </c>
      <c r="F1672" s="83">
        <f>VLOOKUP(B1672,'HSD UPAH,BAHAN,ALAT'!$C$6:F1649,4,FALSE)</f>
        <v>10000</v>
      </c>
      <c r="G1672" s="84">
        <f t="shared" ref="G1672:G1680" si="212">E1672*F1672</f>
        <v>10500</v>
      </c>
    </row>
    <row r="1673" spans="1:7">
      <c r="A1673" s="8">
        <v>2</v>
      </c>
      <c r="B1673" s="1" t="s">
        <v>18</v>
      </c>
      <c r="C1673" s="8"/>
      <c r="D1673" s="9" t="s">
        <v>19</v>
      </c>
      <c r="E1673" s="10" t="s">
        <v>64</v>
      </c>
      <c r="F1673" s="83">
        <f>VLOOKUP(B1673,'HSD UPAH,BAHAN,ALAT'!$C$6:F1650,4,FALSE)</f>
        <v>10000</v>
      </c>
      <c r="G1673" s="84">
        <f t="shared" si="212"/>
        <v>200</v>
      </c>
    </row>
    <row r="1674" spans="1:7">
      <c r="A1674" s="8">
        <v>3</v>
      </c>
      <c r="B1674" s="1" t="s">
        <v>21</v>
      </c>
      <c r="C1674" s="8"/>
      <c r="D1674" s="9"/>
      <c r="E1674" s="10"/>
      <c r="F1674" s="83"/>
      <c r="G1674" s="84">
        <f t="shared" si="212"/>
        <v>0</v>
      </c>
    </row>
    <row r="1675" spans="1:7">
      <c r="A1675" s="8" t="s">
        <v>22</v>
      </c>
      <c r="B1675" s="1" t="s">
        <v>66</v>
      </c>
      <c r="C1675" s="8"/>
      <c r="D1675" s="9" t="s">
        <v>24</v>
      </c>
      <c r="E1675" s="10" t="s">
        <v>67</v>
      </c>
      <c r="F1675" s="83">
        <f>VLOOKUP(B1675,'HSD UPAH,BAHAN,ALAT'!$C$6:F1652,4,FALSE)</f>
        <v>10000</v>
      </c>
      <c r="G1675" s="84">
        <f t="shared" si="212"/>
        <v>180000</v>
      </c>
    </row>
    <row r="1676" spans="1:7">
      <c r="A1676" s="8" t="s">
        <v>30</v>
      </c>
      <c r="B1676" s="1" t="s">
        <v>56</v>
      </c>
      <c r="C1676" s="8"/>
      <c r="D1676" s="9" t="s">
        <v>24</v>
      </c>
      <c r="E1676" s="10" t="s">
        <v>57</v>
      </c>
      <c r="F1676" s="83">
        <f>VLOOKUP(B1676,'HSD UPAH,BAHAN,ALAT'!$C$6:F1653,4,FALSE)</f>
        <v>10000</v>
      </c>
      <c r="G1676" s="84">
        <f t="shared" si="212"/>
        <v>100000</v>
      </c>
    </row>
    <row r="1677" spans="1:7">
      <c r="A1677" s="8">
        <v>4</v>
      </c>
      <c r="B1677" s="1" t="s">
        <v>26</v>
      </c>
      <c r="C1677" s="8"/>
      <c r="D1677" s="9"/>
      <c r="E1677" s="10"/>
      <c r="F1677" s="83"/>
      <c r="G1677" s="84">
        <f t="shared" si="212"/>
        <v>0</v>
      </c>
    </row>
    <row r="1678" spans="1:7">
      <c r="A1678" s="8" t="s">
        <v>22</v>
      </c>
      <c r="B1678" s="1" t="s">
        <v>27</v>
      </c>
      <c r="C1678" s="8"/>
      <c r="D1678" s="9" t="s">
        <v>28</v>
      </c>
      <c r="E1678" s="10" t="s">
        <v>68</v>
      </c>
      <c r="F1678" s="83">
        <f>VLOOKUP(B1678,'HSD UPAH,BAHAN,ALAT'!$C$6:F1655,4,FALSE)</f>
        <v>10000</v>
      </c>
      <c r="G1678" s="84">
        <f t="shared" si="212"/>
        <v>980</v>
      </c>
    </row>
    <row r="1679" spans="1:7">
      <c r="A1679" s="8" t="s">
        <v>30</v>
      </c>
      <c r="B1679" s="1" t="s">
        <v>31</v>
      </c>
      <c r="C1679" s="8"/>
      <c r="D1679" s="9" t="s">
        <v>28</v>
      </c>
      <c r="E1679" s="10" t="s">
        <v>69</v>
      </c>
      <c r="F1679" s="83">
        <f>VLOOKUP(B1679,'HSD UPAH,BAHAN,ALAT'!$C$6:F1656,4,FALSE)</f>
        <v>10000</v>
      </c>
      <c r="G1679" s="84">
        <f t="shared" si="212"/>
        <v>260</v>
      </c>
    </row>
    <row r="1680" spans="1:7">
      <c r="A1680" s="8" t="s">
        <v>33</v>
      </c>
      <c r="B1680" s="1" t="s">
        <v>34</v>
      </c>
      <c r="C1680" s="8"/>
      <c r="D1680" s="9" t="s">
        <v>28</v>
      </c>
      <c r="E1680" s="10" t="s">
        <v>70</v>
      </c>
      <c r="F1680" s="83">
        <f>VLOOKUP(B1680,'HSD UPAH,BAHAN,ALAT'!$C$6:F1657,4,FALSE)</f>
        <v>10000</v>
      </c>
      <c r="G1680" s="84">
        <f t="shared" si="212"/>
        <v>70</v>
      </c>
    </row>
    <row r="1681" spans="1:7">
      <c r="A1681" s="261" t="s">
        <v>421</v>
      </c>
      <c r="B1681" s="261"/>
      <c r="C1681" s="261"/>
      <c r="D1681" s="261"/>
      <c r="E1681" s="261"/>
      <c r="F1681" s="261"/>
      <c r="G1681" s="85">
        <f>SUM(G1672:G1680)</f>
        <v>292010</v>
      </c>
    </row>
    <row r="1682" spans="1:7">
      <c r="A1682" s="8" t="s">
        <v>36</v>
      </c>
      <c r="B1682" s="1" t="s">
        <v>37</v>
      </c>
      <c r="C1682" s="8"/>
      <c r="D1682" s="9"/>
      <c r="E1682" s="10"/>
      <c r="F1682" s="3"/>
      <c r="G1682" s="2"/>
    </row>
    <row r="1683" spans="1:7">
      <c r="A1683" s="8">
        <v>1</v>
      </c>
      <c r="B1683" s="1" t="s">
        <v>71</v>
      </c>
      <c r="C1683" s="8"/>
      <c r="D1683" s="9" t="s">
        <v>72</v>
      </c>
      <c r="E1683" s="10" t="s">
        <v>73</v>
      </c>
      <c r="F1683" s="83">
        <f>VLOOKUP(B1683,'HSD UPAH,BAHAN,ALAT'!$C$6:F1660,4,FALSE)</f>
        <v>10000</v>
      </c>
      <c r="G1683" s="84">
        <f t="shared" ref="G1683" si="213">E1683*F1683</f>
        <v>2800.0000000000005</v>
      </c>
    </row>
    <row r="1684" spans="1:7">
      <c r="A1684" s="263" t="s">
        <v>419</v>
      </c>
      <c r="B1684" s="263"/>
      <c r="C1684" s="263"/>
      <c r="D1684" s="263"/>
      <c r="E1684" s="263"/>
      <c r="F1684" s="263"/>
      <c r="G1684" s="80">
        <f>SUM(G1683)</f>
        <v>2800.0000000000005</v>
      </c>
    </row>
    <row r="1685" spans="1:7">
      <c r="A1685" s="81" t="s">
        <v>38</v>
      </c>
      <c r="B1685" s="262" t="s">
        <v>39</v>
      </c>
      <c r="C1685" s="262"/>
      <c r="D1685" s="262"/>
      <c r="E1685" s="262"/>
      <c r="F1685" s="262"/>
      <c r="G1685" s="80">
        <f>SUM(G1667:G1684)/2</f>
        <v>303880</v>
      </c>
    </row>
    <row r="1686" spans="1:7">
      <c r="A1686" s="81" t="s">
        <v>40</v>
      </c>
      <c r="B1686" s="262" t="s">
        <v>180</v>
      </c>
      <c r="C1686" s="262"/>
      <c r="D1686" s="262"/>
      <c r="E1686" s="262"/>
      <c r="F1686" s="82">
        <v>0.1</v>
      </c>
      <c r="G1686" s="80">
        <f>G1685*F1686</f>
        <v>30388</v>
      </c>
    </row>
    <row r="1687" spans="1:7">
      <c r="A1687" s="81" t="s">
        <v>41</v>
      </c>
      <c r="B1687" s="262" t="s">
        <v>42</v>
      </c>
      <c r="C1687" s="262"/>
      <c r="D1687" s="262"/>
      <c r="E1687" s="262"/>
      <c r="F1687" s="262"/>
      <c r="G1687" s="80">
        <f>G1685+G1686</f>
        <v>334268</v>
      </c>
    </row>
    <row r="1688" spans="1:7">
      <c r="A1688" s="90"/>
      <c r="B1688" s="91"/>
      <c r="C1688" s="91"/>
      <c r="D1688" s="91"/>
      <c r="E1688" s="91"/>
      <c r="F1688" s="91"/>
      <c r="G1688" s="92"/>
    </row>
    <row r="1689" spans="1:7">
      <c r="A1689" s="4" t="s">
        <v>553</v>
      </c>
      <c r="B1689" s="91"/>
      <c r="C1689" s="91"/>
      <c r="D1689" s="91"/>
      <c r="E1689" s="91"/>
      <c r="F1689" s="91"/>
      <c r="G1689" s="92"/>
    </row>
    <row r="1690" spans="1:7" ht="30">
      <c r="A1690" s="79" t="s">
        <v>0</v>
      </c>
      <c r="B1690" s="79" t="s">
        <v>1</v>
      </c>
      <c r="C1690" s="79" t="s">
        <v>207</v>
      </c>
      <c r="D1690" s="79" t="s">
        <v>3</v>
      </c>
      <c r="E1690" s="79" t="s">
        <v>2</v>
      </c>
      <c r="F1690" s="79" t="s">
        <v>417</v>
      </c>
      <c r="G1690" s="79" t="s">
        <v>418</v>
      </c>
    </row>
    <row r="1691" spans="1:7">
      <c r="A1691" s="8" t="s">
        <v>4</v>
      </c>
      <c r="B1691" s="1" t="s">
        <v>5</v>
      </c>
      <c r="C1691" s="8"/>
      <c r="D1691" s="9"/>
      <c r="E1691" s="10"/>
      <c r="F1691" s="3"/>
      <c r="G1691" s="2"/>
    </row>
    <row r="1692" spans="1:7">
      <c r="A1692" s="8">
        <v>1</v>
      </c>
      <c r="B1692" s="1" t="s">
        <v>48</v>
      </c>
      <c r="C1692" s="8" t="s">
        <v>49</v>
      </c>
      <c r="D1692" s="9" t="s">
        <v>8</v>
      </c>
      <c r="E1692" s="10" t="s">
        <v>50</v>
      </c>
      <c r="F1692" s="83">
        <f>VLOOKUP(B1692,'HSD UPAH,BAHAN,ALAT'!$C$6:F1667,4,FALSE)</f>
        <v>100000</v>
      </c>
      <c r="G1692" s="84">
        <f t="shared" ref="G1692:G1695" si="214">E1692*F1692</f>
        <v>4000</v>
      </c>
    </row>
    <row r="1693" spans="1:7">
      <c r="A1693" s="8">
        <v>2</v>
      </c>
      <c r="B1693" s="1" t="s">
        <v>6</v>
      </c>
      <c r="C1693" s="8" t="s">
        <v>7</v>
      </c>
      <c r="D1693" s="9" t="s">
        <v>8</v>
      </c>
      <c r="E1693" s="10" t="s">
        <v>50</v>
      </c>
      <c r="F1693" s="83">
        <f>VLOOKUP(B1693,'HSD UPAH,BAHAN,ALAT'!$C$6:F1668,4,FALSE)</f>
        <v>100000</v>
      </c>
      <c r="G1693" s="84">
        <f t="shared" si="214"/>
        <v>4000</v>
      </c>
    </row>
    <row r="1694" spans="1:7">
      <c r="A1694" s="8">
        <v>3</v>
      </c>
      <c r="B1694" s="1" t="s">
        <v>10</v>
      </c>
      <c r="C1694" s="8" t="s">
        <v>11</v>
      </c>
      <c r="D1694" s="9" t="s">
        <v>8</v>
      </c>
      <c r="E1694" s="10" t="s">
        <v>65</v>
      </c>
      <c r="F1694" s="83">
        <f>VLOOKUP(B1694,'HSD UPAH,BAHAN,ALAT'!$C$6:F1669,4,FALSE)</f>
        <v>120000</v>
      </c>
      <c r="G1694" s="84">
        <f t="shared" si="214"/>
        <v>2400</v>
      </c>
    </row>
    <row r="1695" spans="1:7">
      <c r="A1695" s="8">
        <v>4</v>
      </c>
      <c r="B1695" s="1" t="s">
        <v>13</v>
      </c>
      <c r="C1695" s="8" t="s">
        <v>14</v>
      </c>
      <c r="D1695" s="9" t="s">
        <v>8</v>
      </c>
      <c r="E1695" s="10" t="s">
        <v>44</v>
      </c>
      <c r="F1695" s="83">
        <f>VLOOKUP(B1695,'HSD UPAH,BAHAN,ALAT'!$C$6:F1670,4,FALSE)</f>
        <v>100000</v>
      </c>
      <c r="G1695" s="84">
        <f t="shared" si="214"/>
        <v>670</v>
      </c>
    </row>
    <row r="1696" spans="1:7">
      <c r="A1696" s="261" t="s">
        <v>420</v>
      </c>
      <c r="B1696" s="261"/>
      <c r="C1696" s="261"/>
      <c r="D1696" s="261"/>
      <c r="E1696" s="261"/>
      <c r="F1696" s="261"/>
      <c r="G1696" s="85">
        <f>SUM(G1692:G1695)</f>
        <v>11070</v>
      </c>
    </row>
    <row r="1697" spans="1:7">
      <c r="A1697" s="8" t="s">
        <v>16</v>
      </c>
      <c r="B1697" s="1" t="s">
        <v>17</v>
      </c>
      <c r="C1697" s="8"/>
      <c r="D1697" s="9"/>
      <c r="E1697" s="10"/>
      <c r="F1697" s="3"/>
      <c r="G1697" s="2"/>
    </row>
    <row r="1698" spans="1:7" ht="30">
      <c r="A1698" s="17" t="s">
        <v>208</v>
      </c>
      <c r="B1698" s="5" t="s">
        <v>288</v>
      </c>
      <c r="C1698" s="17"/>
      <c r="D1698" s="12" t="s">
        <v>86</v>
      </c>
      <c r="E1698" s="7" t="s">
        <v>87</v>
      </c>
      <c r="F1698" s="83">
        <f>VLOOKUP(B1698,'HSD UPAH,BAHAN,ALAT'!$C$6:F1673,4,FALSE)</f>
        <v>10000</v>
      </c>
      <c r="G1698" s="84">
        <f t="shared" ref="G1698:G1706" si="215">E1698*F1698</f>
        <v>10500</v>
      </c>
    </row>
    <row r="1699" spans="1:7">
      <c r="A1699" s="8">
        <v>2</v>
      </c>
      <c r="B1699" s="1" t="s">
        <v>18</v>
      </c>
      <c r="C1699" s="8"/>
      <c r="D1699" s="9" t="s">
        <v>19</v>
      </c>
      <c r="E1699" s="10" t="s">
        <v>64</v>
      </c>
      <c r="F1699" s="83">
        <f>VLOOKUP(B1699,'HSD UPAH,BAHAN,ALAT'!$C$6:F1674,4,FALSE)</f>
        <v>10000</v>
      </c>
      <c r="G1699" s="84">
        <f t="shared" si="215"/>
        <v>200</v>
      </c>
    </row>
    <row r="1700" spans="1:7">
      <c r="A1700" s="8">
        <v>3</v>
      </c>
      <c r="B1700" s="1" t="s">
        <v>21</v>
      </c>
      <c r="C1700" s="8"/>
      <c r="D1700" s="9"/>
      <c r="E1700" s="10"/>
      <c r="F1700" s="83"/>
      <c r="G1700" s="84">
        <f t="shared" si="215"/>
        <v>0</v>
      </c>
    </row>
    <row r="1701" spans="1:7">
      <c r="A1701" s="8" t="s">
        <v>22</v>
      </c>
      <c r="B1701" s="1" t="s">
        <v>66</v>
      </c>
      <c r="C1701" s="8"/>
      <c r="D1701" s="9" t="s">
        <v>24</v>
      </c>
      <c r="E1701" s="10" t="s">
        <v>67</v>
      </c>
      <c r="F1701" s="83">
        <f>VLOOKUP(B1701,'HSD UPAH,BAHAN,ALAT'!$C$6:F1676,4,FALSE)</f>
        <v>10000</v>
      </c>
      <c r="G1701" s="84">
        <f t="shared" si="215"/>
        <v>180000</v>
      </c>
    </row>
    <row r="1702" spans="1:7">
      <c r="A1702" s="8" t="s">
        <v>30</v>
      </c>
      <c r="B1702" s="1" t="s">
        <v>56</v>
      </c>
      <c r="C1702" s="8"/>
      <c r="D1702" s="9" t="s">
        <v>24</v>
      </c>
      <c r="E1702" s="10" t="s">
        <v>57</v>
      </c>
      <c r="F1702" s="83">
        <f>VLOOKUP(B1702,'HSD UPAH,BAHAN,ALAT'!$C$6:F1677,4,FALSE)</f>
        <v>10000</v>
      </c>
      <c r="G1702" s="84">
        <f t="shared" si="215"/>
        <v>100000</v>
      </c>
    </row>
    <row r="1703" spans="1:7">
      <c r="A1703" s="8">
        <v>4</v>
      </c>
      <c r="B1703" s="1" t="s">
        <v>26</v>
      </c>
      <c r="C1703" s="8"/>
      <c r="D1703" s="9"/>
      <c r="E1703" s="10"/>
      <c r="F1703" s="83"/>
      <c r="G1703" s="84">
        <f t="shared" si="215"/>
        <v>0</v>
      </c>
    </row>
    <row r="1704" spans="1:7">
      <c r="A1704" s="8" t="s">
        <v>22</v>
      </c>
      <c r="B1704" s="1" t="s">
        <v>27</v>
      </c>
      <c r="C1704" s="8"/>
      <c r="D1704" s="9" t="s">
        <v>28</v>
      </c>
      <c r="E1704" s="10" t="s">
        <v>68</v>
      </c>
      <c r="F1704" s="83">
        <f>VLOOKUP(B1704,'HSD UPAH,BAHAN,ALAT'!$C$6:F1679,4,FALSE)</f>
        <v>10000</v>
      </c>
      <c r="G1704" s="84">
        <f t="shared" si="215"/>
        <v>980</v>
      </c>
    </row>
    <row r="1705" spans="1:7">
      <c r="A1705" s="8" t="s">
        <v>30</v>
      </c>
      <c r="B1705" s="1" t="s">
        <v>31</v>
      </c>
      <c r="C1705" s="8"/>
      <c r="D1705" s="9" t="s">
        <v>28</v>
      </c>
      <c r="E1705" s="10" t="s">
        <v>69</v>
      </c>
      <c r="F1705" s="83">
        <f>VLOOKUP(B1705,'HSD UPAH,BAHAN,ALAT'!$C$6:F1680,4,FALSE)</f>
        <v>10000</v>
      </c>
      <c r="G1705" s="84">
        <f t="shared" si="215"/>
        <v>260</v>
      </c>
    </row>
    <row r="1706" spans="1:7">
      <c r="A1706" s="8" t="s">
        <v>33</v>
      </c>
      <c r="B1706" s="1" t="s">
        <v>34</v>
      </c>
      <c r="C1706" s="8"/>
      <c r="D1706" s="9" t="s">
        <v>28</v>
      </c>
      <c r="E1706" s="10" t="s">
        <v>70</v>
      </c>
      <c r="F1706" s="83">
        <f>VLOOKUP(B1706,'HSD UPAH,BAHAN,ALAT'!$C$6:F1681,4,FALSE)</f>
        <v>10000</v>
      </c>
      <c r="G1706" s="84">
        <f t="shared" si="215"/>
        <v>70</v>
      </c>
    </row>
    <row r="1707" spans="1:7">
      <c r="A1707" s="261" t="s">
        <v>421</v>
      </c>
      <c r="B1707" s="261"/>
      <c r="C1707" s="261"/>
      <c r="D1707" s="261"/>
      <c r="E1707" s="261"/>
      <c r="F1707" s="261"/>
      <c r="G1707" s="85">
        <f>SUM(G1698:G1706)</f>
        <v>292010</v>
      </c>
    </row>
    <row r="1708" spans="1:7">
      <c r="A1708" s="8" t="s">
        <v>36</v>
      </c>
      <c r="B1708" s="1" t="s">
        <v>37</v>
      </c>
      <c r="C1708" s="8"/>
      <c r="D1708" s="9"/>
      <c r="E1708" s="10"/>
      <c r="F1708" s="3"/>
      <c r="G1708" s="2"/>
    </row>
    <row r="1709" spans="1:7">
      <c r="A1709" s="8">
        <v>1</v>
      </c>
      <c r="B1709" s="1" t="s">
        <v>71</v>
      </c>
      <c r="C1709" s="8"/>
      <c r="D1709" s="9" t="s">
        <v>72</v>
      </c>
      <c r="E1709" s="10" t="s">
        <v>73</v>
      </c>
      <c r="F1709" s="83">
        <f>VLOOKUP(B1709,'HSD UPAH,BAHAN,ALAT'!$C$6:F1684,4,FALSE)</f>
        <v>10000</v>
      </c>
      <c r="G1709" s="84">
        <f t="shared" ref="G1709" si="216">E1709*F1709</f>
        <v>2800.0000000000005</v>
      </c>
    </row>
    <row r="1710" spans="1:7">
      <c r="A1710" s="263" t="s">
        <v>419</v>
      </c>
      <c r="B1710" s="263"/>
      <c r="C1710" s="263"/>
      <c r="D1710" s="263"/>
      <c r="E1710" s="263"/>
      <c r="F1710" s="263"/>
      <c r="G1710" s="80">
        <f>SUM(G1709)</f>
        <v>2800.0000000000005</v>
      </c>
    </row>
    <row r="1711" spans="1:7">
      <c r="A1711" s="81" t="s">
        <v>38</v>
      </c>
      <c r="B1711" s="262" t="s">
        <v>39</v>
      </c>
      <c r="C1711" s="262"/>
      <c r="D1711" s="262"/>
      <c r="E1711" s="262"/>
      <c r="F1711" s="262"/>
      <c r="G1711" s="80">
        <f>SUM(G1693:G1710)/2</f>
        <v>303880</v>
      </c>
    </row>
    <row r="1712" spans="1:7">
      <c r="A1712" s="81" t="s">
        <v>40</v>
      </c>
      <c r="B1712" s="262" t="s">
        <v>180</v>
      </c>
      <c r="C1712" s="262"/>
      <c r="D1712" s="262"/>
      <c r="E1712" s="262"/>
      <c r="F1712" s="82">
        <v>0.1</v>
      </c>
      <c r="G1712" s="80">
        <f>G1711*F1712</f>
        <v>30388</v>
      </c>
    </row>
    <row r="1713" spans="1:7">
      <c r="A1713" s="81" t="s">
        <v>41</v>
      </c>
      <c r="B1713" s="262" t="s">
        <v>42</v>
      </c>
      <c r="C1713" s="262"/>
      <c r="D1713" s="262"/>
      <c r="E1713" s="262"/>
      <c r="F1713" s="262"/>
      <c r="G1713" s="80">
        <f>G1711+G1712</f>
        <v>334268</v>
      </c>
    </row>
    <row r="1714" spans="1:7">
      <c r="A1714" s="90"/>
      <c r="B1714" s="91"/>
      <c r="C1714" s="91"/>
      <c r="D1714" s="91"/>
      <c r="E1714" s="91"/>
      <c r="F1714" s="91"/>
      <c r="G1714" s="92"/>
    </row>
    <row r="1715" spans="1:7">
      <c r="A1715" s="96" t="s">
        <v>554</v>
      </c>
      <c r="B1715" s="91"/>
      <c r="C1715" s="91"/>
      <c r="D1715" s="91"/>
      <c r="E1715" s="91"/>
      <c r="F1715" s="91"/>
      <c r="G1715" s="92"/>
    </row>
    <row r="1716" spans="1:7" ht="30">
      <c r="A1716" s="79" t="s">
        <v>0</v>
      </c>
      <c r="B1716" s="79" t="s">
        <v>1</v>
      </c>
      <c r="C1716" s="79" t="s">
        <v>207</v>
      </c>
      <c r="D1716" s="79" t="s">
        <v>3</v>
      </c>
      <c r="E1716" s="79" t="s">
        <v>2</v>
      </c>
      <c r="F1716" s="79" t="s">
        <v>417</v>
      </c>
      <c r="G1716" s="79" t="s">
        <v>418</v>
      </c>
    </row>
    <row r="1717" spans="1:7">
      <c r="A1717" s="8" t="s">
        <v>4</v>
      </c>
      <c r="B1717" s="1" t="s">
        <v>5</v>
      </c>
      <c r="C1717" s="8"/>
      <c r="D1717" s="9"/>
      <c r="E1717" s="10"/>
      <c r="F1717" s="3"/>
      <c r="G1717" s="2"/>
    </row>
    <row r="1718" spans="1:7">
      <c r="A1718" s="8">
        <v>1</v>
      </c>
      <c r="B1718" s="1" t="s">
        <v>48</v>
      </c>
      <c r="C1718" s="8" t="s">
        <v>49</v>
      </c>
      <c r="D1718" s="9" t="s">
        <v>8</v>
      </c>
      <c r="E1718" s="10" t="s">
        <v>50</v>
      </c>
      <c r="F1718" s="83">
        <f>VLOOKUP(B1718,'HSD UPAH,BAHAN,ALAT'!$C$6:F1691,4,FALSE)</f>
        <v>100000</v>
      </c>
      <c r="G1718" s="84">
        <f t="shared" ref="G1718:G1721" si="217">E1718*F1718</f>
        <v>4000</v>
      </c>
    </row>
    <row r="1719" spans="1:7">
      <c r="A1719" s="8">
        <v>2</v>
      </c>
      <c r="B1719" s="1" t="s">
        <v>6</v>
      </c>
      <c r="C1719" s="8" t="s">
        <v>7</v>
      </c>
      <c r="D1719" s="9" t="s">
        <v>8</v>
      </c>
      <c r="E1719" s="10" t="s">
        <v>50</v>
      </c>
      <c r="F1719" s="83">
        <f>VLOOKUP(B1719,'HSD UPAH,BAHAN,ALAT'!$C$6:F1692,4,FALSE)</f>
        <v>100000</v>
      </c>
      <c r="G1719" s="84">
        <f t="shared" si="217"/>
        <v>4000</v>
      </c>
    </row>
    <row r="1720" spans="1:7">
      <c r="A1720" s="8">
        <v>3</v>
      </c>
      <c r="B1720" s="1" t="s">
        <v>10</v>
      </c>
      <c r="C1720" s="8" t="s">
        <v>11</v>
      </c>
      <c r="D1720" s="9" t="s">
        <v>8</v>
      </c>
      <c r="E1720" s="10" t="s">
        <v>65</v>
      </c>
      <c r="F1720" s="83">
        <f>VLOOKUP(B1720,'HSD UPAH,BAHAN,ALAT'!$C$6:F1693,4,FALSE)</f>
        <v>120000</v>
      </c>
      <c r="G1720" s="84">
        <f t="shared" si="217"/>
        <v>2400</v>
      </c>
    </row>
    <row r="1721" spans="1:7">
      <c r="A1721" s="8">
        <v>4</v>
      </c>
      <c r="B1721" s="1" t="s">
        <v>13</v>
      </c>
      <c r="C1721" s="8" t="s">
        <v>14</v>
      </c>
      <c r="D1721" s="9" t="s">
        <v>8</v>
      </c>
      <c r="E1721" s="10" t="s">
        <v>44</v>
      </c>
      <c r="F1721" s="83">
        <f>VLOOKUP(B1721,'HSD UPAH,BAHAN,ALAT'!$C$6:F1694,4,FALSE)</f>
        <v>100000</v>
      </c>
      <c r="G1721" s="84">
        <f t="shared" si="217"/>
        <v>670</v>
      </c>
    </row>
    <row r="1722" spans="1:7">
      <c r="A1722" s="261" t="s">
        <v>420</v>
      </c>
      <c r="B1722" s="261"/>
      <c r="C1722" s="261"/>
      <c r="D1722" s="261"/>
      <c r="E1722" s="261"/>
      <c r="F1722" s="261"/>
      <c r="G1722" s="85">
        <f>SUM(G1718:G1721)</f>
        <v>11070</v>
      </c>
    </row>
    <row r="1723" spans="1:7">
      <c r="A1723" s="8" t="s">
        <v>16</v>
      </c>
      <c r="B1723" s="1" t="s">
        <v>17</v>
      </c>
      <c r="C1723" s="8"/>
      <c r="D1723" s="9"/>
      <c r="E1723" s="10"/>
      <c r="F1723" s="3"/>
      <c r="G1723" s="2"/>
    </row>
    <row r="1724" spans="1:7" ht="30">
      <c r="A1724" s="17" t="s">
        <v>208</v>
      </c>
      <c r="B1724" s="5" t="s">
        <v>289</v>
      </c>
      <c r="C1724" s="17"/>
      <c r="D1724" s="12" t="s">
        <v>86</v>
      </c>
      <c r="E1724" s="7" t="s">
        <v>87</v>
      </c>
      <c r="F1724" s="83">
        <f>VLOOKUP(B1724,'HSD UPAH,BAHAN,ALAT'!$C$6:F1697,4,FALSE)</f>
        <v>10000</v>
      </c>
      <c r="G1724" s="84">
        <f t="shared" ref="G1724:G1732" si="218">E1724*F1724</f>
        <v>10500</v>
      </c>
    </row>
    <row r="1725" spans="1:7">
      <c r="A1725" s="8">
        <v>2</v>
      </c>
      <c r="B1725" s="1" t="s">
        <v>18</v>
      </c>
      <c r="C1725" s="8"/>
      <c r="D1725" s="9" t="s">
        <v>19</v>
      </c>
      <c r="E1725" s="10" t="s">
        <v>64</v>
      </c>
      <c r="F1725" s="83">
        <f>VLOOKUP(B1725,'HSD UPAH,BAHAN,ALAT'!$C$6:F1698,4,FALSE)</f>
        <v>10000</v>
      </c>
      <c r="G1725" s="84">
        <f t="shared" si="218"/>
        <v>200</v>
      </c>
    </row>
    <row r="1726" spans="1:7">
      <c r="A1726" s="8">
        <v>3</v>
      </c>
      <c r="B1726" s="1" t="s">
        <v>21</v>
      </c>
      <c r="C1726" s="8"/>
      <c r="D1726" s="9"/>
      <c r="E1726" s="10"/>
      <c r="F1726" s="83"/>
      <c r="G1726" s="84">
        <f t="shared" si="218"/>
        <v>0</v>
      </c>
    </row>
    <row r="1727" spans="1:7">
      <c r="A1727" s="8" t="s">
        <v>22</v>
      </c>
      <c r="B1727" s="1" t="s">
        <v>66</v>
      </c>
      <c r="C1727" s="8"/>
      <c r="D1727" s="9" t="s">
        <v>24</v>
      </c>
      <c r="E1727" s="10" t="s">
        <v>67</v>
      </c>
      <c r="F1727" s="83">
        <f>VLOOKUP(B1727,'HSD UPAH,BAHAN,ALAT'!$C$6:F1700,4,FALSE)</f>
        <v>10000</v>
      </c>
      <c r="G1727" s="84">
        <f t="shared" si="218"/>
        <v>180000</v>
      </c>
    </row>
    <row r="1728" spans="1:7">
      <c r="A1728" s="8" t="s">
        <v>30</v>
      </c>
      <c r="B1728" s="1" t="s">
        <v>56</v>
      </c>
      <c r="C1728" s="8"/>
      <c r="D1728" s="9" t="s">
        <v>24</v>
      </c>
      <c r="E1728" s="10" t="s">
        <v>57</v>
      </c>
      <c r="F1728" s="83">
        <f>VLOOKUP(B1728,'HSD UPAH,BAHAN,ALAT'!$C$6:F1701,4,FALSE)</f>
        <v>10000</v>
      </c>
      <c r="G1728" s="84">
        <f t="shared" si="218"/>
        <v>100000</v>
      </c>
    </row>
    <row r="1729" spans="1:7">
      <c r="A1729" s="8">
        <v>4</v>
      </c>
      <c r="B1729" s="1" t="s">
        <v>26</v>
      </c>
      <c r="C1729" s="8"/>
      <c r="D1729" s="9"/>
      <c r="E1729" s="10"/>
      <c r="F1729" s="83"/>
      <c r="G1729" s="84">
        <f t="shared" si="218"/>
        <v>0</v>
      </c>
    </row>
    <row r="1730" spans="1:7">
      <c r="A1730" s="8" t="s">
        <v>22</v>
      </c>
      <c r="B1730" s="1" t="s">
        <v>27</v>
      </c>
      <c r="C1730" s="8"/>
      <c r="D1730" s="9" t="s">
        <v>28</v>
      </c>
      <c r="E1730" s="10" t="s">
        <v>68</v>
      </c>
      <c r="F1730" s="83">
        <f>VLOOKUP(B1730,'HSD UPAH,BAHAN,ALAT'!$C$6:F1703,4,FALSE)</f>
        <v>10000</v>
      </c>
      <c r="G1730" s="84">
        <f t="shared" si="218"/>
        <v>980</v>
      </c>
    </row>
    <row r="1731" spans="1:7">
      <c r="A1731" s="8" t="s">
        <v>30</v>
      </c>
      <c r="B1731" s="1" t="s">
        <v>31</v>
      </c>
      <c r="C1731" s="8"/>
      <c r="D1731" s="9" t="s">
        <v>28</v>
      </c>
      <c r="E1731" s="10" t="s">
        <v>69</v>
      </c>
      <c r="F1731" s="83">
        <f>VLOOKUP(B1731,'HSD UPAH,BAHAN,ALAT'!$C$6:F1704,4,FALSE)</f>
        <v>10000</v>
      </c>
      <c r="G1731" s="84">
        <f t="shared" si="218"/>
        <v>260</v>
      </c>
    </row>
    <row r="1732" spans="1:7">
      <c r="A1732" s="8" t="s">
        <v>33</v>
      </c>
      <c r="B1732" s="1" t="s">
        <v>34</v>
      </c>
      <c r="C1732" s="8"/>
      <c r="D1732" s="9" t="s">
        <v>28</v>
      </c>
      <c r="E1732" s="10" t="s">
        <v>70</v>
      </c>
      <c r="F1732" s="83">
        <f>VLOOKUP(B1732,'HSD UPAH,BAHAN,ALAT'!$C$6:F1705,4,FALSE)</f>
        <v>10000</v>
      </c>
      <c r="G1732" s="84">
        <f t="shared" si="218"/>
        <v>70</v>
      </c>
    </row>
    <row r="1733" spans="1:7">
      <c r="A1733" s="261" t="s">
        <v>421</v>
      </c>
      <c r="B1733" s="261"/>
      <c r="C1733" s="261"/>
      <c r="D1733" s="261"/>
      <c r="E1733" s="261"/>
      <c r="F1733" s="261"/>
      <c r="G1733" s="85">
        <f>SUM(G1724:G1732)</f>
        <v>292010</v>
      </c>
    </row>
    <row r="1734" spans="1:7">
      <c r="A1734" s="8" t="s">
        <v>36</v>
      </c>
      <c r="B1734" s="1" t="s">
        <v>37</v>
      </c>
      <c r="C1734" s="8"/>
      <c r="D1734" s="9"/>
      <c r="E1734" s="10"/>
      <c r="F1734" s="3"/>
      <c r="G1734" s="2"/>
    </row>
    <row r="1735" spans="1:7">
      <c r="A1735" s="8">
        <v>1</v>
      </c>
      <c r="B1735" s="1" t="s">
        <v>71</v>
      </c>
      <c r="C1735" s="8"/>
      <c r="D1735" s="9" t="s">
        <v>72</v>
      </c>
      <c r="E1735" s="10" t="s">
        <v>73</v>
      </c>
      <c r="F1735" s="83">
        <f>VLOOKUP(B1735,'HSD UPAH,BAHAN,ALAT'!$C$6:F1708,4,FALSE)</f>
        <v>10000</v>
      </c>
      <c r="G1735" s="84">
        <f t="shared" ref="G1735" si="219">E1735*F1735</f>
        <v>2800.0000000000005</v>
      </c>
    </row>
    <row r="1736" spans="1:7">
      <c r="A1736" s="263" t="s">
        <v>419</v>
      </c>
      <c r="B1736" s="263"/>
      <c r="C1736" s="263"/>
      <c r="D1736" s="263"/>
      <c r="E1736" s="263"/>
      <c r="F1736" s="263"/>
      <c r="G1736" s="80">
        <f>SUM(G1735)</f>
        <v>2800.0000000000005</v>
      </c>
    </row>
    <row r="1737" spans="1:7">
      <c r="A1737" s="81" t="s">
        <v>38</v>
      </c>
      <c r="B1737" s="262" t="s">
        <v>39</v>
      </c>
      <c r="C1737" s="262"/>
      <c r="D1737" s="262"/>
      <c r="E1737" s="262"/>
      <c r="F1737" s="262"/>
      <c r="G1737" s="80">
        <f>SUM(G1719:G1736)/2</f>
        <v>303880</v>
      </c>
    </row>
    <row r="1738" spans="1:7">
      <c r="A1738" s="81" t="s">
        <v>40</v>
      </c>
      <c r="B1738" s="262" t="s">
        <v>180</v>
      </c>
      <c r="C1738" s="262"/>
      <c r="D1738" s="262"/>
      <c r="E1738" s="262"/>
      <c r="F1738" s="82">
        <v>0.1</v>
      </c>
      <c r="G1738" s="80">
        <f>G1737*F1738</f>
        <v>30388</v>
      </c>
    </row>
    <row r="1739" spans="1:7">
      <c r="A1739" s="81" t="s">
        <v>41</v>
      </c>
      <c r="B1739" s="262" t="s">
        <v>42</v>
      </c>
      <c r="C1739" s="262"/>
      <c r="D1739" s="262"/>
      <c r="E1739" s="262"/>
      <c r="F1739" s="262"/>
      <c r="G1739" s="80">
        <f>G1737+G1738</f>
        <v>334268</v>
      </c>
    </row>
    <row r="1740" spans="1:7">
      <c r="A1740" s="90"/>
      <c r="B1740" s="91"/>
      <c r="C1740" s="91"/>
      <c r="D1740" s="91"/>
      <c r="E1740" s="91"/>
      <c r="F1740" s="91"/>
      <c r="G1740" s="92"/>
    </row>
    <row r="1741" spans="1:7">
      <c r="A1741" s="96" t="s">
        <v>555</v>
      </c>
      <c r="B1741" s="91"/>
      <c r="C1741" s="91"/>
      <c r="D1741" s="91"/>
      <c r="E1741" s="91"/>
      <c r="F1741" s="91"/>
      <c r="G1741" s="92"/>
    </row>
    <row r="1742" spans="1:7" ht="30">
      <c r="A1742" s="79" t="s">
        <v>0</v>
      </c>
      <c r="B1742" s="79" t="s">
        <v>1</v>
      </c>
      <c r="C1742" s="79" t="s">
        <v>207</v>
      </c>
      <c r="D1742" s="79" t="s">
        <v>3</v>
      </c>
      <c r="E1742" s="79" t="s">
        <v>2</v>
      </c>
      <c r="F1742" s="79" t="s">
        <v>417</v>
      </c>
      <c r="G1742" s="79" t="s">
        <v>418</v>
      </c>
    </row>
    <row r="1743" spans="1:7">
      <c r="A1743" s="8" t="s">
        <v>4</v>
      </c>
      <c r="B1743" s="1" t="s">
        <v>5</v>
      </c>
      <c r="C1743" s="8"/>
      <c r="D1743" s="9"/>
      <c r="E1743" s="10"/>
      <c r="F1743" s="3"/>
      <c r="G1743" s="2"/>
    </row>
    <row r="1744" spans="1:7">
      <c r="A1744" s="8">
        <v>1</v>
      </c>
      <c r="B1744" s="1" t="s">
        <v>48</v>
      </c>
      <c r="C1744" s="8" t="s">
        <v>49</v>
      </c>
      <c r="D1744" s="9" t="s">
        <v>8</v>
      </c>
      <c r="E1744" s="10" t="s">
        <v>50</v>
      </c>
      <c r="F1744" s="83">
        <f>VLOOKUP(B1744,'HSD UPAH,BAHAN,ALAT'!$C$6:F1715,4,FALSE)</f>
        <v>100000</v>
      </c>
      <c r="G1744" s="84">
        <f t="shared" ref="G1744:G1747" si="220">E1744*F1744</f>
        <v>4000</v>
      </c>
    </row>
    <row r="1745" spans="1:7">
      <c r="A1745" s="8">
        <v>2</v>
      </c>
      <c r="B1745" s="1" t="s">
        <v>6</v>
      </c>
      <c r="C1745" s="8" t="s">
        <v>7</v>
      </c>
      <c r="D1745" s="9" t="s">
        <v>8</v>
      </c>
      <c r="E1745" s="10" t="s">
        <v>50</v>
      </c>
      <c r="F1745" s="83">
        <f>VLOOKUP(B1745,'HSD UPAH,BAHAN,ALAT'!$C$6:F1716,4,FALSE)</f>
        <v>100000</v>
      </c>
      <c r="G1745" s="84">
        <f t="shared" si="220"/>
        <v>4000</v>
      </c>
    </row>
    <row r="1746" spans="1:7">
      <c r="A1746" s="8">
        <v>3</v>
      </c>
      <c r="B1746" s="1" t="s">
        <v>10</v>
      </c>
      <c r="C1746" s="8" t="s">
        <v>11</v>
      </c>
      <c r="D1746" s="9" t="s">
        <v>8</v>
      </c>
      <c r="E1746" s="10" t="s">
        <v>65</v>
      </c>
      <c r="F1746" s="83">
        <f>VLOOKUP(B1746,'HSD UPAH,BAHAN,ALAT'!$C$6:F1717,4,FALSE)</f>
        <v>120000</v>
      </c>
      <c r="G1746" s="84">
        <f t="shared" si="220"/>
        <v>2400</v>
      </c>
    </row>
    <row r="1747" spans="1:7">
      <c r="A1747" s="8">
        <v>4</v>
      </c>
      <c r="B1747" s="1" t="s">
        <v>13</v>
      </c>
      <c r="C1747" s="8" t="s">
        <v>14</v>
      </c>
      <c r="D1747" s="9" t="s">
        <v>8</v>
      </c>
      <c r="E1747" s="10" t="s">
        <v>44</v>
      </c>
      <c r="F1747" s="83">
        <f>VLOOKUP(B1747,'HSD UPAH,BAHAN,ALAT'!$C$6:F1718,4,FALSE)</f>
        <v>100000</v>
      </c>
      <c r="G1747" s="84">
        <f t="shared" si="220"/>
        <v>670</v>
      </c>
    </row>
    <row r="1748" spans="1:7">
      <c r="A1748" s="261" t="s">
        <v>420</v>
      </c>
      <c r="B1748" s="261"/>
      <c r="C1748" s="261"/>
      <c r="D1748" s="261"/>
      <c r="E1748" s="261"/>
      <c r="F1748" s="261"/>
      <c r="G1748" s="85">
        <f>SUM(G1744:G1747)</f>
        <v>11070</v>
      </c>
    </row>
    <row r="1749" spans="1:7">
      <c r="A1749" s="8" t="s">
        <v>16</v>
      </c>
      <c r="B1749" s="1" t="s">
        <v>17</v>
      </c>
      <c r="C1749" s="8"/>
      <c r="D1749" s="9"/>
      <c r="E1749" s="10"/>
      <c r="F1749" s="3"/>
      <c r="G1749" s="2"/>
    </row>
    <row r="1750" spans="1:7" ht="30">
      <c r="A1750" s="17" t="s">
        <v>208</v>
      </c>
      <c r="B1750" s="5" t="s">
        <v>290</v>
      </c>
      <c r="C1750" s="17"/>
      <c r="D1750" s="12" t="s">
        <v>86</v>
      </c>
      <c r="E1750" s="7" t="s">
        <v>87</v>
      </c>
      <c r="F1750" s="83">
        <f>VLOOKUP(B1750,'HSD UPAH,BAHAN,ALAT'!$C$6:F1721,4,FALSE)</f>
        <v>10000</v>
      </c>
      <c r="G1750" s="84">
        <f t="shared" ref="G1750:G1758" si="221">E1750*F1750</f>
        <v>10500</v>
      </c>
    </row>
    <row r="1751" spans="1:7">
      <c r="A1751" s="8">
        <v>2</v>
      </c>
      <c r="B1751" s="1" t="s">
        <v>18</v>
      </c>
      <c r="C1751" s="8"/>
      <c r="D1751" s="9" t="s">
        <v>19</v>
      </c>
      <c r="E1751" s="10" t="s">
        <v>64</v>
      </c>
      <c r="F1751" s="83">
        <f>VLOOKUP(B1751,'HSD UPAH,BAHAN,ALAT'!$C$6:F1722,4,FALSE)</f>
        <v>10000</v>
      </c>
      <c r="G1751" s="84">
        <f t="shared" si="221"/>
        <v>200</v>
      </c>
    </row>
    <row r="1752" spans="1:7">
      <c r="A1752" s="8">
        <v>3</v>
      </c>
      <c r="B1752" s="1" t="s">
        <v>21</v>
      </c>
      <c r="C1752" s="8"/>
      <c r="D1752" s="9"/>
      <c r="E1752" s="10"/>
      <c r="F1752" s="83"/>
      <c r="G1752" s="84">
        <f t="shared" si="221"/>
        <v>0</v>
      </c>
    </row>
    <row r="1753" spans="1:7">
      <c r="A1753" s="8" t="s">
        <v>22</v>
      </c>
      <c r="B1753" s="1" t="s">
        <v>66</v>
      </c>
      <c r="C1753" s="8"/>
      <c r="D1753" s="9" t="s">
        <v>24</v>
      </c>
      <c r="E1753" s="10" t="s">
        <v>67</v>
      </c>
      <c r="F1753" s="83">
        <f>VLOOKUP(B1753,'HSD UPAH,BAHAN,ALAT'!$C$6:F1724,4,FALSE)</f>
        <v>10000</v>
      </c>
      <c r="G1753" s="84">
        <f t="shared" si="221"/>
        <v>180000</v>
      </c>
    </row>
    <row r="1754" spans="1:7">
      <c r="A1754" s="8" t="s">
        <v>30</v>
      </c>
      <c r="B1754" s="1" t="s">
        <v>56</v>
      </c>
      <c r="C1754" s="8"/>
      <c r="D1754" s="9" t="s">
        <v>24</v>
      </c>
      <c r="E1754" s="10" t="s">
        <v>57</v>
      </c>
      <c r="F1754" s="83">
        <f>VLOOKUP(B1754,'HSD UPAH,BAHAN,ALAT'!$C$6:F1725,4,FALSE)</f>
        <v>10000</v>
      </c>
      <c r="G1754" s="84">
        <f t="shared" si="221"/>
        <v>100000</v>
      </c>
    </row>
    <row r="1755" spans="1:7">
      <c r="A1755" s="8">
        <v>4</v>
      </c>
      <c r="B1755" s="1" t="s">
        <v>26</v>
      </c>
      <c r="C1755" s="8"/>
      <c r="D1755" s="9"/>
      <c r="E1755" s="10"/>
      <c r="F1755" s="83"/>
      <c r="G1755" s="84">
        <f t="shared" si="221"/>
        <v>0</v>
      </c>
    </row>
    <row r="1756" spans="1:7">
      <c r="A1756" s="8" t="s">
        <v>22</v>
      </c>
      <c r="B1756" s="1" t="s">
        <v>27</v>
      </c>
      <c r="C1756" s="8"/>
      <c r="D1756" s="9" t="s">
        <v>28</v>
      </c>
      <c r="E1756" s="10" t="s">
        <v>68</v>
      </c>
      <c r="F1756" s="83">
        <f>VLOOKUP(B1756,'HSD UPAH,BAHAN,ALAT'!$C$6:F1727,4,FALSE)</f>
        <v>10000</v>
      </c>
      <c r="G1756" s="84">
        <f t="shared" si="221"/>
        <v>980</v>
      </c>
    </row>
    <row r="1757" spans="1:7">
      <c r="A1757" s="8" t="s">
        <v>30</v>
      </c>
      <c r="B1757" s="1" t="s">
        <v>31</v>
      </c>
      <c r="C1757" s="8"/>
      <c r="D1757" s="9" t="s">
        <v>28</v>
      </c>
      <c r="E1757" s="10" t="s">
        <v>69</v>
      </c>
      <c r="F1757" s="83">
        <f>VLOOKUP(B1757,'HSD UPAH,BAHAN,ALAT'!$C$6:F1728,4,FALSE)</f>
        <v>10000</v>
      </c>
      <c r="G1757" s="84">
        <f t="shared" si="221"/>
        <v>260</v>
      </c>
    </row>
    <row r="1758" spans="1:7">
      <c r="A1758" s="8" t="s">
        <v>33</v>
      </c>
      <c r="B1758" s="1" t="s">
        <v>34</v>
      </c>
      <c r="C1758" s="8"/>
      <c r="D1758" s="9" t="s">
        <v>28</v>
      </c>
      <c r="E1758" s="10" t="s">
        <v>70</v>
      </c>
      <c r="F1758" s="83">
        <f>VLOOKUP(B1758,'HSD UPAH,BAHAN,ALAT'!$C$6:F1729,4,FALSE)</f>
        <v>10000</v>
      </c>
      <c r="G1758" s="84">
        <f t="shared" si="221"/>
        <v>70</v>
      </c>
    </row>
    <row r="1759" spans="1:7">
      <c r="A1759" s="261" t="s">
        <v>421</v>
      </c>
      <c r="B1759" s="261"/>
      <c r="C1759" s="261"/>
      <c r="D1759" s="261"/>
      <c r="E1759" s="261"/>
      <c r="F1759" s="261"/>
      <c r="G1759" s="85">
        <f>SUM(G1750:G1758)</f>
        <v>292010</v>
      </c>
    </row>
    <row r="1760" spans="1:7">
      <c r="A1760" s="8" t="s">
        <v>36</v>
      </c>
      <c r="B1760" s="1" t="s">
        <v>37</v>
      </c>
      <c r="C1760" s="8"/>
      <c r="D1760" s="9"/>
      <c r="E1760" s="10"/>
      <c r="F1760" s="3"/>
      <c r="G1760" s="2"/>
    </row>
    <row r="1761" spans="1:7">
      <c r="A1761" s="8">
        <v>1</v>
      </c>
      <c r="B1761" s="1" t="s">
        <v>71</v>
      </c>
      <c r="C1761" s="8"/>
      <c r="D1761" s="9" t="s">
        <v>72</v>
      </c>
      <c r="E1761" s="10" t="s">
        <v>73</v>
      </c>
      <c r="F1761" s="83">
        <f>VLOOKUP(B1761,'HSD UPAH,BAHAN,ALAT'!$C$6:F1732,4,FALSE)</f>
        <v>10000</v>
      </c>
      <c r="G1761" s="84">
        <f t="shared" ref="G1761" si="222">E1761*F1761</f>
        <v>2800.0000000000005</v>
      </c>
    </row>
    <row r="1762" spans="1:7">
      <c r="A1762" s="263" t="s">
        <v>419</v>
      </c>
      <c r="B1762" s="263"/>
      <c r="C1762" s="263"/>
      <c r="D1762" s="263"/>
      <c r="E1762" s="263"/>
      <c r="F1762" s="263"/>
      <c r="G1762" s="80">
        <f>SUM(G1761)</f>
        <v>2800.0000000000005</v>
      </c>
    </row>
    <row r="1763" spans="1:7">
      <c r="A1763" s="81" t="s">
        <v>38</v>
      </c>
      <c r="B1763" s="262" t="s">
        <v>39</v>
      </c>
      <c r="C1763" s="262"/>
      <c r="D1763" s="262"/>
      <c r="E1763" s="262"/>
      <c r="F1763" s="262"/>
      <c r="G1763" s="80">
        <f>SUM(G1745:G1762)/2</f>
        <v>303880</v>
      </c>
    </row>
    <row r="1764" spans="1:7">
      <c r="A1764" s="81" t="s">
        <v>40</v>
      </c>
      <c r="B1764" s="262" t="s">
        <v>180</v>
      </c>
      <c r="C1764" s="262"/>
      <c r="D1764" s="262"/>
      <c r="E1764" s="262"/>
      <c r="F1764" s="82">
        <v>0.1</v>
      </c>
      <c r="G1764" s="80">
        <f>G1763*F1764</f>
        <v>30388</v>
      </c>
    </row>
    <row r="1765" spans="1:7">
      <c r="A1765" s="81" t="s">
        <v>41</v>
      </c>
      <c r="B1765" s="262" t="s">
        <v>42</v>
      </c>
      <c r="C1765" s="262"/>
      <c r="D1765" s="262"/>
      <c r="E1765" s="262"/>
      <c r="F1765" s="262"/>
      <c r="G1765" s="80">
        <f>G1763+G1764</f>
        <v>334268</v>
      </c>
    </row>
    <row r="1766" spans="1:7">
      <c r="A1766" s="90"/>
      <c r="B1766" s="91"/>
      <c r="C1766" s="91"/>
      <c r="D1766" s="91"/>
      <c r="E1766" s="91"/>
      <c r="F1766" s="91"/>
      <c r="G1766" s="92"/>
    </row>
    <row r="1767" spans="1:7">
      <c r="A1767" s="96" t="s">
        <v>556</v>
      </c>
      <c r="B1767" s="91"/>
      <c r="C1767" s="91"/>
      <c r="D1767" s="91"/>
      <c r="E1767" s="91"/>
      <c r="F1767" s="91"/>
      <c r="G1767" s="92"/>
    </row>
    <row r="1768" spans="1:7" ht="30">
      <c r="A1768" s="79" t="s">
        <v>0</v>
      </c>
      <c r="B1768" s="79" t="s">
        <v>1</v>
      </c>
      <c r="C1768" s="79" t="s">
        <v>207</v>
      </c>
      <c r="D1768" s="79" t="s">
        <v>3</v>
      </c>
      <c r="E1768" s="79" t="s">
        <v>2</v>
      </c>
      <c r="F1768" s="79" t="s">
        <v>417</v>
      </c>
      <c r="G1768" s="79" t="s">
        <v>418</v>
      </c>
    </row>
    <row r="1769" spans="1:7">
      <c r="A1769" s="8" t="s">
        <v>4</v>
      </c>
      <c r="B1769" s="1" t="s">
        <v>5</v>
      </c>
      <c r="C1769" s="8"/>
      <c r="D1769" s="9"/>
      <c r="E1769" s="10"/>
      <c r="F1769" s="3"/>
      <c r="G1769" s="2"/>
    </row>
    <row r="1770" spans="1:7">
      <c r="A1770" s="8">
        <v>1</v>
      </c>
      <c r="B1770" s="1" t="s">
        <v>48</v>
      </c>
      <c r="C1770" s="8" t="s">
        <v>49</v>
      </c>
      <c r="D1770" s="9" t="s">
        <v>8</v>
      </c>
      <c r="E1770" s="10" t="s">
        <v>50</v>
      </c>
      <c r="F1770" s="83">
        <f>VLOOKUP(B1770,'HSD UPAH,BAHAN,ALAT'!$C$6:F1739,4,FALSE)</f>
        <v>100000</v>
      </c>
      <c r="G1770" s="84">
        <f t="shared" ref="G1770:G1773" si="223">E1770*F1770</f>
        <v>4000</v>
      </c>
    </row>
    <row r="1771" spans="1:7">
      <c r="A1771" s="8">
        <v>2</v>
      </c>
      <c r="B1771" s="1" t="s">
        <v>6</v>
      </c>
      <c r="C1771" s="8" t="s">
        <v>7</v>
      </c>
      <c r="D1771" s="9" t="s">
        <v>8</v>
      </c>
      <c r="E1771" s="10" t="s">
        <v>50</v>
      </c>
      <c r="F1771" s="83">
        <f>VLOOKUP(B1771,'HSD UPAH,BAHAN,ALAT'!$C$6:F1740,4,FALSE)</f>
        <v>100000</v>
      </c>
      <c r="G1771" s="84">
        <f t="shared" si="223"/>
        <v>4000</v>
      </c>
    </row>
    <row r="1772" spans="1:7">
      <c r="A1772" s="8">
        <v>3</v>
      </c>
      <c r="B1772" s="1" t="s">
        <v>10</v>
      </c>
      <c r="C1772" s="8" t="s">
        <v>11</v>
      </c>
      <c r="D1772" s="9" t="s">
        <v>8</v>
      </c>
      <c r="E1772" s="10" t="s">
        <v>65</v>
      </c>
      <c r="F1772" s="83">
        <f>VLOOKUP(B1772,'HSD UPAH,BAHAN,ALAT'!$C$6:F1741,4,FALSE)</f>
        <v>120000</v>
      </c>
      <c r="G1772" s="84">
        <f t="shared" si="223"/>
        <v>2400</v>
      </c>
    </row>
    <row r="1773" spans="1:7">
      <c r="A1773" s="8">
        <v>4</v>
      </c>
      <c r="B1773" s="1" t="s">
        <v>13</v>
      </c>
      <c r="C1773" s="8" t="s">
        <v>14</v>
      </c>
      <c r="D1773" s="9" t="s">
        <v>8</v>
      </c>
      <c r="E1773" s="10" t="s">
        <v>44</v>
      </c>
      <c r="F1773" s="83">
        <f>VLOOKUP(B1773,'HSD UPAH,BAHAN,ALAT'!$C$6:F1742,4,FALSE)</f>
        <v>100000</v>
      </c>
      <c r="G1773" s="84">
        <f t="shared" si="223"/>
        <v>670</v>
      </c>
    </row>
    <row r="1774" spans="1:7">
      <c r="A1774" s="261" t="s">
        <v>420</v>
      </c>
      <c r="B1774" s="261"/>
      <c r="C1774" s="261"/>
      <c r="D1774" s="261"/>
      <c r="E1774" s="261"/>
      <c r="F1774" s="261"/>
      <c r="G1774" s="85">
        <f>SUM(G1770:G1773)</f>
        <v>11070</v>
      </c>
    </row>
    <row r="1775" spans="1:7">
      <c r="A1775" s="8" t="s">
        <v>16</v>
      </c>
      <c r="B1775" s="1" t="s">
        <v>17</v>
      </c>
      <c r="C1775" s="8"/>
      <c r="D1775" s="9"/>
      <c r="E1775" s="10"/>
      <c r="F1775" s="3"/>
      <c r="G1775" s="2"/>
    </row>
    <row r="1776" spans="1:7" ht="30">
      <c r="A1776" s="17" t="s">
        <v>208</v>
      </c>
      <c r="B1776" s="5" t="s">
        <v>291</v>
      </c>
      <c r="C1776" s="17"/>
      <c r="D1776" s="12" t="s">
        <v>86</v>
      </c>
      <c r="E1776" s="7" t="s">
        <v>87</v>
      </c>
      <c r="F1776" s="83">
        <f>VLOOKUP(B1776,'HSD UPAH,BAHAN,ALAT'!$C$6:F1745,4,FALSE)</f>
        <v>10000</v>
      </c>
      <c r="G1776" s="84">
        <f t="shared" ref="G1776:G1784" si="224">E1776*F1776</f>
        <v>10500</v>
      </c>
    </row>
    <row r="1777" spans="1:7">
      <c r="A1777" s="8">
        <v>2</v>
      </c>
      <c r="B1777" s="1" t="s">
        <v>18</v>
      </c>
      <c r="C1777" s="8"/>
      <c r="D1777" s="9" t="s">
        <v>19</v>
      </c>
      <c r="E1777" s="10" t="s">
        <v>64</v>
      </c>
      <c r="F1777" s="83">
        <f>VLOOKUP(B1777,'HSD UPAH,BAHAN,ALAT'!$C$6:F1746,4,FALSE)</f>
        <v>10000</v>
      </c>
      <c r="G1777" s="84">
        <f t="shared" si="224"/>
        <v>200</v>
      </c>
    </row>
    <row r="1778" spans="1:7">
      <c r="A1778" s="8">
        <v>3</v>
      </c>
      <c r="B1778" s="1" t="s">
        <v>21</v>
      </c>
      <c r="C1778" s="8"/>
      <c r="D1778" s="9"/>
      <c r="E1778" s="10"/>
      <c r="F1778" s="83"/>
      <c r="G1778" s="84">
        <f t="shared" si="224"/>
        <v>0</v>
      </c>
    </row>
    <row r="1779" spans="1:7">
      <c r="A1779" s="8" t="s">
        <v>22</v>
      </c>
      <c r="B1779" s="1" t="s">
        <v>66</v>
      </c>
      <c r="C1779" s="8"/>
      <c r="D1779" s="9" t="s">
        <v>24</v>
      </c>
      <c r="E1779" s="10" t="s">
        <v>67</v>
      </c>
      <c r="F1779" s="83">
        <f>VLOOKUP(B1779,'HSD UPAH,BAHAN,ALAT'!$C$6:F1748,4,FALSE)</f>
        <v>10000</v>
      </c>
      <c r="G1779" s="84">
        <f t="shared" si="224"/>
        <v>180000</v>
      </c>
    </row>
    <row r="1780" spans="1:7">
      <c r="A1780" s="8" t="s">
        <v>30</v>
      </c>
      <c r="B1780" s="1" t="s">
        <v>56</v>
      </c>
      <c r="C1780" s="8"/>
      <c r="D1780" s="9" t="s">
        <v>24</v>
      </c>
      <c r="E1780" s="10" t="s">
        <v>57</v>
      </c>
      <c r="F1780" s="83">
        <f>VLOOKUP(B1780,'HSD UPAH,BAHAN,ALAT'!$C$6:F1749,4,FALSE)</f>
        <v>10000</v>
      </c>
      <c r="G1780" s="84">
        <f t="shared" si="224"/>
        <v>100000</v>
      </c>
    </row>
    <row r="1781" spans="1:7">
      <c r="A1781" s="8">
        <v>4</v>
      </c>
      <c r="B1781" s="1" t="s">
        <v>26</v>
      </c>
      <c r="C1781" s="8"/>
      <c r="D1781" s="9"/>
      <c r="E1781" s="10"/>
      <c r="F1781" s="83"/>
      <c r="G1781" s="84">
        <f t="shared" si="224"/>
        <v>0</v>
      </c>
    </row>
    <row r="1782" spans="1:7">
      <c r="A1782" s="8" t="s">
        <v>22</v>
      </c>
      <c r="B1782" s="1" t="s">
        <v>27</v>
      </c>
      <c r="C1782" s="8"/>
      <c r="D1782" s="9" t="s">
        <v>28</v>
      </c>
      <c r="E1782" s="10" t="s">
        <v>68</v>
      </c>
      <c r="F1782" s="83">
        <f>VLOOKUP(B1782,'HSD UPAH,BAHAN,ALAT'!$C$6:F1751,4,FALSE)</f>
        <v>10000</v>
      </c>
      <c r="G1782" s="84">
        <f t="shared" si="224"/>
        <v>980</v>
      </c>
    </row>
    <row r="1783" spans="1:7">
      <c r="A1783" s="8" t="s">
        <v>30</v>
      </c>
      <c r="B1783" s="1" t="s">
        <v>31</v>
      </c>
      <c r="C1783" s="8"/>
      <c r="D1783" s="9" t="s">
        <v>28</v>
      </c>
      <c r="E1783" s="10" t="s">
        <v>69</v>
      </c>
      <c r="F1783" s="83">
        <f>VLOOKUP(B1783,'HSD UPAH,BAHAN,ALAT'!$C$6:F1752,4,FALSE)</f>
        <v>10000</v>
      </c>
      <c r="G1783" s="84">
        <f t="shared" si="224"/>
        <v>260</v>
      </c>
    </row>
    <row r="1784" spans="1:7">
      <c r="A1784" s="8" t="s">
        <v>33</v>
      </c>
      <c r="B1784" s="1" t="s">
        <v>34</v>
      </c>
      <c r="C1784" s="8"/>
      <c r="D1784" s="9" t="s">
        <v>28</v>
      </c>
      <c r="E1784" s="10" t="s">
        <v>70</v>
      </c>
      <c r="F1784" s="83">
        <f>VLOOKUP(B1784,'HSD UPAH,BAHAN,ALAT'!$C$6:F1753,4,FALSE)</f>
        <v>10000</v>
      </c>
      <c r="G1784" s="84">
        <f t="shared" si="224"/>
        <v>70</v>
      </c>
    </row>
    <row r="1785" spans="1:7">
      <c r="A1785" s="261" t="s">
        <v>421</v>
      </c>
      <c r="B1785" s="261"/>
      <c r="C1785" s="261"/>
      <c r="D1785" s="261"/>
      <c r="E1785" s="261"/>
      <c r="F1785" s="261"/>
      <c r="G1785" s="85">
        <f>SUM(G1776:G1784)</f>
        <v>292010</v>
      </c>
    </row>
    <row r="1786" spans="1:7">
      <c r="A1786" s="8" t="s">
        <v>36</v>
      </c>
      <c r="B1786" s="1" t="s">
        <v>37</v>
      </c>
      <c r="C1786" s="8"/>
      <c r="D1786" s="9"/>
      <c r="E1786" s="10"/>
      <c r="F1786" s="3"/>
      <c r="G1786" s="2"/>
    </row>
    <row r="1787" spans="1:7">
      <c r="A1787" s="8">
        <v>1</v>
      </c>
      <c r="B1787" s="1" t="s">
        <v>71</v>
      </c>
      <c r="C1787" s="8"/>
      <c r="D1787" s="9" t="s">
        <v>72</v>
      </c>
      <c r="E1787" s="10" t="s">
        <v>73</v>
      </c>
      <c r="F1787" s="83">
        <f>VLOOKUP(B1787,'HSD UPAH,BAHAN,ALAT'!$C$6:F1756,4,FALSE)</f>
        <v>10000</v>
      </c>
      <c r="G1787" s="84">
        <f t="shared" ref="G1787" si="225">E1787*F1787</f>
        <v>2800.0000000000005</v>
      </c>
    </row>
    <row r="1788" spans="1:7">
      <c r="A1788" s="263" t="s">
        <v>419</v>
      </c>
      <c r="B1788" s="263"/>
      <c r="C1788" s="263"/>
      <c r="D1788" s="263"/>
      <c r="E1788" s="263"/>
      <c r="F1788" s="263"/>
      <c r="G1788" s="80">
        <f>SUM(G1787)</f>
        <v>2800.0000000000005</v>
      </c>
    </row>
    <row r="1789" spans="1:7">
      <c r="A1789" s="81" t="s">
        <v>38</v>
      </c>
      <c r="B1789" s="262" t="s">
        <v>39</v>
      </c>
      <c r="C1789" s="262"/>
      <c r="D1789" s="262"/>
      <c r="E1789" s="262"/>
      <c r="F1789" s="262"/>
      <c r="G1789" s="80">
        <f>SUM(G1771:G1788)/2</f>
        <v>303880</v>
      </c>
    </row>
    <row r="1790" spans="1:7">
      <c r="A1790" s="81" t="s">
        <v>40</v>
      </c>
      <c r="B1790" s="262" t="s">
        <v>180</v>
      </c>
      <c r="C1790" s="262"/>
      <c r="D1790" s="262"/>
      <c r="E1790" s="262"/>
      <c r="F1790" s="82">
        <v>0.1</v>
      </c>
      <c r="G1790" s="80">
        <f>G1789*F1790</f>
        <v>30388</v>
      </c>
    </row>
    <row r="1791" spans="1:7">
      <c r="A1791" s="81" t="s">
        <v>41</v>
      </c>
      <c r="B1791" s="262" t="s">
        <v>42</v>
      </c>
      <c r="C1791" s="262"/>
      <c r="D1791" s="262"/>
      <c r="E1791" s="262"/>
      <c r="F1791" s="262"/>
      <c r="G1791" s="80">
        <f>G1789+G1790</f>
        <v>334268</v>
      </c>
    </row>
    <row r="1792" spans="1:7">
      <c r="A1792" s="90"/>
      <c r="B1792" s="91"/>
      <c r="C1792" s="91"/>
      <c r="D1792" s="91"/>
      <c r="E1792" s="91"/>
      <c r="F1792" s="91"/>
      <c r="G1792" s="92"/>
    </row>
    <row r="1793" spans="1:7">
      <c r="A1793" s="4" t="s">
        <v>557</v>
      </c>
      <c r="B1793" s="91"/>
      <c r="C1793" s="91"/>
      <c r="D1793" s="91"/>
      <c r="E1793" s="91"/>
      <c r="F1793" s="91"/>
      <c r="G1793" s="92"/>
    </row>
    <row r="1794" spans="1:7" ht="30">
      <c r="A1794" s="79" t="s">
        <v>0</v>
      </c>
      <c r="B1794" s="79" t="s">
        <v>1</v>
      </c>
      <c r="C1794" s="79" t="s">
        <v>207</v>
      </c>
      <c r="D1794" s="79" t="s">
        <v>3</v>
      </c>
      <c r="E1794" s="79" t="s">
        <v>2</v>
      </c>
      <c r="F1794" s="79" t="s">
        <v>417</v>
      </c>
      <c r="G1794" s="79" t="s">
        <v>418</v>
      </c>
    </row>
    <row r="1795" spans="1:7">
      <c r="A1795" s="8" t="s">
        <v>4</v>
      </c>
      <c r="B1795" s="1" t="s">
        <v>5</v>
      </c>
      <c r="C1795" s="8"/>
      <c r="D1795" s="9"/>
      <c r="E1795" s="10"/>
      <c r="F1795" s="3"/>
      <c r="G1795" s="2"/>
    </row>
    <row r="1796" spans="1:7">
      <c r="A1796" s="8">
        <v>1</v>
      </c>
      <c r="B1796" s="1" t="s">
        <v>48</v>
      </c>
      <c r="C1796" s="8" t="s">
        <v>49</v>
      </c>
      <c r="D1796" s="9" t="s">
        <v>8</v>
      </c>
      <c r="E1796" s="10" t="s">
        <v>50</v>
      </c>
      <c r="F1796" s="83">
        <f>VLOOKUP(B1796,'HSD UPAH,BAHAN,ALAT'!$C$6:F1763,4,FALSE)</f>
        <v>100000</v>
      </c>
      <c r="G1796" s="84">
        <f t="shared" ref="G1796:G1799" si="226">E1796*F1796</f>
        <v>4000</v>
      </c>
    </row>
    <row r="1797" spans="1:7">
      <c r="A1797" s="8">
        <v>2</v>
      </c>
      <c r="B1797" s="1" t="s">
        <v>6</v>
      </c>
      <c r="C1797" s="8" t="s">
        <v>7</v>
      </c>
      <c r="D1797" s="9" t="s">
        <v>8</v>
      </c>
      <c r="E1797" s="10" t="s">
        <v>50</v>
      </c>
      <c r="F1797" s="83">
        <f>VLOOKUP(B1797,'HSD UPAH,BAHAN,ALAT'!$C$6:F1764,4,FALSE)</f>
        <v>100000</v>
      </c>
      <c r="G1797" s="84">
        <f t="shared" si="226"/>
        <v>4000</v>
      </c>
    </row>
    <row r="1798" spans="1:7">
      <c r="A1798" s="8">
        <v>3</v>
      </c>
      <c r="B1798" s="1" t="s">
        <v>10</v>
      </c>
      <c r="C1798" s="8" t="s">
        <v>11</v>
      </c>
      <c r="D1798" s="9" t="s">
        <v>8</v>
      </c>
      <c r="E1798" s="10" t="s">
        <v>65</v>
      </c>
      <c r="F1798" s="83">
        <f>VLOOKUP(B1798,'HSD UPAH,BAHAN,ALAT'!$C$6:F1765,4,FALSE)</f>
        <v>120000</v>
      </c>
      <c r="G1798" s="84">
        <f t="shared" si="226"/>
        <v>2400</v>
      </c>
    </row>
    <row r="1799" spans="1:7">
      <c r="A1799" s="8">
        <v>4</v>
      </c>
      <c r="B1799" s="1" t="s">
        <v>13</v>
      </c>
      <c r="C1799" s="8" t="s">
        <v>14</v>
      </c>
      <c r="D1799" s="9" t="s">
        <v>8</v>
      </c>
      <c r="E1799" s="10" t="s">
        <v>44</v>
      </c>
      <c r="F1799" s="83">
        <f>VLOOKUP(B1799,'HSD UPAH,BAHAN,ALAT'!$C$6:F1766,4,FALSE)</f>
        <v>100000</v>
      </c>
      <c r="G1799" s="84">
        <f t="shared" si="226"/>
        <v>670</v>
      </c>
    </row>
    <row r="1800" spans="1:7">
      <c r="A1800" s="261" t="s">
        <v>420</v>
      </c>
      <c r="B1800" s="261"/>
      <c r="C1800" s="261"/>
      <c r="D1800" s="261"/>
      <c r="E1800" s="261"/>
      <c r="F1800" s="261"/>
      <c r="G1800" s="85">
        <f>SUM(G1796:G1799)</f>
        <v>11070</v>
      </c>
    </row>
    <row r="1801" spans="1:7">
      <c r="A1801" s="8" t="s">
        <v>16</v>
      </c>
      <c r="B1801" s="1" t="s">
        <v>17</v>
      </c>
      <c r="C1801" s="8"/>
      <c r="D1801" s="9"/>
      <c r="E1801" s="10"/>
      <c r="F1801" s="3"/>
      <c r="G1801" s="2"/>
    </row>
    <row r="1802" spans="1:7" ht="30">
      <c r="A1802" s="17" t="s">
        <v>208</v>
      </c>
      <c r="B1802" s="5" t="s">
        <v>292</v>
      </c>
      <c r="C1802" s="17"/>
      <c r="D1802" s="12" t="s">
        <v>86</v>
      </c>
      <c r="E1802" s="7" t="s">
        <v>87</v>
      </c>
      <c r="F1802" s="83">
        <f>VLOOKUP(B1802,'HSD UPAH,BAHAN,ALAT'!$C$6:F1769,4,FALSE)</f>
        <v>10000</v>
      </c>
      <c r="G1802" s="84">
        <f t="shared" ref="G1802:G1810" si="227">E1802*F1802</f>
        <v>10500</v>
      </c>
    </row>
    <row r="1803" spans="1:7">
      <c r="A1803" s="8">
        <v>2</v>
      </c>
      <c r="B1803" s="1" t="s">
        <v>18</v>
      </c>
      <c r="C1803" s="8"/>
      <c r="D1803" s="9" t="s">
        <v>19</v>
      </c>
      <c r="E1803" s="10" t="s">
        <v>64</v>
      </c>
      <c r="F1803" s="83">
        <f>VLOOKUP(B1803,'HSD UPAH,BAHAN,ALAT'!$C$6:F1770,4,FALSE)</f>
        <v>10000</v>
      </c>
      <c r="G1803" s="84">
        <f t="shared" si="227"/>
        <v>200</v>
      </c>
    </row>
    <row r="1804" spans="1:7">
      <c r="A1804" s="8">
        <v>3</v>
      </c>
      <c r="B1804" s="1" t="s">
        <v>21</v>
      </c>
      <c r="C1804" s="8"/>
      <c r="D1804" s="9"/>
      <c r="E1804" s="10"/>
      <c r="F1804" s="83"/>
      <c r="G1804" s="84">
        <f t="shared" si="227"/>
        <v>0</v>
      </c>
    </row>
    <row r="1805" spans="1:7">
      <c r="A1805" s="8" t="s">
        <v>22</v>
      </c>
      <c r="B1805" s="1" t="s">
        <v>66</v>
      </c>
      <c r="C1805" s="8"/>
      <c r="D1805" s="9" t="s">
        <v>24</v>
      </c>
      <c r="E1805" s="10" t="s">
        <v>67</v>
      </c>
      <c r="F1805" s="83">
        <f>VLOOKUP(B1805,'HSD UPAH,BAHAN,ALAT'!$C$6:F1772,4,FALSE)</f>
        <v>10000</v>
      </c>
      <c r="G1805" s="84">
        <f t="shared" si="227"/>
        <v>180000</v>
      </c>
    </row>
    <row r="1806" spans="1:7">
      <c r="A1806" s="8" t="s">
        <v>30</v>
      </c>
      <c r="B1806" s="1" t="s">
        <v>56</v>
      </c>
      <c r="C1806" s="8"/>
      <c r="D1806" s="9" t="s">
        <v>24</v>
      </c>
      <c r="E1806" s="10" t="s">
        <v>57</v>
      </c>
      <c r="F1806" s="83">
        <f>VLOOKUP(B1806,'HSD UPAH,BAHAN,ALAT'!$C$6:F1773,4,FALSE)</f>
        <v>10000</v>
      </c>
      <c r="G1806" s="84">
        <f t="shared" si="227"/>
        <v>100000</v>
      </c>
    </row>
    <row r="1807" spans="1:7">
      <c r="A1807" s="8">
        <v>4</v>
      </c>
      <c r="B1807" s="1" t="s">
        <v>26</v>
      </c>
      <c r="C1807" s="8"/>
      <c r="D1807" s="9"/>
      <c r="E1807" s="10"/>
      <c r="F1807" s="83"/>
      <c r="G1807" s="84">
        <f t="shared" si="227"/>
        <v>0</v>
      </c>
    </row>
    <row r="1808" spans="1:7">
      <c r="A1808" s="8" t="s">
        <v>22</v>
      </c>
      <c r="B1808" s="1" t="s">
        <v>27</v>
      </c>
      <c r="C1808" s="8"/>
      <c r="D1808" s="9" t="s">
        <v>28</v>
      </c>
      <c r="E1808" s="10" t="s">
        <v>68</v>
      </c>
      <c r="F1808" s="83">
        <f>VLOOKUP(B1808,'HSD UPAH,BAHAN,ALAT'!$C$6:F1775,4,FALSE)</f>
        <v>10000</v>
      </c>
      <c r="G1808" s="84">
        <f t="shared" si="227"/>
        <v>980</v>
      </c>
    </row>
    <row r="1809" spans="1:7">
      <c r="A1809" s="8" t="s">
        <v>30</v>
      </c>
      <c r="B1809" s="1" t="s">
        <v>31</v>
      </c>
      <c r="C1809" s="8"/>
      <c r="D1809" s="9" t="s">
        <v>28</v>
      </c>
      <c r="E1809" s="10" t="s">
        <v>69</v>
      </c>
      <c r="F1809" s="83">
        <f>VLOOKUP(B1809,'HSD UPAH,BAHAN,ALAT'!$C$6:F1776,4,FALSE)</f>
        <v>10000</v>
      </c>
      <c r="G1809" s="84">
        <f t="shared" si="227"/>
        <v>260</v>
      </c>
    </row>
    <row r="1810" spans="1:7">
      <c r="A1810" s="8" t="s">
        <v>33</v>
      </c>
      <c r="B1810" s="1" t="s">
        <v>34</v>
      </c>
      <c r="C1810" s="8"/>
      <c r="D1810" s="9" t="s">
        <v>28</v>
      </c>
      <c r="E1810" s="10" t="s">
        <v>70</v>
      </c>
      <c r="F1810" s="83">
        <f>VLOOKUP(B1810,'HSD UPAH,BAHAN,ALAT'!$C$6:F1777,4,FALSE)</f>
        <v>10000</v>
      </c>
      <c r="G1810" s="84">
        <f t="shared" si="227"/>
        <v>70</v>
      </c>
    </row>
    <row r="1811" spans="1:7">
      <c r="A1811" s="261" t="s">
        <v>421</v>
      </c>
      <c r="B1811" s="261"/>
      <c r="C1811" s="261"/>
      <c r="D1811" s="261"/>
      <c r="E1811" s="261"/>
      <c r="F1811" s="261"/>
      <c r="G1811" s="85">
        <f>SUM(G1802:G1810)</f>
        <v>292010</v>
      </c>
    </row>
    <row r="1812" spans="1:7">
      <c r="A1812" s="8" t="s">
        <v>36</v>
      </c>
      <c r="B1812" s="1" t="s">
        <v>37</v>
      </c>
      <c r="C1812" s="8"/>
      <c r="D1812" s="9"/>
      <c r="E1812" s="10"/>
      <c r="F1812" s="3"/>
      <c r="G1812" s="2"/>
    </row>
    <row r="1813" spans="1:7">
      <c r="A1813" s="8">
        <v>1</v>
      </c>
      <c r="B1813" s="1" t="s">
        <v>71</v>
      </c>
      <c r="C1813" s="8"/>
      <c r="D1813" s="9" t="s">
        <v>72</v>
      </c>
      <c r="E1813" s="10" t="s">
        <v>73</v>
      </c>
      <c r="F1813" s="83">
        <f>VLOOKUP(B1813,'HSD UPAH,BAHAN,ALAT'!$C$6:F1780,4,FALSE)</f>
        <v>10000</v>
      </c>
      <c r="G1813" s="84">
        <f t="shared" ref="G1813" si="228">E1813*F1813</f>
        <v>2800.0000000000005</v>
      </c>
    </row>
    <row r="1814" spans="1:7">
      <c r="A1814" s="263" t="s">
        <v>419</v>
      </c>
      <c r="B1814" s="263"/>
      <c r="C1814" s="263"/>
      <c r="D1814" s="263"/>
      <c r="E1814" s="263"/>
      <c r="F1814" s="263"/>
      <c r="G1814" s="80">
        <f>SUM(G1813)</f>
        <v>2800.0000000000005</v>
      </c>
    </row>
    <row r="1815" spans="1:7">
      <c r="A1815" s="81" t="s">
        <v>38</v>
      </c>
      <c r="B1815" s="262" t="s">
        <v>39</v>
      </c>
      <c r="C1815" s="262"/>
      <c r="D1815" s="262"/>
      <c r="E1815" s="262"/>
      <c r="F1815" s="262"/>
      <c r="G1815" s="80">
        <f>SUM(G1797:G1814)/2</f>
        <v>303880</v>
      </c>
    </row>
    <row r="1816" spans="1:7">
      <c r="A1816" s="81" t="s">
        <v>40</v>
      </c>
      <c r="B1816" s="262" t="s">
        <v>180</v>
      </c>
      <c r="C1816" s="262"/>
      <c r="D1816" s="262"/>
      <c r="E1816" s="262"/>
      <c r="F1816" s="82">
        <v>0.1</v>
      </c>
      <c r="G1816" s="80">
        <f>G1815*F1816</f>
        <v>30388</v>
      </c>
    </row>
    <row r="1817" spans="1:7">
      <c r="A1817" s="81" t="s">
        <v>41</v>
      </c>
      <c r="B1817" s="262" t="s">
        <v>42</v>
      </c>
      <c r="C1817" s="262"/>
      <c r="D1817" s="262"/>
      <c r="E1817" s="262"/>
      <c r="F1817" s="262"/>
      <c r="G1817" s="80">
        <f>G1815+G1816</f>
        <v>334268</v>
      </c>
    </row>
    <row r="1818" spans="1:7">
      <c r="A1818" s="90"/>
      <c r="B1818" s="91"/>
      <c r="C1818" s="91"/>
      <c r="D1818" s="91"/>
      <c r="E1818" s="91"/>
      <c r="F1818" s="91"/>
      <c r="G1818" s="92"/>
    </row>
    <row r="1819" spans="1:7">
      <c r="A1819" s="4" t="s">
        <v>558</v>
      </c>
      <c r="B1819" s="91"/>
      <c r="C1819" s="91"/>
      <c r="D1819" s="91"/>
      <c r="E1819" s="91"/>
      <c r="F1819" s="91"/>
      <c r="G1819" s="92"/>
    </row>
    <row r="1820" spans="1:7" ht="30">
      <c r="A1820" s="79" t="s">
        <v>0</v>
      </c>
      <c r="B1820" s="79" t="s">
        <v>1</v>
      </c>
      <c r="C1820" s="79" t="s">
        <v>207</v>
      </c>
      <c r="D1820" s="79" t="s">
        <v>3</v>
      </c>
      <c r="E1820" s="79" t="s">
        <v>2</v>
      </c>
      <c r="F1820" s="79" t="s">
        <v>417</v>
      </c>
      <c r="G1820" s="79" t="s">
        <v>418</v>
      </c>
    </row>
    <row r="1821" spans="1:7">
      <c r="A1821" s="8" t="s">
        <v>4</v>
      </c>
      <c r="B1821" s="1" t="s">
        <v>5</v>
      </c>
      <c r="C1821" s="8"/>
      <c r="D1821" s="9"/>
      <c r="E1821" s="10"/>
      <c r="F1821" s="3"/>
      <c r="G1821" s="2"/>
    </row>
    <row r="1822" spans="1:7">
      <c r="A1822" s="8">
        <v>1</v>
      </c>
      <c r="B1822" s="1" t="s">
        <v>48</v>
      </c>
      <c r="C1822" s="8" t="s">
        <v>49</v>
      </c>
      <c r="D1822" s="9" t="s">
        <v>8</v>
      </c>
      <c r="E1822" s="10" t="s">
        <v>50</v>
      </c>
      <c r="F1822" s="83">
        <f>VLOOKUP(B1822,'HSD UPAH,BAHAN,ALAT'!$C$6:F1787,4,FALSE)</f>
        <v>100000</v>
      </c>
      <c r="G1822" s="84">
        <f t="shared" ref="G1822:G1825" si="229">E1822*F1822</f>
        <v>4000</v>
      </c>
    </row>
    <row r="1823" spans="1:7">
      <c r="A1823" s="8">
        <v>2</v>
      </c>
      <c r="B1823" s="1" t="s">
        <v>6</v>
      </c>
      <c r="C1823" s="8" t="s">
        <v>7</v>
      </c>
      <c r="D1823" s="9" t="s">
        <v>8</v>
      </c>
      <c r="E1823" s="10" t="s">
        <v>50</v>
      </c>
      <c r="F1823" s="83">
        <f>VLOOKUP(B1823,'HSD UPAH,BAHAN,ALAT'!$C$6:F1788,4,FALSE)</f>
        <v>100000</v>
      </c>
      <c r="G1823" s="84">
        <f t="shared" si="229"/>
        <v>4000</v>
      </c>
    </row>
    <row r="1824" spans="1:7">
      <c r="A1824" s="8">
        <v>3</v>
      </c>
      <c r="B1824" s="1" t="s">
        <v>10</v>
      </c>
      <c r="C1824" s="8" t="s">
        <v>11</v>
      </c>
      <c r="D1824" s="9" t="s">
        <v>8</v>
      </c>
      <c r="E1824" s="10" t="s">
        <v>65</v>
      </c>
      <c r="F1824" s="83">
        <f>VLOOKUP(B1824,'HSD UPAH,BAHAN,ALAT'!$C$6:F1789,4,FALSE)</f>
        <v>120000</v>
      </c>
      <c r="G1824" s="84">
        <f t="shared" si="229"/>
        <v>2400</v>
      </c>
    </row>
    <row r="1825" spans="1:7">
      <c r="A1825" s="8">
        <v>4</v>
      </c>
      <c r="B1825" s="1" t="s">
        <v>13</v>
      </c>
      <c r="C1825" s="8" t="s">
        <v>14</v>
      </c>
      <c r="D1825" s="9" t="s">
        <v>8</v>
      </c>
      <c r="E1825" s="10" t="s">
        <v>44</v>
      </c>
      <c r="F1825" s="83">
        <f>VLOOKUP(B1825,'HSD UPAH,BAHAN,ALAT'!$C$6:F1790,4,FALSE)</f>
        <v>100000</v>
      </c>
      <c r="G1825" s="84">
        <f t="shared" si="229"/>
        <v>670</v>
      </c>
    </row>
    <row r="1826" spans="1:7">
      <c r="A1826" s="261" t="s">
        <v>420</v>
      </c>
      <c r="B1826" s="261"/>
      <c r="C1826" s="261"/>
      <c r="D1826" s="261"/>
      <c r="E1826" s="261"/>
      <c r="F1826" s="261"/>
      <c r="G1826" s="85">
        <f>SUM(G1822:G1825)</f>
        <v>11070</v>
      </c>
    </row>
    <row r="1827" spans="1:7">
      <c r="A1827" s="8" t="s">
        <v>16</v>
      </c>
      <c r="B1827" s="1" t="s">
        <v>17</v>
      </c>
      <c r="C1827" s="8"/>
      <c r="D1827" s="9"/>
      <c r="E1827" s="10"/>
      <c r="F1827" s="3"/>
      <c r="G1827" s="2"/>
    </row>
    <row r="1828" spans="1:7">
      <c r="A1828" s="17" t="s">
        <v>208</v>
      </c>
      <c r="B1828" s="1" t="s">
        <v>293</v>
      </c>
      <c r="C1828" s="8"/>
      <c r="D1828" s="7" t="s">
        <v>86</v>
      </c>
      <c r="E1828" s="6" t="s">
        <v>87</v>
      </c>
      <c r="F1828" s="83">
        <f>VLOOKUP(B1828,'HSD UPAH,BAHAN,ALAT'!$C$6:F1793,4,FALSE)</f>
        <v>10000</v>
      </c>
      <c r="G1828" s="84">
        <f t="shared" ref="G1828:G1836" si="230">E1828*F1828</f>
        <v>10500</v>
      </c>
    </row>
    <row r="1829" spans="1:7">
      <c r="A1829" s="8">
        <v>2</v>
      </c>
      <c r="B1829" s="1" t="s">
        <v>18</v>
      </c>
      <c r="C1829" s="8"/>
      <c r="D1829" s="9" t="s">
        <v>19</v>
      </c>
      <c r="E1829" s="10" t="s">
        <v>64</v>
      </c>
      <c r="F1829" s="83">
        <f>VLOOKUP(B1829,'HSD UPAH,BAHAN,ALAT'!$C$6:F1794,4,FALSE)</f>
        <v>10000</v>
      </c>
      <c r="G1829" s="84">
        <f t="shared" si="230"/>
        <v>200</v>
      </c>
    </row>
    <row r="1830" spans="1:7">
      <c r="A1830" s="8">
        <v>3</v>
      </c>
      <c r="B1830" s="1" t="s">
        <v>21</v>
      </c>
      <c r="C1830" s="8"/>
      <c r="D1830" s="9"/>
      <c r="E1830" s="10"/>
      <c r="F1830" s="83"/>
      <c r="G1830" s="84">
        <f t="shared" si="230"/>
        <v>0</v>
      </c>
    </row>
    <row r="1831" spans="1:7">
      <c r="A1831" s="8" t="s">
        <v>22</v>
      </c>
      <c r="B1831" s="1" t="s">
        <v>66</v>
      </c>
      <c r="C1831" s="8"/>
      <c r="D1831" s="9" t="s">
        <v>24</v>
      </c>
      <c r="E1831" s="10" t="s">
        <v>67</v>
      </c>
      <c r="F1831" s="83">
        <f>VLOOKUP(B1831,'HSD UPAH,BAHAN,ALAT'!$C$6:F1796,4,FALSE)</f>
        <v>10000</v>
      </c>
      <c r="G1831" s="84">
        <f t="shared" si="230"/>
        <v>180000</v>
      </c>
    </row>
    <row r="1832" spans="1:7">
      <c r="A1832" s="8" t="s">
        <v>30</v>
      </c>
      <c r="B1832" s="1" t="s">
        <v>56</v>
      </c>
      <c r="C1832" s="8"/>
      <c r="D1832" s="9" t="s">
        <v>24</v>
      </c>
      <c r="E1832" s="10" t="s">
        <v>57</v>
      </c>
      <c r="F1832" s="83">
        <f>VLOOKUP(B1832,'HSD UPAH,BAHAN,ALAT'!$C$6:F1797,4,FALSE)</f>
        <v>10000</v>
      </c>
      <c r="G1832" s="84">
        <f t="shared" si="230"/>
        <v>100000</v>
      </c>
    </row>
    <row r="1833" spans="1:7">
      <c r="A1833" s="8">
        <v>4</v>
      </c>
      <c r="B1833" s="1" t="s">
        <v>26</v>
      </c>
      <c r="C1833" s="8"/>
      <c r="D1833" s="9"/>
      <c r="E1833" s="10"/>
      <c r="F1833" s="83"/>
      <c r="G1833" s="84">
        <f t="shared" si="230"/>
        <v>0</v>
      </c>
    </row>
    <row r="1834" spans="1:7">
      <c r="A1834" s="8" t="s">
        <v>22</v>
      </c>
      <c r="B1834" s="1" t="s">
        <v>27</v>
      </c>
      <c r="C1834" s="8"/>
      <c r="D1834" s="9" t="s">
        <v>28</v>
      </c>
      <c r="E1834" s="10" t="s">
        <v>68</v>
      </c>
      <c r="F1834" s="83">
        <f>VLOOKUP(B1834,'HSD UPAH,BAHAN,ALAT'!$C$6:F1799,4,FALSE)</f>
        <v>10000</v>
      </c>
      <c r="G1834" s="84">
        <f t="shared" si="230"/>
        <v>980</v>
      </c>
    </row>
    <row r="1835" spans="1:7">
      <c r="A1835" s="8" t="s">
        <v>30</v>
      </c>
      <c r="B1835" s="1" t="s">
        <v>31</v>
      </c>
      <c r="C1835" s="8"/>
      <c r="D1835" s="9" t="s">
        <v>28</v>
      </c>
      <c r="E1835" s="10" t="s">
        <v>69</v>
      </c>
      <c r="F1835" s="83">
        <f>VLOOKUP(B1835,'HSD UPAH,BAHAN,ALAT'!$C$6:F1800,4,FALSE)</f>
        <v>10000</v>
      </c>
      <c r="G1835" s="84">
        <f t="shared" si="230"/>
        <v>260</v>
      </c>
    </row>
    <row r="1836" spans="1:7">
      <c r="A1836" s="8" t="s">
        <v>33</v>
      </c>
      <c r="B1836" s="1" t="s">
        <v>34</v>
      </c>
      <c r="C1836" s="8"/>
      <c r="D1836" s="9" t="s">
        <v>28</v>
      </c>
      <c r="E1836" s="10" t="s">
        <v>70</v>
      </c>
      <c r="F1836" s="83">
        <f>VLOOKUP(B1836,'HSD UPAH,BAHAN,ALAT'!$C$6:F1801,4,FALSE)</f>
        <v>10000</v>
      </c>
      <c r="G1836" s="84">
        <f t="shared" si="230"/>
        <v>70</v>
      </c>
    </row>
    <row r="1837" spans="1:7">
      <c r="A1837" s="261" t="s">
        <v>421</v>
      </c>
      <c r="B1837" s="261"/>
      <c r="C1837" s="261"/>
      <c r="D1837" s="261"/>
      <c r="E1837" s="261"/>
      <c r="F1837" s="261"/>
      <c r="G1837" s="85">
        <f>SUM(G1828:G1836)</f>
        <v>292010</v>
      </c>
    </row>
    <row r="1838" spans="1:7">
      <c r="A1838" s="8" t="s">
        <v>36</v>
      </c>
      <c r="B1838" s="1" t="s">
        <v>37</v>
      </c>
      <c r="C1838" s="8"/>
      <c r="D1838" s="9"/>
      <c r="E1838" s="10"/>
      <c r="F1838" s="3"/>
      <c r="G1838" s="2"/>
    </row>
    <row r="1839" spans="1:7">
      <c r="A1839" s="8">
        <v>1</v>
      </c>
      <c r="B1839" s="1" t="s">
        <v>71</v>
      </c>
      <c r="C1839" s="8"/>
      <c r="D1839" s="9" t="s">
        <v>72</v>
      </c>
      <c r="E1839" s="10" t="s">
        <v>73</v>
      </c>
      <c r="F1839" s="83">
        <f>VLOOKUP(B1839,'HSD UPAH,BAHAN,ALAT'!$C$6:F1804,4,FALSE)</f>
        <v>10000</v>
      </c>
      <c r="G1839" s="84">
        <f t="shared" ref="G1839" si="231">E1839*F1839</f>
        <v>2800.0000000000005</v>
      </c>
    </row>
    <row r="1840" spans="1:7">
      <c r="A1840" s="263" t="s">
        <v>419</v>
      </c>
      <c r="B1840" s="263"/>
      <c r="C1840" s="263"/>
      <c r="D1840" s="263"/>
      <c r="E1840" s="263"/>
      <c r="F1840" s="263"/>
      <c r="G1840" s="80">
        <f>SUM(G1839)</f>
        <v>2800.0000000000005</v>
      </c>
    </row>
    <row r="1841" spans="1:7">
      <c r="A1841" s="81" t="s">
        <v>38</v>
      </c>
      <c r="B1841" s="262" t="s">
        <v>39</v>
      </c>
      <c r="C1841" s="262"/>
      <c r="D1841" s="262"/>
      <c r="E1841" s="262"/>
      <c r="F1841" s="262"/>
      <c r="G1841" s="80">
        <f>SUM(G1823:G1840)/2</f>
        <v>303880</v>
      </c>
    </row>
    <row r="1842" spans="1:7">
      <c r="A1842" s="81" t="s">
        <v>40</v>
      </c>
      <c r="B1842" s="262" t="s">
        <v>180</v>
      </c>
      <c r="C1842" s="262"/>
      <c r="D1842" s="262"/>
      <c r="E1842" s="262"/>
      <c r="F1842" s="82">
        <v>0.1</v>
      </c>
      <c r="G1842" s="80">
        <f>G1841*F1842</f>
        <v>30388</v>
      </c>
    </row>
    <row r="1843" spans="1:7">
      <c r="A1843" s="81" t="s">
        <v>41</v>
      </c>
      <c r="B1843" s="262" t="s">
        <v>42</v>
      </c>
      <c r="C1843" s="262"/>
      <c r="D1843" s="262"/>
      <c r="E1843" s="262"/>
      <c r="F1843" s="262"/>
      <c r="G1843" s="80">
        <f>G1841+G1842</f>
        <v>334268</v>
      </c>
    </row>
    <row r="1844" spans="1:7">
      <c r="A1844" s="90"/>
      <c r="B1844" s="91"/>
      <c r="C1844" s="91"/>
      <c r="D1844" s="91"/>
      <c r="E1844" s="91"/>
      <c r="F1844" s="91"/>
      <c r="G1844" s="92"/>
    </row>
    <row r="1845" spans="1:7">
      <c r="A1845" s="96" t="s">
        <v>559</v>
      </c>
      <c r="B1845" s="91"/>
      <c r="C1845" s="91"/>
      <c r="D1845" s="91"/>
      <c r="E1845" s="91"/>
      <c r="F1845" s="91"/>
      <c r="G1845" s="92"/>
    </row>
    <row r="1846" spans="1:7" ht="30">
      <c r="A1846" s="79" t="s">
        <v>0</v>
      </c>
      <c r="B1846" s="79" t="s">
        <v>1</v>
      </c>
      <c r="C1846" s="79" t="s">
        <v>207</v>
      </c>
      <c r="D1846" s="79" t="s">
        <v>3</v>
      </c>
      <c r="E1846" s="79" t="s">
        <v>2</v>
      </c>
      <c r="F1846" s="79" t="s">
        <v>417</v>
      </c>
      <c r="G1846" s="79" t="s">
        <v>418</v>
      </c>
    </row>
    <row r="1847" spans="1:7">
      <c r="A1847" s="8" t="s">
        <v>4</v>
      </c>
      <c r="B1847" s="1" t="s">
        <v>5</v>
      </c>
      <c r="C1847" s="8"/>
      <c r="D1847" s="9"/>
      <c r="E1847" s="10"/>
      <c r="F1847" s="3"/>
      <c r="G1847" s="2"/>
    </row>
    <row r="1848" spans="1:7">
      <c r="A1848" s="8">
        <v>1</v>
      </c>
      <c r="B1848" s="1" t="s">
        <v>48</v>
      </c>
      <c r="C1848" s="8" t="s">
        <v>49</v>
      </c>
      <c r="D1848" s="9" t="s">
        <v>8</v>
      </c>
      <c r="E1848" s="10" t="s">
        <v>50</v>
      </c>
      <c r="F1848" s="83">
        <f>VLOOKUP(B1848,'HSD UPAH,BAHAN,ALAT'!$C$6:F1811,4,FALSE)</f>
        <v>100000</v>
      </c>
      <c r="G1848" s="84">
        <f t="shared" ref="G1848:G1851" si="232">E1848*F1848</f>
        <v>4000</v>
      </c>
    </row>
    <row r="1849" spans="1:7">
      <c r="A1849" s="8">
        <v>2</v>
      </c>
      <c r="B1849" s="1" t="s">
        <v>6</v>
      </c>
      <c r="C1849" s="8" t="s">
        <v>7</v>
      </c>
      <c r="D1849" s="9" t="s">
        <v>8</v>
      </c>
      <c r="E1849" s="10" t="s">
        <v>50</v>
      </c>
      <c r="F1849" s="83">
        <f>VLOOKUP(B1849,'HSD UPAH,BAHAN,ALAT'!$C$6:F1812,4,FALSE)</f>
        <v>100000</v>
      </c>
      <c r="G1849" s="84">
        <f t="shared" si="232"/>
        <v>4000</v>
      </c>
    </row>
    <row r="1850" spans="1:7">
      <c r="A1850" s="8">
        <v>3</v>
      </c>
      <c r="B1850" s="1" t="s">
        <v>10</v>
      </c>
      <c r="C1850" s="8" t="s">
        <v>11</v>
      </c>
      <c r="D1850" s="9" t="s">
        <v>8</v>
      </c>
      <c r="E1850" s="10" t="s">
        <v>65</v>
      </c>
      <c r="F1850" s="83">
        <f>VLOOKUP(B1850,'HSD UPAH,BAHAN,ALAT'!$C$6:F1813,4,FALSE)</f>
        <v>120000</v>
      </c>
      <c r="G1850" s="84">
        <f t="shared" si="232"/>
        <v>2400</v>
      </c>
    </row>
    <row r="1851" spans="1:7">
      <c r="A1851" s="8">
        <v>4</v>
      </c>
      <c r="B1851" s="1" t="s">
        <v>13</v>
      </c>
      <c r="C1851" s="8" t="s">
        <v>14</v>
      </c>
      <c r="D1851" s="9" t="s">
        <v>8</v>
      </c>
      <c r="E1851" s="10" t="s">
        <v>44</v>
      </c>
      <c r="F1851" s="83">
        <f>VLOOKUP(B1851,'HSD UPAH,BAHAN,ALAT'!$C$6:F1814,4,FALSE)</f>
        <v>100000</v>
      </c>
      <c r="G1851" s="84">
        <f t="shared" si="232"/>
        <v>670</v>
      </c>
    </row>
    <row r="1852" spans="1:7">
      <c r="A1852" s="261" t="s">
        <v>420</v>
      </c>
      <c r="B1852" s="261"/>
      <c r="C1852" s="261"/>
      <c r="D1852" s="261"/>
      <c r="E1852" s="261"/>
      <c r="F1852" s="261"/>
      <c r="G1852" s="85">
        <f>SUM(G1848:G1851)</f>
        <v>11070</v>
      </c>
    </row>
    <row r="1853" spans="1:7">
      <c r="A1853" s="8" t="s">
        <v>16</v>
      </c>
      <c r="B1853" s="1" t="s">
        <v>17</v>
      </c>
      <c r="C1853" s="8"/>
      <c r="D1853" s="9"/>
      <c r="E1853" s="10"/>
      <c r="F1853" s="3"/>
      <c r="G1853" s="2"/>
    </row>
    <row r="1854" spans="1:7" ht="30">
      <c r="A1854" s="17" t="s">
        <v>208</v>
      </c>
      <c r="B1854" s="5" t="s">
        <v>294</v>
      </c>
      <c r="C1854" s="17"/>
      <c r="D1854" s="12" t="s">
        <v>86</v>
      </c>
      <c r="E1854" s="7" t="s">
        <v>87</v>
      </c>
      <c r="F1854" s="83">
        <f>VLOOKUP(B1854,'HSD UPAH,BAHAN,ALAT'!$C$6:F1817,4,FALSE)</f>
        <v>10000</v>
      </c>
      <c r="G1854" s="84">
        <f t="shared" ref="G1854:G1862" si="233">E1854*F1854</f>
        <v>10500</v>
      </c>
    </row>
    <row r="1855" spans="1:7">
      <c r="A1855" s="8">
        <v>2</v>
      </c>
      <c r="B1855" s="1" t="s">
        <v>18</v>
      </c>
      <c r="C1855" s="8"/>
      <c r="D1855" s="9" t="s">
        <v>19</v>
      </c>
      <c r="E1855" s="10" t="s">
        <v>64</v>
      </c>
      <c r="F1855" s="83">
        <f>VLOOKUP(B1855,'HSD UPAH,BAHAN,ALAT'!$C$6:F1818,4,FALSE)</f>
        <v>10000</v>
      </c>
      <c r="G1855" s="84">
        <f t="shared" si="233"/>
        <v>200</v>
      </c>
    </row>
    <row r="1856" spans="1:7">
      <c r="A1856" s="8">
        <v>3</v>
      </c>
      <c r="B1856" s="1" t="s">
        <v>21</v>
      </c>
      <c r="C1856" s="8"/>
      <c r="D1856" s="9"/>
      <c r="E1856" s="10"/>
      <c r="F1856" s="83"/>
      <c r="G1856" s="84">
        <f t="shared" si="233"/>
        <v>0</v>
      </c>
    </row>
    <row r="1857" spans="1:7">
      <c r="A1857" s="8" t="s">
        <v>22</v>
      </c>
      <c r="B1857" s="1" t="s">
        <v>66</v>
      </c>
      <c r="C1857" s="8"/>
      <c r="D1857" s="9" t="s">
        <v>24</v>
      </c>
      <c r="E1857" s="10" t="s">
        <v>67</v>
      </c>
      <c r="F1857" s="83">
        <f>VLOOKUP(B1857,'HSD UPAH,BAHAN,ALAT'!$C$6:F1820,4,FALSE)</f>
        <v>10000</v>
      </c>
      <c r="G1857" s="84">
        <f t="shared" si="233"/>
        <v>180000</v>
      </c>
    </row>
    <row r="1858" spans="1:7">
      <c r="A1858" s="8" t="s">
        <v>30</v>
      </c>
      <c r="B1858" s="1" t="s">
        <v>56</v>
      </c>
      <c r="C1858" s="8"/>
      <c r="D1858" s="9" t="s">
        <v>24</v>
      </c>
      <c r="E1858" s="10" t="s">
        <v>57</v>
      </c>
      <c r="F1858" s="83">
        <f>VLOOKUP(B1858,'HSD UPAH,BAHAN,ALAT'!$C$6:F1821,4,FALSE)</f>
        <v>10000</v>
      </c>
      <c r="G1858" s="84">
        <f t="shared" si="233"/>
        <v>100000</v>
      </c>
    </row>
    <row r="1859" spans="1:7">
      <c r="A1859" s="8">
        <v>4</v>
      </c>
      <c r="B1859" s="1" t="s">
        <v>26</v>
      </c>
      <c r="C1859" s="8"/>
      <c r="D1859" s="9"/>
      <c r="E1859" s="10"/>
      <c r="F1859" s="83"/>
      <c r="G1859" s="84">
        <f t="shared" si="233"/>
        <v>0</v>
      </c>
    </row>
    <row r="1860" spans="1:7">
      <c r="A1860" s="8" t="s">
        <v>22</v>
      </c>
      <c r="B1860" s="1" t="s">
        <v>27</v>
      </c>
      <c r="C1860" s="8"/>
      <c r="D1860" s="9" t="s">
        <v>28</v>
      </c>
      <c r="E1860" s="10" t="s">
        <v>68</v>
      </c>
      <c r="F1860" s="83">
        <f>VLOOKUP(B1860,'HSD UPAH,BAHAN,ALAT'!$C$6:F1823,4,FALSE)</f>
        <v>10000</v>
      </c>
      <c r="G1860" s="84">
        <f t="shared" si="233"/>
        <v>980</v>
      </c>
    </row>
    <row r="1861" spans="1:7">
      <c r="A1861" s="8" t="s">
        <v>30</v>
      </c>
      <c r="B1861" s="1" t="s">
        <v>31</v>
      </c>
      <c r="C1861" s="8"/>
      <c r="D1861" s="9" t="s">
        <v>28</v>
      </c>
      <c r="E1861" s="10" t="s">
        <v>69</v>
      </c>
      <c r="F1861" s="83">
        <f>VLOOKUP(B1861,'HSD UPAH,BAHAN,ALAT'!$C$6:F1824,4,FALSE)</f>
        <v>10000</v>
      </c>
      <c r="G1861" s="84">
        <f t="shared" si="233"/>
        <v>260</v>
      </c>
    </row>
    <row r="1862" spans="1:7">
      <c r="A1862" s="8" t="s">
        <v>33</v>
      </c>
      <c r="B1862" s="1" t="s">
        <v>34</v>
      </c>
      <c r="C1862" s="8"/>
      <c r="D1862" s="9" t="s">
        <v>28</v>
      </c>
      <c r="E1862" s="10" t="s">
        <v>70</v>
      </c>
      <c r="F1862" s="83">
        <f>VLOOKUP(B1862,'HSD UPAH,BAHAN,ALAT'!$C$6:F1825,4,FALSE)</f>
        <v>10000</v>
      </c>
      <c r="G1862" s="84">
        <f t="shared" si="233"/>
        <v>70</v>
      </c>
    </row>
    <row r="1863" spans="1:7">
      <c r="A1863" s="261" t="s">
        <v>421</v>
      </c>
      <c r="B1863" s="261"/>
      <c r="C1863" s="261"/>
      <c r="D1863" s="261"/>
      <c r="E1863" s="261"/>
      <c r="F1863" s="261"/>
      <c r="G1863" s="85">
        <f>SUM(G1854:G1862)</f>
        <v>292010</v>
      </c>
    </row>
    <row r="1864" spans="1:7">
      <c r="A1864" s="8" t="s">
        <v>36</v>
      </c>
      <c r="B1864" s="1" t="s">
        <v>37</v>
      </c>
      <c r="C1864" s="8"/>
      <c r="D1864" s="9"/>
      <c r="E1864" s="10"/>
      <c r="F1864" s="3"/>
      <c r="G1864" s="2"/>
    </row>
    <row r="1865" spans="1:7">
      <c r="A1865" s="8">
        <v>1</v>
      </c>
      <c r="B1865" s="1" t="s">
        <v>71</v>
      </c>
      <c r="C1865" s="8"/>
      <c r="D1865" s="9" t="s">
        <v>72</v>
      </c>
      <c r="E1865" s="10" t="s">
        <v>73</v>
      </c>
      <c r="F1865" s="83">
        <f>VLOOKUP(B1865,'HSD UPAH,BAHAN,ALAT'!$C$6:F1828,4,FALSE)</f>
        <v>10000</v>
      </c>
      <c r="G1865" s="84">
        <f t="shared" ref="G1865" si="234">E1865*F1865</f>
        <v>2800.0000000000005</v>
      </c>
    </row>
    <row r="1866" spans="1:7">
      <c r="A1866" s="263" t="s">
        <v>419</v>
      </c>
      <c r="B1866" s="263"/>
      <c r="C1866" s="263"/>
      <c r="D1866" s="263"/>
      <c r="E1866" s="263"/>
      <c r="F1866" s="263"/>
      <c r="G1866" s="80">
        <f>SUM(G1865)</f>
        <v>2800.0000000000005</v>
      </c>
    </row>
    <row r="1867" spans="1:7">
      <c r="A1867" s="81" t="s">
        <v>38</v>
      </c>
      <c r="B1867" s="262" t="s">
        <v>39</v>
      </c>
      <c r="C1867" s="262"/>
      <c r="D1867" s="262"/>
      <c r="E1867" s="262"/>
      <c r="F1867" s="262"/>
      <c r="G1867" s="80">
        <f>SUM(G1849:G1866)/2</f>
        <v>303880</v>
      </c>
    </row>
    <row r="1868" spans="1:7">
      <c r="A1868" s="81" t="s">
        <v>40</v>
      </c>
      <c r="B1868" s="262" t="s">
        <v>180</v>
      </c>
      <c r="C1868" s="262"/>
      <c r="D1868" s="262"/>
      <c r="E1868" s="262"/>
      <c r="F1868" s="82">
        <v>0.1</v>
      </c>
      <c r="G1868" s="80">
        <f>G1867*F1868</f>
        <v>30388</v>
      </c>
    </row>
    <row r="1869" spans="1:7">
      <c r="A1869" s="81" t="s">
        <v>41</v>
      </c>
      <c r="B1869" s="262" t="s">
        <v>42</v>
      </c>
      <c r="C1869" s="262"/>
      <c r="D1869" s="262"/>
      <c r="E1869" s="262"/>
      <c r="F1869" s="262"/>
      <c r="G1869" s="80">
        <f>G1867+G1868</f>
        <v>334268</v>
      </c>
    </row>
    <row r="1870" spans="1:7">
      <c r="A1870" s="90"/>
      <c r="B1870" s="91"/>
      <c r="C1870" s="91"/>
      <c r="D1870" s="91"/>
      <c r="E1870" s="91"/>
      <c r="F1870" s="91"/>
      <c r="G1870" s="92"/>
    </row>
    <row r="1871" spans="1:7">
      <c r="A1871" s="97" t="s">
        <v>560</v>
      </c>
      <c r="B1871" s="91"/>
      <c r="C1871" s="91"/>
      <c r="D1871" s="91"/>
      <c r="E1871" s="91"/>
      <c r="F1871" s="91"/>
      <c r="G1871" s="92"/>
    </row>
    <row r="1872" spans="1:7" ht="30">
      <c r="A1872" s="79" t="s">
        <v>0</v>
      </c>
      <c r="B1872" s="79" t="s">
        <v>1</v>
      </c>
      <c r="C1872" s="79" t="s">
        <v>207</v>
      </c>
      <c r="D1872" s="79" t="s">
        <v>3</v>
      </c>
      <c r="E1872" s="79" t="s">
        <v>2</v>
      </c>
      <c r="F1872" s="79" t="s">
        <v>417</v>
      </c>
      <c r="G1872" s="79" t="s">
        <v>418</v>
      </c>
    </row>
    <row r="1873" spans="1:7">
      <c r="A1873" s="8" t="s">
        <v>4</v>
      </c>
      <c r="B1873" s="1" t="s">
        <v>5</v>
      </c>
      <c r="C1873" s="8"/>
      <c r="D1873" s="9"/>
      <c r="E1873" s="10"/>
      <c r="F1873" s="3"/>
      <c r="G1873" s="2"/>
    </row>
    <row r="1874" spans="1:7">
      <c r="A1874" s="8">
        <v>1</v>
      </c>
      <c r="B1874" s="1" t="s">
        <v>48</v>
      </c>
      <c r="C1874" s="8" t="s">
        <v>49</v>
      </c>
      <c r="D1874" s="9" t="s">
        <v>8</v>
      </c>
      <c r="E1874" s="10" t="s">
        <v>50</v>
      </c>
      <c r="F1874" s="83">
        <f>VLOOKUP(B1874,'HSD UPAH,BAHAN,ALAT'!$C$6:F1835,4,FALSE)</f>
        <v>100000</v>
      </c>
      <c r="G1874" s="84">
        <f t="shared" ref="G1874:G1877" si="235">E1874*F1874</f>
        <v>4000</v>
      </c>
    </row>
    <row r="1875" spans="1:7">
      <c r="A1875" s="8">
        <v>2</v>
      </c>
      <c r="B1875" s="1" t="s">
        <v>6</v>
      </c>
      <c r="C1875" s="8" t="s">
        <v>7</v>
      </c>
      <c r="D1875" s="9" t="s">
        <v>8</v>
      </c>
      <c r="E1875" s="10" t="s">
        <v>50</v>
      </c>
      <c r="F1875" s="83">
        <f>VLOOKUP(B1875,'HSD UPAH,BAHAN,ALAT'!$C$6:F1836,4,FALSE)</f>
        <v>100000</v>
      </c>
      <c r="G1875" s="84">
        <f t="shared" si="235"/>
        <v>4000</v>
      </c>
    </row>
    <row r="1876" spans="1:7">
      <c r="A1876" s="8">
        <v>3</v>
      </c>
      <c r="B1876" s="1" t="s">
        <v>10</v>
      </c>
      <c r="C1876" s="8" t="s">
        <v>11</v>
      </c>
      <c r="D1876" s="9" t="s">
        <v>8</v>
      </c>
      <c r="E1876" s="10" t="s">
        <v>65</v>
      </c>
      <c r="F1876" s="83">
        <f>VLOOKUP(B1876,'HSD UPAH,BAHAN,ALAT'!$C$6:F1837,4,FALSE)</f>
        <v>120000</v>
      </c>
      <c r="G1876" s="84">
        <f t="shared" si="235"/>
        <v>2400</v>
      </c>
    </row>
    <row r="1877" spans="1:7">
      <c r="A1877" s="8">
        <v>4</v>
      </c>
      <c r="B1877" s="1" t="s">
        <v>13</v>
      </c>
      <c r="C1877" s="8" t="s">
        <v>14</v>
      </c>
      <c r="D1877" s="9" t="s">
        <v>8</v>
      </c>
      <c r="E1877" s="10" t="s">
        <v>44</v>
      </c>
      <c r="F1877" s="83">
        <f>VLOOKUP(B1877,'HSD UPAH,BAHAN,ALAT'!$C$6:F1838,4,FALSE)</f>
        <v>100000</v>
      </c>
      <c r="G1877" s="84">
        <f t="shared" si="235"/>
        <v>670</v>
      </c>
    </row>
    <row r="1878" spans="1:7">
      <c r="A1878" s="261" t="s">
        <v>420</v>
      </c>
      <c r="B1878" s="261"/>
      <c r="C1878" s="261"/>
      <c r="D1878" s="261"/>
      <c r="E1878" s="261"/>
      <c r="F1878" s="261"/>
      <c r="G1878" s="85">
        <f>SUM(G1874:G1877)</f>
        <v>11070</v>
      </c>
    </row>
    <row r="1879" spans="1:7">
      <c r="A1879" s="8" t="s">
        <v>16</v>
      </c>
      <c r="B1879" s="1" t="s">
        <v>17</v>
      </c>
      <c r="C1879" s="8"/>
      <c r="D1879" s="9"/>
      <c r="E1879" s="10"/>
      <c r="F1879" s="3"/>
      <c r="G1879" s="2"/>
    </row>
    <row r="1880" spans="1:7" ht="30">
      <c r="A1880" s="17" t="s">
        <v>208</v>
      </c>
      <c r="B1880" s="5" t="s">
        <v>295</v>
      </c>
      <c r="C1880" s="17"/>
      <c r="D1880" s="12" t="s">
        <v>86</v>
      </c>
      <c r="E1880" s="7" t="s">
        <v>87</v>
      </c>
      <c r="F1880" s="83">
        <f>VLOOKUP(B1880,'HSD UPAH,BAHAN,ALAT'!$C$6:F1841,4,FALSE)</f>
        <v>10000</v>
      </c>
      <c r="G1880" s="84">
        <f t="shared" ref="G1880:G1888" si="236">E1880*F1880</f>
        <v>10500</v>
      </c>
    </row>
    <row r="1881" spans="1:7">
      <c r="A1881" s="8">
        <v>2</v>
      </c>
      <c r="B1881" s="1" t="s">
        <v>18</v>
      </c>
      <c r="C1881" s="8"/>
      <c r="D1881" s="9" t="s">
        <v>19</v>
      </c>
      <c r="E1881" s="10" t="s">
        <v>64</v>
      </c>
      <c r="F1881" s="83">
        <f>VLOOKUP(B1881,'HSD UPAH,BAHAN,ALAT'!$C$6:F1842,4,FALSE)</f>
        <v>10000</v>
      </c>
      <c r="G1881" s="84">
        <f t="shared" si="236"/>
        <v>200</v>
      </c>
    </row>
    <row r="1882" spans="1:7">
      <c r="A1882" s="8">
        <v>3</v>
      </c>
      <c r="B1882" s="1" t="s">
        <v>21</v>
      </c>
      <c r="C1882" s="8"/>
      <c r="D1882" s="9"/>
      <c r="E1882" s="10"/>
      <c r="F1882" s="83"/>
      <c r="G1882" s="84">
        <f t="shared" si="236"/>
        <v>0</v>
      </c>
    </row>
    <row r="1883" spans="1:7">
      <c r="A1883" s="8" t="s">
        <v>22</v>
      </c>
      <c r="B1883" s="1" t="s">
        <v>66</v>
      </c>
      <c r="C1883" s="8"/>
      <c r="D1883" s="9" t="s">
        <v>24</v>
      </c>
      <c r="E1883" s="10" t="s">
        <v>67</v>
      </c>
      <c r="F1883" s="83">
        <f>VLOOKUP(B1883,'HSD UPAH,BAHAN,ALAT'!$C$6:F1844,4,FALSE)</f>
        <v>10000</v>
      </c>
      <c r="G1883" s="84">
        <f t="shared" si="236"/>
        <v>180000</v>
      </c>
    </row>
    <row r="1884" spans="1:7">
      <c r="A1884" s="8" t="s">
        <v>30</v>
      </c>
      <c r="B1884" s="1" t="s">
        <v>56</v>
      </c>
      <c r="C1884" s="8"/>
      <c r="D1884" s="9" t="s">
        <v>24</v>
      </c>
      <c r="E1884" s="10" t="s">
        <v>57</v>
      </c>
      <c r="F1884" s="83">
        <f>VLOOKUP(B1884,'HSD UPAH,BAHAN,ALAT'!$C$6:F1845,4,FALSE)</f>
        <v>10000</v>
      </c>
      <c r="G1884" s="84">
        <f t="shared" si="236"/>
        <v>100000</v>
      </c>
    </row>
    <row r="1885" spans="1:7">
      <c r="A1885" s="8">
        <v>4</v>
      </c>
      <c r="B1885" s="1" t="s">
        <v>26</v>
      </c>
      <c r="C1885" s="8"/>
      <c r="D1885" s="9"/>
      <c r="E1885" s="10"/>
      <c r="F1885" s="83"/>
      <c r="G1885" s="84">
        <f t="shared" si="236"/>
        <v>0</v>
      </c>
    </row>
    <row r="1886" spans="1:7">
      <c r="A1886" s="8" t="s">
        <v>22</v>
      </c>
      <c r="B1886" s="1" t="s">
        <v>27</v>
      </c>
      <c r="C1886" s="8"/>
      <c r="D1886" s="9" t="s">
        <v>28</v>
      </c>
      <c r="E1886" s="10" t="s">
        <v>68</v>
      </c>
      <c r="F1886" s="83">
        <f>VLOOKUP(B1886,'HSD UPAH,BAHAN,ALAT'!$C$6:F1847,4,FALSE)</f>
        <v>10000</v>
      </c>
      <c r="G1886" s="84">
        <f t="shared" si="236"/>
        <v>980</v>
      </c>
    </row>
    <row r="1887" spans="1:7">
      <c r="A1887" s="8" t="s">
        <v>30</v>
      </c>
      <c r="B1887" s="1" t="s">
        <v>31</v>
      </c>
      <c r="C1887" s="8"/>
      <c r="D1887" s="9" t="s">
        <v>28</v>
      </c>
      <c r="E1887" s="10" t="s">
        <v>69</v>
      </c>
      <c r="F1887" s="83">
        <f>VLOOKUP(B1887,'HSD UPAH,BAHAN,ALAT'!$C$6:F1848,4,FALSE)</f>
        <v>10000</v>
      </c>
      <c r="G1887" s="84">
        <f t="shared" si="236"/>
        <v>260</v>
      </c>
    </row>
    <row r="1888" spans="1:7">
      <c r="A1888" s="8" t="s">
        <v>33</v>
      </c>
      <c r="B1888" s="1" t="s">
        <v>34</v>
      </c>
      <c r="C1888" s="8"/>
      <c r="D1888" s="9" t="s">
        <v>28</v>
      </c>
      <c r="E1888" s="10" t="s">
        <v>70</v>
      </c>
      <c r="F1888" s="83">
        <f>VLOOKUP(B1888,'HSD UPAH,BAHAN,ALAT'!$C$6:F1849,4,FALSE)</f>
        <v>10000</v>
      </c>
      <c r="G1888" s="84">
        <f t="shared" si="236"/>
        <v>70</v>
      </c>
    </row>
    <row r="1889" spans="1:7">
      <c r="A1889" s="261" t="s">
        <v>421</v>
      </c>
      <c r="B1889" s="261"/>
      <c r="C1889" s="261"/>
      <c r="D1889" s="261"/>
      <c r="E1889" s="261"/>
      <c r="F1889" s="261"/>
      <c r="G1889" s="85">
        <f>SUM(G1880:G1888)</f>
        <v>292010</v>
      </c>
    </row>
    <row r="1890" spans="1:7">
      <c r="A1890" s="8" t="s">
        <v>36</v>
      </c>
      <c r="B1890" s="1" t="s">
        <v>37</v>
      </c>
      <c r="C1890" s="8"/>
      <c r="D1890" s="9"/>
      <c r="E1890" s="10"/>
      <c r="F1890" s="3"/>
      <c r="G1890" s="2"/>
    </row>
    <row r="1891" spans="1:7">
      <c r="A1891" s="8">
        <v>1</v>
      </c>
      <c r="B1891" s="1" t="s">
        <v>71</v>
      </c>
      <c r="C1891" s="8"/>
      <c r="D1891" s="9" t="s">
        <v>72</v>
      </c>
      <c r="E1891" s="10" t="s">
        <v>73</v>
      </c>
      <c r="F1891" s="83">
        <f>VLOOKUP(B1891,'HSD UPAH,BAHAN,ALAT'!$C$6:F1852,4,FALSE)</f>
        <v>10000</v>
      </c>
      <c r="G1891" s="84">
        <f t="shared" ref="G1891" si="237">E1891*F1891</f>
        <v>2800.0000000000005</v>
      </c>
    </row>
    <row r="1892" spans="1:7">
      <c r="A1892" s="263" t="s">
        <v>419</v>
      </c>
      <c r="B1892" s="263"/>
      <c r="C1892" s="263"/>
      <c r="D1892" s="263"/>
      <c r="E1892" s="263"/>
      <c r="F1892" s="263"/>
      <c r="G1892" s="80">
        <f>SUM(G1891)</f>
        <v>2800.0000000000005</v>
      </c>
    </row>
    <row r="1893" spans="1:7">
      <c r="A1893" s="81" t="s">
        <v>38</v>
      </c>
      <c r="B1893" s="262" t="s">
        <v>39</v>
      </c>
      <c r="C1893" s="262"/>
      <c r="D1893" s="262"/>
      <c r="E1893" s="262"/>
      <c r="F1893" s="262"/>
      <c r="G1893" s="80">
        <f>SUM(G1875:G1892)/2</f>
        <v>303880</v>
      </c>
    </row>
    <row r="1894" spans="1:7">
      <c r="A1894" s="81" t="s">
        <v>40</v>
      </c>
      <c r="B1894" s="262" t="s">
        <v>180</v>
      </c>
      <c r="C1894" s="262"/>
      <c r="D1894" s="262"/>
      <c r="E1894" s="262"/>
      <c r="F1894" s="82">
        <v>0.1</v>
      </c>
      <c r="G1894" s="80">
        <f>G1893*F1894</f>
        <v>30388</v>
      </c>
    </row>
    <row r="1895" spans="1:7">
      <c r="A1895" s="81" t="s">
        <v>41</v>
      </c>
      <c r="B1895" s="262" t="s">
        <v>42</v>
      </c>
      <c r="C1895" s="262"/>
      <c r="D1895" s="262"/>
      <c r="E1895" s="262"/>
      <c r="F1895" s="262"/>
      <c r="G1895" s="80">
        <f>G1893+G1894</f>
        <v>334268</v>
      </c>
    </row>
    <row r="1896" spans="1:7">
      <c r="A1896" s="90"/>
      <c r="B1896" s="91"/>
      <c r="C1896" s="91"/>
      <c r="D1896" s="91"/>
      <c r="E1896" s="91"/>
      <c r="F1896" s="91"/>
      <c r="G1896" s="92"/>
    </row>
    <row r="1897" spans="1:7">
      <c r="A1897" s="96" t="s">
        <v>561</v>
      </c>
      <c r="B1897" s="91"/>
      <c r="C1897" s="91"/>
      <c r="D1897" s="91"/>
      <c r="E1897" s="91"/>
      <c r="F1897" s="91"/>
      <c r="G1897" s="92"/>
    </row>
    <row r="1898" spans="1:7" ht="30">
      <c r="A1898" s="79" t="s">
        <v>0</v>
      </c>
      <c r="B1898" s="79" t="s">
        <v>1</v>
      </c>
      <c r="C1898" s="79" t="s">
        <v>207</v>
      </c>
      <c r="D1898" s="79" t="s">
        <v>3</v>
      </c>
      <c r="E1898" s="79" t="s">
        <v>2</v>
      </c>
      <c r="F1898" s="79" t="s">
        <v>417</v>
      </c>
      <c r="G1898" s="79" t="s">
        <v>418</v>
      </c>
    </row>
    <row r="1899" spans="1:7">
      <c r="A1899" s="8" t="s">
        <v>4</v>
      </c>
      <c r="B1899" s="1" t="s">
        <v>5</v>
      </c>
      <c r="C1899" s="8"/>
      <c r="D1899" s="9"/>
      <c r="E1899" s="10"/>
      <c r="F1899" s="3"/>
      <c r="G1899" s="2"/>
    </row>
    <row r="1900" spans="1:7">
      <c r="A1900" s="8">
        <v>1</v>
      </c>
      <c r="B1900" s="1" t="s">
        <v>48</v>
      </c>
      <c r="C1900" s="8" t="s">
        <v>49</v>
      </c>
      <c r="D1900" s="9" t="s">
        <v>8</v>
      </c>
      <c r="E1900" s="10" t="s">
        <v>50</v>
      </c>
      <c r="F1900" s="83">
        <f>VLOOKUP(B1900,'HSD UPAH,BAHAN,ALAT'!$C$6:F1859,4,FALSE)</f>
        <v>100000</v>
      </c>
      <c r="G1900" s="84">
        <f t="shared" ref="G1900:G1903" si="238">E1900*F1900</f>
        <v>4000</v>
      </c>
    </row>
    <row r="1901" spans="1:7">
      <c r="A1901" s="8">
        <v>2</v>
      </c>
      <c r="B1901" s="1" t="s">
        <v>6</v>
      </c>
      <c r="C1901" s="8" t="s">
        <v>7</v>
      </c>
      <c r="D1901" s="9" t="s">
        <v>8</v>
      </c>
      <c r="E1901" s="10" t="s">
        <v>50</v>
      </c>
      <c r="F1901" s="83">
        <f>VLOOKUP(B1901,'HSD UPAH,BAHAN,ALAT'!$C$6:F1860,4,FALSE)</f>
        <v>100000</v>
      </c>
      <c r="G1901" s="84">
        <f t="shared" si="238"/>
        <v>4000</v>
      </c>
    </row>
    <row r="1902" spans="1:7">
      <c r="A1902" s="8">
        <v>3</v>
      </c>
      <c r="B1902" s="1" t="s">
        <v>10</v>
      </c>
      <c r="C1902" s="8" t="s">
        <v>11</v>
      </c>
      <c r="D1902" s="9" t="s">
        <v>8</v>
      </c>
      <c r="E1902" s="10" t="s">
        <v>65</v>
      </c>
      <c r="F1902" s="83">
        <f>VLOOKUP(B1902,'HSD UPAH,BAHAN,ALAT'!$C$6:F1861,4,FALSE)</f>
        <v>120000</v>
      </c>
      <c r="G1902" s="84">
        <f t="shared" si="238"/>
        <v>2400</v>
      </c>
    </row>
    <row r="1903" spans="1:7">
      <c r="A1903" s="8">
        <v>4</v>
      </c>
      <c r="B1903" s="1" t="s">
        <v>13</v>
      </c>
      <c r="C1903" s="8" t="s">
        <v>14</v>
      </c>
      <c r="D1903" s="9" t="s">
        <v>8</v>
      </c>
      <c r="E1903" s="10" t="s">
        <v>44</v>
      </c>
      <c r="F1903" s="83">
        <f>VLOOKUP(B1903,'HSD UPAH,BAHAN,ALAT'!$C$6:F1862,4,FALSE)</f>
        <v>100000</v>
      </c>
      <c r="G1903" s="84">
        <f t="shared" si="238"/>
        <v>670</v>
      </c>
    </row>
    <row r="1904" spans="1:7">
      <c r="A1904" s="261" t="s">
        <v>420</v>
      </c>
      <c r="B1904" s="261"/>
      <c r="C1904" s="261"/>
      <c r="D1904" s="261"/>
      <c r="E1904" s="261"/>
      <c r="F1904" s="261"/>
      <c r="G1904" s="85">
        <f>SUM(G1900:G1903)</f>
        <v>11070</v>
      </c>
    </row>
    <row r="1905" spans="1:7">
      <c r="A1905" s="8" t="s">
        <v>16</v>
      </c>
      <c r="B1905" s="1" t="s">
        <v>17</v>
      </c>
      <c r="C1905" s="8"/>
      <c r="D1905" s="9"/>
      <c r="E1905" s="10"/>
      <c r="F1905" s="3"/>
      <c r="G1905" s="2"/>
    </row>
    <row r="1906" spans="1:7" ht="30">
      <c r="A1906" s="17" t="s">
        <v>208</v>
      </c>
      <c r="B1906" s="5" t="s">
        <v>296</v>
      </c>
      <c r="C1906" s="17"/>
      <c r="D1906" s="12" t="s">
        <v>86</v>
      </c>
      <c r="E1906" s="7" t="s">
        <v>87</v>
      </c>
      <c r="F1906" s="83">
        <f>VLOOKUP(B1906,'HSD UPAH,BAHAN,ALAT'!$C$6:F1865,4,FALSE)</f>
        <v>10000</v>
      </c>
      <c r="G1906" s="84">
        <f t="shared" ref="G1906:G1914" si="239">E1906*F1906</f>
        <v>10500</v>
      </c>
    </row>
    <row r="1907" spans="1:7">
      <c r="A1907" s="8">
        <v>2</v>
      </c>
      <c r="B1907" s="1" t="s">
        <v>18</v>
      </c>
      <c r="C1907" s="8"/>
      <c r="D1907" s="9" t="s">
        <v>19</v>
      </c>
      <c r="E1907" s="10" t="s">
        <v>64</v>
      </c>
      <c r="F1907" s="83">
        <f>VLOOKUP(B1907,'HSD UPAH,BAHAN,ALAT'!$C$6:F1866,4,FALSE)</f>
        <v>10000</v>
      </c>
      <c r="G1907" s="84">
        <f t="shared" si="239"/>
        <v>200</v>
      </c>
    </row>
    <row r="1908" spans="1:7">
      <c r="A1908" s="8">
        <v>3</v>
      </c>
      <c r="B1908" s="1" t="s">
        <v>21</v>
      </c>
      <c r="C1908" s="8"/>
      <c r="D1908" s="9"/>
      <c r="E1908" s="10"/>
      <c r="F1908" s="83"/>
      <c r="G1908" s="84">
        <f t="shared" si="239"/>
        <v>0</v>
      </c>
    </row>
    <row r="1909" spans="1:7">
      <c r="A1909" s="8" t="s">
        <v>22</v>
      </c>
      <c r="B1909" s="1" t="s">
        <v>66</v>
      </c>
      <c r="C1909" s="8"/>
      <c r="D1909" s="9" t="s">
        <v>24</v>
      </c>
      <c r="E1909" s="10" t="s">
        <v>67</v>
      </c>
      <c r="F1909" s="83">
        <f>VLOOKUP(B1909,'HSD UPAH,BAHAN,ALAT'!$C$6:F1868,4,FALSE)</f>
        <v>10000</v>
      </c>
      <c r="G1909" s="84">
        <f t="shared" si="239"/>
        <v>180000</v>
      </c>
    </row>
    <row r="1910" spans="1:7">
      <c r="A1910" s="8" t="s">
        <v>30</v>
      </c>
      <c r="B1910" s="1" t="s">
        <v>56</v>
      </c>
      <c r="C1910" s="8"/>
      <c r="D1910" s="9" t="s">
        <v>24</v>
      </c>
      <c r="E1910" s="10" t="s">
        <v>57</v>
      </c>
      <c r="F1910" s="83">
        <f>VLOOKUP(B1910,'HSD UPAH,BAHAN,ALAT'!$C$6:F1869,4,FALSE)</f>
        <v>10000</v>
      </c>
      <c r="G1910" s="84">
        <f t="shared" si="239"/>
        <v>100000</v>
      </c>
    </row>
    <row r="1911" spans="1:7">
      <c r="A1911" s="8">
        <v>4</v>
      </c>
      <c r="B1911" s="1" t="s">
        <v>26</v>
      </c>
      <c r="C1911" s="8"/>
      <c r="D1911" s="9"/>
      <c r="E1911" s="10"/>
      <c r="F1911" s="83"/>
      <c r="G1911" s="84">
        <f t="shared" si="239"/>
        <v>0</v>
      </c>
    </row>
    <row r="1912" spans="1:7">
      <c r="A1912" s="8" t="s">
        <v>22</v>
      </c>
      <c r="B1912" s="1" t="s">
        <v>27</v>
      </c>
      <c r="C1912" s="8"/>
      <c r="D1912" s="9" t="s">
        <v>28</v>
      </c>
      <c r="E1912" s="10" t="s">
        <v>68</v>
      </c>
      <c r="F1912" s="83">
        <f>VLOOKUP(B1912,'HSD UPAH,BAHAN,ALAT'!$C$6:F1871,4,FALSE)</f>
        <v>10000</v>
      </c>
      <c r="G1912" s="84">
        <f t="shared" si="239"/>
        <v>980</v>
      </c>
    </row>
    <row r="1913" spans="1:7">
      <c r="A1913" s="8" t="s">
        <v>30</v>
      </c>
      <c r="B1913" s="1" t="s">
        <v>31</v>
      </c>
      <c r="C1913" s="8"/>
      <c r="D1913" s="9" t="s">
        <v>28</v>
      </c>
      <c r="E1913" s="10" t="s">
        <v>69</v>
      </c>
      <c r="F1913" s="83">
        <f>VLOOKUP(B1913,'HSD UPAH,BAHAN,ALAT'!$C$6:F1872,4,FALSE)</f>
        <v>10000</v>
      </c>
      <c r="G1913" s="84">
        <f t="shared" si="239"/>
        <v>260</v>
      </c>
    </row>
    <row r="1914" spans="1:7">
      <c r="A1914" s="8" t="s">
        <v>33</v>
      </c>
      <c r="B1914" s="1" t="s">
        <v>34</v>
      </c>
      <c r="C1914" s="8"/>
      <c r="D1914" s="9" t="s">
        <v>28</v>
      </c>
      <c r="E1914" s="10" t="s">
        <v>70</v>
      </c>
      <c r="F1914" s="83">
        <f>VLOOKUP(B1914,'HSD UPAH,BAHAN,ALAT'!$C$6:F1873,4,FALSE)</f>
        <v>10000</v>
      </c>
      <c r="G1914" s="84">
        <f t="shared" si="239"/>
        <v>70</v>
      </c>
    </row>
    <row r="1915" spans="1:7">
      <c r="A1915" s="261" t="s">
        <v>421</v>
      </c>
      <c r="B1915" s="261"/>
      <c r="C1915" s="261"/>
      <c r="D1915" s="261"/>
      <c r="E1915" s="261"/>
      <c r="F1915" s="261"/>
      <c r="G1915" s="85">
        <f>SUM(G1906:G1914)</f>
        <v>292010</v>
      </c>
    </row>
    <row r="1916" spans="1:7">
      <c r="A1916" s="8" t="s">
        <v>36</v>
      </c>
      <c r="B1916" s="1" t="s">
        <v>37</v>
      </c>
      <c r="C1916" s="8"/>
      <c r="D1916" s="9"/>
      <c r="E1916" s="10"/>
      <c r="F1916" s="3"/>
      <c r="G1916" s="2"/>
    </row>
    <row r="1917" spans="1:7">
      <c r="A1917" s="8">
        <v>1</v>
      </c>
      <c r="B1917" s="1" t="s">
        <v>71</v>
      </c>
      <c r="C1917" s="8"/>
      <c r="D1917" s="9" t="s">
        <v>72</v>
      </c>
      <c r="E1917" s="10" t="s">
        <v>73</v>
      </c>
      <c r="F1917" s="83">
        <f>VLOOKUP(B1917,'HSD UPAH,BAHAN,ALAT'!$C$6:F1876,4,FALSE)</f>
        <v>10000</v>
      </c>
      <c r="G1917" s="84">
        <f t="shared" ref="G1917" si="240">E1917*F1917</f>
        <v>2800.0000000000005</v>
      </c>
    </row>
    <row r="1918" spans="1:7">
      <c r="A1918" s="263" t="s">
        <v>419</v>
      </c>
      <c r="B1918" s="263"/>
      <c r="C1918" s="263"/>
      <c r="D1918" s="263"/>
      <c r="E1918" s="263"/>
      <c r="F1918" s="263"/>
      <c r="G1918" s="80">
        <f>SUM(G1917)</f>
        <v>2800.0000000000005</v>
      </c>
    </row>
    <row r="1919" spans="1:7">
      <c r="A1919" s="81" t="s">
        <v>38</v>
      </c>
      <c r="B1919" s="262" t="s">
        <v>39</v>
      </c>
      <c r="C1919" s="262"/>
      <c r="D1919" s="262"/>
      <c r="E1919" s="262"/>
      <c r="F1919" s="262"/>
      <c r="G1919" s="80">
        <f>SUM(G1901:G1918)/2</f>
        <v>303880</v>
      </c>
    </row>
    <row r="1920" spans="1:7">
      <c r="A1920" s="81" t="s">
        <v>40</v>
      </c>
      <c r="B1920" s="262" t="s">
        <v>180</v>
      </c>
      <c r="C1920" s="262"/>
      <c r="D1920" s="262"/>
      <c r="E1920" s="262"/>
      <c r="F1920" s="82">
        <v>0.1</v>
      </c>
      <c r="G1920" s="80">
        <f>G1919*F1920</f>
        <v>30388</v>
      </c>
    </row>
    <row r="1921" spans="1:7">
      <c r="A1921" s="81" t="s">
        <v>41</v>
      </c>
      <c r="B1921" s="262" t="s">
        <v>42</v>
      </c>
      <c r="C1921" s="262"/>
      <c r="D1921" s="262"/>
      <c r="E1921" s="262"/>
      <c r="F1921" s="262"/>
      <c r="G1921" s="80">
        <f>G1919+G1920</f>
        <v>334268</v>
      </c>
    </row>
    <row r="1922" spans="1:7">
      <c r="A1922" s="90"/>
      <c r="B1922" s="91"/>
      <c r="C1922" s="91"/>
      <c r="D1922" s="91"/>
      <c r="E1922" s="91"/>
      <c r="F1922" s="91"/>
      <c r="G1922" s="92"/>
    </row>
    <row r="1923" spans="1:7">
      <c r="A1923" s="96" t="s">
        <v>562</v>
      </c>
      <c r="B1923" s="91"/>
      <c r="C1923" s="91"/>
      <c r="D1923" s="91"/>
      <c r="E1923" s="91"/>
      <c r="F1923" s="91"/>
      <c r="G1923" s="92"/>
    </row>
    <row r="1924" spans="1:7" ht="30">
      <c r="A1924" s="79" t="s">
        <v>0</v>
      </c>
      <c r="B1924" s="79" t="s">
        <v>1</v>
      </c>
      <c r="C1924" s="79" t="s">
        <v>207</v>
      </c>
      <c r="D1924" s="79" t="s">
        <v>3</v>
      </c>
      <c r="E1924" s="79" t="s">
        <v>2</v>
      </c>
      <c r="F1924" s="79" t="s">
        <v>417</v>
      </c>
      <c r="G1924" s="79" t="s">
        <v>418</v>
      </c>
    </row>
    <row r="1925" spans="1:7">
      <c r="A1925" s="8" t="s">
        <v>4</v>
      </c>
      <c r="B1925" s="1" t="s">
        <v>5</v>
      </c>
      <c r="C1925" s="8"/>
      <c r="D1925" s="9"/>
      <c r="E1925" s="10"/>
      <c r="F1925" s="3"/>
      <c r="G1925" s="2"/>
    </row>
    <row r="1926" spans="1:7">
      <c r="A1926" s="8">
        <v>1</v>
      </c>
      <c r="B1926" s="1" t="s">
        <v>48</v>
      </c>
      <c r="C1926" s="8" t="s">
        <v>49</v>
      </c>
      <c r="D1926" s="9" t="s">
        <v>8</v>
      </c>
      <c r="E1926" s="10" t="s">
        <v>50</v>
      </c>
      <c r="F1926" s="83">
        <f>VLOOKUP(B1926,'HSD UPAH,BAHAN,ALAT'!$C$6:F1883,4,FALSE)</f>
        <v>100000</v>
      </c>
      <c r="G1926" s="84">
        <f t="shared" ref="G1926:G1929" si="241">E1926*F1926</f>
        <v>4000</v>
      </c>
    </row>
    <row r="1927" spans="1:7">
      <c r="A1927" s="8">
        <v>2</v>
      </c>
      <c r="B1927" s="1" t="s">
        <v>6</v>
      </c>
      <c r="C1927" s="8" t="s">
        <v>7</v>
      </c>
      <c r="D1927" s="9" t="s">
        <v>8</v>
      </c>
      <c r="E1927" s="10" t="s">
        <v>50</v>
      </c>
      <c r="F1927" s="83">
        <f>VLOOKUP(B1927,'HSD UPAH,BAHAN,ALAT'!$C$6:F1884,4,FALSE)</f>
        <v>100000</v>
      </c>
      <c r="G1927" s="84">
        <f t="shared" si="241"/>
        <v>4000</v>
      </c>
    </row>
    <row r="1928" spans="1:7">
      <c r="A1928" s="8">
        <v>3</v>
      </c>
      <c r="B1928" s="1" t="s">
        <v>10</v>
      </c>
      <c r="C1928" s="8" t="s">
        <v>11</v>
      </c>
      <c r="D1928" s="9" t="s">
        <v>8</v>
      </c>
      <c r="E1928" s="10" t="s">
        <v>65</v>
      </c>
      <c r="F1928" s="83">
        <f>VLOOKUP(B1928,'HSD UPAH,BAHAN,ALAT'!$C$6:F1885,4,FALSE)</f>
        <v>120000</v>
      </c>
      <c r="G1928" s="84">
        <f t="shared" si="241"/>
        <v>2400</v>
      </c>
    </row>
    <row r="1929" spans="1:7">
      <c r="A1929" s="8">
        <v>4</v>
      </c>
      <c r="B1929" s="1" t="s">
        <v>13</v>
      </c>
      <c r="C1929" s="8" t="s">
        <v>14</v>
      </c>
      <c r="D1929" s="9" t="s">
        <v>8</v>
      </c>
      <c r="E1929" s="10" t="s">
        <v>44</v>
      </c>
      <c r="F1929" s="83">
        <f>VLOOKUP(B1929,'HSD UPAH,BAHAN,ALAT'!$C$6:F1886,4,FALSE)</f>
        <v>100000</v>
      </c>
      <c r="G1929" s="84">
        <f t="shared" si="241"/>
        <v>670</v>
      </c>
    </row>
    <row r="1930" spans="1:7">
      <c r="A1930" s="261" t="s">
        <v>420</v>
      </c>
      <c r="B1930" s="261"/>
      <c r="C1930" s="261"/>
      <c r="D1930" s="261"/>
      <c r="E1930" s="261"/>
      <c r="F1930" s="261"/>
      <c r="G1930" s="85">
        <f>SUM(G1926:G1929)</f>
        <v>11070</v>
      </c>
    </row>
    <row r="1931" spans="1:7">
      <c r="A1931" s="8" t="s">
        <v>16</v>
      </c>
      <c r="B1931" s="1" t="s">
        <v>17</v>
      </c>
      <c r="C1931" s="8"/>
      <c r="D1931" s="9"/>
      <c r="E1931" s="10"/>
      <c r="F1931" s="3"/>
      <c r="G1931" s="2"/>
    </row>
    <row r="1932" spans="1:7" ht="30">
      <c r="A1932" s="17" t="s">
        <v>208</v>
      </c>
      <c r="B1932" s="5" t="s">
        <v>297</v>
      </c>
      <c r="C1932" s="17"/>
      <c r="D1932" s="12" t="s">
        <v>86</v>
      </c>
      <c r="E1932" s="7" t="s">
        <v>87</v>
      </c>
      <c r="F1932" s="83">
        <f>VLOOKUP(B1932,'HSD UPAH,BAHAN,ALAT'!$C$6:F1889,4,FALSE)</f>
        <v>10000</v>
      </c>
      <c r="G1932" s="84">
        <f t="shared" ref="G1932:G1940" si="242">E1932*F1932</f>
        <v>10500</v>
      </c>
    </row>
    <row r="1933" spans="1:7">
      <c r="A1933" s="8">
        <v>2</v>
      </c>
      <c r="B1933" s="1" t="s">
        <v>18</v>
      </c>
      <c r="C1933" s="8"/>
      <c r="D1933" s="9" t="s">
        <v>19</v>
      </c>
      <c r="E1933" s="10" t="s">
        <v>64</v>
      </c>
      <c r="F1933" s="83">
        <f>VLOOKUP(B1933,'HSD UPAH,BAHAN,ALAT'!$C$6:F1890,4,FALSE)</f>
        <v>10000</v>
      </c>
      <c r="G1933" s="84">
        <f t="shared" si="242"/>
        <v>200</v>
      </c>
    </row>
    <row r="1934" spans="1:7">
      <c r="A1934" s="8">
        <v>3</v>
      </c>
      <c r="B1934" s="1" t="s">
        <v>21</v>
      </c>
      <c r="C1934" s="8"/>
      <c r="D1934" s="9"/>
      <c r="E1934" s="10"/>
      <c r="F1934" s="83"/>
      <c r="G1934" s="84">
        <f t="shared" si="242"/>
        <v>0</v>
      </c>
    </row>
    <row r="1935" spans="1:7">
      <c r="A1935" s="8" t="s">
        <v>22</v>
      </c>
      <c r="B1935" s="1" t="s">
        <v>66</v>
      </c>
      <c r="C1935" s="8"/>
      <c r="D1935" s="9" t="s">
        <v>24</v>
      </c>
      <c r="E1935" s="10" t="s">
        <v>67</v>
      </c>
      <c r="F1935" s="83">
        <f>VLOOKUP(B1935,'HSD UPAH,BAHAN,ALAT'!$C$6:F1892,4,FALSE)</f>
        <v>10000</v>
      </c>
      <c r="G1935" s="84">
        <f t="shared" si="242"/>
        <v>180000</v>
      </c>
    </row>
    <row r="1936" spans="1:7">
      <c r="A1936" s="8" t="s">
        <v>30</v>
      </c>
      <c r="B1936" s="1" t="s">
        <v>56</v>
      </c>
      <c r="C1936" s="8"/>
      <c r="D1936" s="9" t="s">
        <v>24</v>
      </c>
      <c r="E1936" s="10" t="s">
        <v>57</v>
      </c>
      <c r="F1936" s="83">
        <f>VLOOKUP(B1936,'HSD UPAH,BAHAN,ALAT'!$C$6:F1893,4,FALSE)</f>
        <v>10000</v>
      </c>
      <c r="G1936" s="84">
        <f t="shared" si="242"/>
        <v>100000</v>
      </c>
    </row>
    <row r="1937" spans="1:7">
      <c r="A1937" s="8">
        <v>4</v>
      </c>
      <c r="B1937" s="1" t="s">
        <v>26</v>
      </c>
      <c r="C1937" s="8"/>
      <c r="D1937" s="9"/>
      <c r="E1937" s="10"/>
      <c r="F1937" s="83"/>
      <c r="G1937" s="84">
        <f t="shared" si="242"/>
        <v>0</v>
      </c>
    </row>
    <row r="1938" spans="1:7">
      <c r="A1938" s="8" t="s">
        <v>22</v>
      </c>
      <c r="B1938" s="1" t="s">
        <v>27</v>
      </c>
      <c r="C1938" s="8"/>
      <c r="D1938" s="9" t="s">
        <v>28</v>
      </c>
      <c r="E1938" s="10" t="s">
        <v>68</v>
      </c>
      <c r="F1938" s="83">
        <f>VLOOKUP(B1938,'HSD UPAH,BAHAN,ALAT'!$C$6:F1895,4,FALSE)</f>
        <v>10000</v>
      </c>
      <c r="G1938" s="84">
        <f t="shared" si="242"/>
        <v>980</v>
      </c>
    </row>
    <row r="1939" spans="1:7">
      <c r="A1939" s="8" t="s">
        <v>30</v>
      </c>
      <c r="B1939" s="1" t="s">
        <v>31</v>
      </c>
      <c r="C1939" s="8"/>
      <c r="D1939" s="9" t="s">
        <v>28</v>
      </c>
      <c r="E1939" s="10" t="s">
        <v>69</v>
      </c>
      <c r="F1939" s="83">
        <f>VLOOKUP(B1939,'HSD UPAH,BAHAN,ALAT'!$C$6:F1896,4,FALSE)</f>
        <v>10000</v>
      </c>
      <c r="G1939" s="84">
        <f t="shared" si="242"/>
        <v>260</v>
      </c>
    </row>
    <row r="1940" spans="1:7">
      <c r="A1940" s="8" t="s">
        <v>33</v>
      </c>
      <c r="B1940" s="1" t="s">
        <v>34</v>
      </c>
      <c r="C1940" s="8"/>
      <c r="D1940" s="9" t="s">
        <v>28</v>
      </c>
      <c r="E1940" s="10" t="s">
        <v>70</v>
      </c>
      <c r="F1940" s="83">
        <f>VLOOKUP(B1940,'HSD UPAH,BAHAN,ALAT'!$C$6:F1897,4,FALSE)</f>
        <v>10000</v>
      </c>
      <c r="G1940" s="84">
        <f t="shared" si="242"/>
        <v>70</v>
      </c>
    </row>
    <row r="1941" spans="1:7">
      <c r="A1941" s="261" t="s">
        <v>421</v>
      </c>
      <c r="B1941" s="261"/>
      <c r="C1941" s="261"/>
      <c r="D1941" s="261"/>
      <c r="E1941" s="261"/>
      <c r="F1941" s="261"/>
      <c r="G1941" s="85">
        <f>SUM(G1932:G1940)</f>
        <v>292010</v>
      </c>
    </row>
    <row r="1942" spans="1:7">
      <c r="A1942" s="8" t="s">
        <v>36</v>
      </c>
      <c r="B1942" s="1" t="s">
        <v>37</v>
      </c>
      <c r="C1942" s="8"/>
      <c r="D1942" s="9"/>
      <c r="E1942" s="10"/>
      <c r="F1942" s="3"/>
      <c r="G1942" s="2"/>
    </row>
    <row r="1943" spans="1:7">
      <c r="A1943" s="8">
        <v>1</v>
      </c>
      <c r="B1943" s="1" t="s">
        <v>71</v>
      </c>
      <c r="C1943" s="8"/>
      <c r="D1943" s="9" t="s">
        <v>72</v>
      </c>
      <c r="E1943" s="10" t="s">
        <v>73</v>
      </c>
      <c r="F1943" s="83">
        <f>VLOOKUP(B1943,'HSD UPAH,BAHAN,ALAT'!$C$6:F1900,4,FALSE)</f>
        <v>10000</v>
      </c>
      <c r="G1943" s="84">
        <f t="shared" ref="G1943" si="243">E1943*F1943</f>
        <v>2800.0000000000005</v>
      </c>
    </row>
    <row r="1944" spans="1:7">
      <c r="A1944" s="263" t="s">
        <v>419</v>
      </c>
      <c r="B1944" s="263"/>
      <c r="C1944" s="263"/>
      <c r="D1944" s="263"/>
      <c r="E1944" s="263"/>
      <c r="F1944" s="263"/>
      <c r="G1944" s="80">
        <f>SUM(G1943)</f>
        <v>2800.0000000000005</v>
      </c>
    </row>
    <row r="1945" spans="1:7">
      <c r="A1945" s="81" t="s">
        <v>38</v>
      </c>
      <c r="B1945" s="262" t="s">
        <v>39</v>
      </c>
      <c r="C1945" s="262"/>
      <c r="D1945" s="262"/>
      <c r="E1945" s="262"/>
      <c r="F1945" s="262"/>
      <c r="G1945" s="80">
        <f>SUM(G1927:G1944)/2</f>
        <v>303880</v>
      </c>
    </row>
    <row r="1946" spans="1:7">
      <c r="A1946" s="81" t="s">
        <v>40</v>
      </c>
      <c r="B1946" s="262" t="s">
        <v>180</v>
      </c>
      <c r="C1946" s="262"/>
      <c r="D1946" s="262"/>
      <c r="E1946" s="262"/>
      <c r="F1946" s="82">
        <v>0.1</v>
      </c>
      <c r="G1946" s="80">
        <f>G1945*F1946</f>
        <v>30388</v>
      </c>
    </row>
    <row r="1947" spans="1:7">
      <c r="A1947" s="81" t="s">
        <v>41</v>
      </c>
      <c r="B1947" s="262" t="s">
        <v>42</v>
      </c>
      <c r="C1947" s="262"/>
      <c r="D1947" s="262"/>
      <c r="E1947" s="262"/>
      <c r="F1947" s="262"/>
      <c r="G1947" s="80">
        <f>G1945+G1946</f>
        <v>334268</v>
      </c>
    </row>
    <row r="1948" spans="1:7">
      <c r="A1948" s="90"/>
      <c r="B1948" s="91"/>
      <c r="C1948" s="91"/>
      <c r="D1948" s="91"/>
      <c r="E1948" s="91"/>
      <c r="F1948" s="91"/>
      <c r="G1948" s="92"/>
    </row>
    <row r="1949" spans="1:7">
      <c r="A1949" s="96" t="s">
        <v>563</v>
      </c>
      <c r="B1949" s="91"/>
      <c r="C1949" s="91"/>
      <c r="D1949" s="91"/>
      <c r="E1949" s="91"/>
      <c r="F1949" s="91"/>
      <c r="G1949" s="92"/>
    </row>
    <row r="1950" spans="1:7" ht="30">
      <c r="A1950" s="79" t="s">
        <v>0</v>
      </c>
      <c r="B1950" s="79" t="s">
        <v>1</v>
      </c>
      <c r="C1950" s="79" t="s">
        <v>207</v>
      </c>
      <c r="D1950" s="79" t="s">
        <v>3</v>
      </c>
      <c r="E1950" s="79" t="s">
        <v>2</v>
      </c>
      <c r="F1950" s="79" t="s">
        <v>417</v>
      </c>
      <c r="G1950" s="79" t="s">
        <v>418</v>
      </c>
    </row>
    <row r="1951" spans="1:7">
      <c r="A1951" s="8" t="s">
        <v>4</v>
      </c>
      <c r="B1951" s="1" t="s">
        <v>5</v>
      </c>
      <c r="C1951" s="8"/>
      <c r="D1951" s="9"/>
      <c r="E1951" s="10"/>
      <c r="F1951" s="3"/>
      <c r="G1951" s="2"/>
    </row>
    <row r="1952" spans="1:7">
      <c r="A1952" s="8">
        <v>1</v>
      </c>
      <c r="B1952" s="1" t="s">
        <v>48</v>
      </c>
      <c r="C1952" s="8" t="s">
        <v>49</v>
      </c>
      <c r="D1952" s="9" t="s">
        <v>8</v>
      </c>
      <c r="E1952" s="10" t="s">
        <v>50</v>
      </c>
      <c r="F1952" s="83">
        <f>VLOOKUP(B1952,'HSD UPAH,BAHAN,ALAT'!$C$6:F1907,4,FALSE)</f>
        <v>100000</v>
      </c>
      <c r="G1952" s="84">
        <f t="shared" ref="G1952:G1955" si="244">E1952*F1952</f>
        <v>4000</v>
      </c>
    </row>
    <row r="1953" spans="1:7">
      <c r="A1953" s="8">
        <v>2</v>
      </c>
      <c r="B1953" s="1" t="s">
        <v>6</v>
      </c>
      <c r="C1953" s="8" t="s">
        <v>7</v>
      </c>
      <c r="D1953" s="9" t="s">
        <v>8</v>
      </c>
      <c r="E1953" s="10" t="s">
        <v>50</v>
      </c>
      <c r="F1953" s="83">
        <f>VLOOKUP(B1953,'HSD UPAH,BAHAN,ALAT'!$C$6:F1908,4,FALSE)</f>
        <v>100000</v>
      </c>
      <c r="G1953" s="84">
        <f t="shared" si="244"/>
        <v>4000</v>
      </c>
    </row>
    <row r="1954" spans="1:7">
      <c r="A1954" s="8">
        <v>3</v>
      </c>
      <c r="B1954" s="1" t="s">
        <v>10</v>
      </c>
      <c r="C1954" s="8" t="s">
        <v>11</v>
      </c>
      <c r="D1954" s="9" t="s">
        <v>8</v>
      </c>
      <c r="E1954" s="10" t="s">
        <v>65</v>
      </c>
      <c r="F1954" s="83">
        <f>VLOOKUP(B1954,'HSD UPAH,BAHAN,ALAT'!$C$6:F1909,4,FALSE)</f>
        <v>120000</v>
      </c>
      <c r="G1954" s="84">
        <f t="shared" si="244"/>
        <v>2400</v>
      </c>
    </row>
    <row r="1955" spans="1:7">
      <c r="A1955" s="8">
        <v>4</v>
      </c>
      <c r="B1955" s="1" t="s">
        <v>13</v>
      </c>
      <c r="C1955" s="8" t="s">
        <v>14</v>
      </c>
      <c r="D1955" s="9" t="s">
        <v>8</v>
      </c>
      <c r="E1955" s="10" t="s">
        <v>44</v>
      </c>
      <c r="F1955" s="83">
        <f>VLOOKUP(B1955,'HSD UPAH,BAHAN,ALAT'!$C$6:F1910,4,FALSE)</f>
        <v>100000</v>
      </c>
      <c r="G1955" s="84">
        <f t="shared" si="244"/>
        <v>670</v>
      </c>
    </row>
    <row r="1956" spans="1:7">
      <c r="A1956" s="261" t="s">
        <v>420</v>
      </c>
      <c r="B1956" s="261"/>
      <c r="C1956" s="261"/>
      <c r="D1956" s="261"/>
      <c r="E1956" s="261"/>
      <c r="F1956" s="261"/>
      <c r="G1956" s="85">
        <f>SUM(G1952:G1955)</f>
        <v>11070</v>
      </c>
    </row>
    <row r="1957" spans="1:7">
      <c r="A1957" s="8" t="s">
        <v>16</v>
      </c>
      <c r="B1957" s="1" t="s">
        <v>17</v>
      </c>
      <c r="C1957" s="8"/>
      <c r="D1957" s="9"/>
      <c r="E1957" s="10"/>
      <c r="F1957" s="3"/>
      <c r="G1957" s="2"/>
    </row>
    <row r="1958" spans="1:7" ht="30">
      <c r="A1958" s="17" t="s">
        <v>208</v>
      </c>
      <c r="B1958" s="5" t="s">
        <v>298</v>
      </c>
      <c r="C1958" s="17"/>
      <c r="D1958" s="7" t="s">
        <v>86</v>
      </c>
      <c r="E1958" s="6" t="s">
        <v>87</v>
      </c>
      <c r="F1958" s="83">
        <f>VLOOKUP(B1958,'HSD UPAH,BAHAN,ALAT'!$C$6:F1913,4,FALSE)</f>
        <v>10000</v>
      </c>
      <c r="G1958" s="84">
        <f t="shared" ref="G1958:G1966" si="245">E1958*F1958</f>
        <v>10500</v>
      </c>
    </row>
    <row r="1959" spans="1:7">
      <c r="A1959" s="8">
        <v>2</v>
      </c>
      <c r="B1959" s="1" t="s">
        <v>18</v>
      </c>
      <c r="C1959" s="8"/>
      <c r="D1959" s="10" t="s">
        <v>19</v>
      </c>
      <c r="E1959" s="3" t="s">
        <v>64</v>
      </c>
      <c r="F1959" s="83">
        <f>VLOOKUP(B1959,'HSD UPAH,BAHAN,ALAT'!$C$6:F1914,4,FALSE)</f>
        <v>10000</v>
      </c>
      <c r="G1959" s="84">
        <f t="shared" si="245"/>
        <v>200</v>
      </c>
    </row>
    <row r="1960" spans="1:7">
      <c r="A1960" s="8">
        <v>3</v>
      </c>
      <c r="B1960" s="1" t="s">
        <v>21</v>
      </c>
      <c r="C1960" s="8"/>
      <c r="D1960" s="10"/>
      <c r="E1960" s="3"/>
      <c r="F1960" s="83"/>
      <c r="G1960" s="84">
        <f t="shared" si="245"/>
        <v>0</v>
      </c>
    </row>
    <row r="1961" spans="1:7">
      <c r="A1961" s="8" t="s">
        <v>22</v>
      </c>
      <c r="B1961" s="1" t="s">
        <v>66</v>
      </c>
      <c r="C1961" s="8"/>
      <c r="D1961" s="10" t="s">
        <v>24</v>
      </c>
      <c r="E1961" s="3" t="s">
        <v>67</v>
      </c>
      <c r="F1961" s="83">
        <f>VLOOKUP(B1961,'HSD UPAH,BAHAN,ALAT'!$C$6:F1916,4,FALSE)</f>
        <v>10000</v>
      </c>
      <c r="G1961" s="84">
        <f t="shared" si="245"/>
        <v>180000</v>
      </c>
    </row>
    <row r="1962" spans="1:7">
      <c r="A1962" s="8" t="s">
        <v>30</v>
      </c>
      <c r="B1962" s="1" t="s">
        <v>56</v>
      </c>
      <c r="C1962" s="8"/>
      <c r="D1962" s="10" t="s">
        <v>24</v>
      </c>
      <c r="E1962" s="3" t="s">
        <v>57</v>
      </c>
      <c r="F1962" s="83">
        <f>VLOOKUP(B1962,'HSD UPAH,BAHAN,ALAT'!$C$6:F1917,4,FALSE)</f>
        <v>10000</v>
      </c>
      <c r="G1962" s="84">
        <f t="shared" si="245"/>
        <v>100000</v>
      </c>
    </row>
    <row r="1963" spans="1:7">
      <c r="A1963" s="8">
        <v>4</v>
      </c>
      <c r="B1963" s="1" t="s">
        <v>26</v>
      </c>
      <c r="C1963" s="8"/>
      <c r="D1963" s="10"/>
      <c r="E1963" s="3"/>
      <c r="F1963" s="83"/>
      <c r="G1963" s="84">
        <f t="shared" si="245"/>
        <v>0</v>
      </c>
    </row>
    <row r="1964" spans="1:7">
      <c r="A1964" s="8" t="s">
        <v>22</v>
      </c>
      <c r="B1964" s="1" t="s">
        <v>27</v>
      </c>
      <c r="C1964" s="8"/>
      <c r="D1964" s="10" t="s">
        <v>28</v>
      </c>
      <c r="E1964" s="3" t="s">
        <v>68</v>
      </c>
      <c r="F1964" s="83">
        <f>VLOOKUP(B1964,'HSD UPAH,BAHAN,ALAT'!$C$6:F1919,4,FALSE)</f>
        <v>10000</v>
      </c>
      <c r="G1964" s="84">
        <f t="shared" si="245"/>
        <v>980</v>
      </c>
    </row>
    <row r="1965" spans="1:7">
      <c r="A1965" s="8" t="s">
        <v>30</v>
      </c>
      <c r="B1965" s="1" t="s">
        <v>31</v>
      </c>
      <c r="C1965" s="8"/>
      <c r="D1965" s="10" t="s">
        <v>28</v>
      </c>
      <c r="E1965" s="3" t="s">
        <v>69</v>
      </c>
      <c r="F1965" s="83">
        <f>VLOOKUP(B1965,'HSD UPAH,BAHAN,ALAT'!$C$6:F1920,4,FALSE)</f>
        <v>10000</v>
      </c>
      <c r="G1965" s="84">
        <f t="shared" si="245"/>
        <v>260</v>
      </c>
    </row>
    <row r="1966" spans="1:7">
      <c r="A1966" s="8" t="s">
        <v>33</v>
      </c>
      <c r="B1966" s="1" t="s">
        <v>34</v>
      </c>
      <c r="C1966" s="8"/>
      <c r="D1966" s="10" t="s">
        <v>28</v>
      </c>
      <c r="E1966" s="3" t="s">
        <v>70</v>
      </c>
      <c r="F1966" s="83">
        <f>VLOOKUP(B1966,'HSD UPAH,BAHAN,ALAT'!$C$6:F1921,4,FALSE)</f>
        <v>10000</v>
      </c>
      <c r="G1966" s="84">
        <f t="shared" si="245"/>
        <v>70</v>
      </c>
    </row>
    <row r="1967" spans="1:7">
      <c r="A1967" s="261" t="s">
        <v>421</v>
      </c>
      <c r="B1967" s="261"/>
      <c r="C1967" s="261"/>
      <c r="D1967" s="261"/>
      <c r="E1967" s="261"/>
      <c r="F1967" s="261"/>
      <c r="G1967" s="85">
        <f>SUM(G1958:G1966)</f>
        <v>292010</v>
      </c>
    </row>
    <row r="1968" spans="1:7">
      <c r="A1968" s="8" t="s">
        <v>36</v>
      </c>
      <c r="B1968" s="1" t="s">
        <v>37</v>
      </c>
      <c r="C1968" s="8"/>
      <c r="D1968" s="10"/>
      <c r="E1968" s="3"/>
      <c r="F1968" s="9"/>
      <c r="G1968" s="2"/>
    </row>
    <row r="1969" spans="1:7">
      <c r="A1969" s="8">
        <v>1</v>
      </c>
      <c r="B1969" s="1" t="s">
        <v>71</v>
      </c>
      <c r="C1969" s="8"/>
      <c r="D1969" s="10" t="s">
        <v>72</v>
      </c>
      <c r="E1969" s="10" t="s">
        <v>73</v>
      </c>
      <c r="F1969" s="83">
        <f>VLOOKUP(B1969,'HSD UPAH,BAHAN,ALAT'!$C$6:F1924,4,FALSE)</f>
        <v>10000</v>
      </c>
      <c r="G1969" s="84">
        <f t="shared" ref="G1969" si="246">E1969*F1969</f>
        <v>2800.0000000000005</v>
      </c>
    </row>
    <row r="1970" spans="1:7">
      <c r="A1970" s="263" t="s">
        <v>419</v>
      </c>
      <c r="B1970" s="263"/>
      <c r="C1970" s="263"/>
      <c r="D1970" s="263"/>
      <c r="E1970" s="263"/>
      <c r="F1970" s="263"/>
      <c r="G1970" s="80">
        <f>SUM(G1969)</f>
        <v>2800.0000000000005</v>
      </c>
    </row>
    <row r="1971" spans="1:7">
      <c r="A1971" s="81" t="s">
        <v>38</v>
      </c>
      <c r="B1971" s="262" t="s">
        <v>39</v>
      </c>
      <c r="C1971" s="262"/>
      <c r="D1971" s="262"/>
      <c r="E1971" s="262"/>
      <c r="F1971" s="262"/>
      <c r="G1971" s="80">
        <f>SUM(G1953:G1970)/2</f>
        <v>303880</v>
      </c>
    </row>
    <row r="1972" spans="1:7">
      <c r="A1972" s="81" t="s">
        <v>40</v>
      </c>
      <c r="B1972" s="262" t="s">
        <v>180</v>
      </c>
      <c r="C1972" s="262"/>
      <c r="D1972" s="262"/>
      <c r="E1972" s="262"/>
      <c r="F1972" s="82">
        <v>0.1</v>
      </c>
      <c r="G1972" s="80">
        <f>G1971*F1972</f>
        <v>30388</v>
      </c>
    </row>
    <row r="1973" spans="1:7">
      <c r="A1973" s="81" t="s">
        <v>41</v>
      </c>
      <c r="B1973" s="262" t="s">
        <v>42</v>
      </c>
      <c r="C1973" s="262"/>
      <c r="D1973" s="262"/>
      <c r="E1973" s="262"/>
      <c r="F1973" s="262"/>
      <c r="G1973" s="80">
        <f>G1971+G1972</f>
        <v>334268</v>
      </c>
    </row>
    <row r="1974" spans="1:7">
      <c r="A1974" s="90"/>
      <c r="B1974" s="91"/>
      <c r="C1974" s="91"/>
      <c r="D1974" s="91"/>
      <c r="E1974" s="91"/>
      <c r="F1974" s="91"/>
      <c r="G1974" s="92"/>
    </row>
    <row r="1975" spans="1:7">
      <c r="A1975" s="4" t="s">
        <v>460</v>
      </c>
      <c r="B1975" s="91"/>
      <c r="C1975" s="91"/>
      <c r="D1975" s="91"/>
      <c r="E1975" s="91"/>
      <c r="F1975" s="91"/>
      <c r="G1975" s="92"/>
    </row>
    <row r="1976" spans="1:7">
      <c r="A1976" s="97" t="s">
        <v>461</v>
      </c>
      <c r="B1976" s="91"/>
      <c r="C1976" s="91"/>
      <c r="D1976" s="91"/>
      <c r="E1976" s="91"/>
      <c r="F1976" s="91"/>
      <c r="G1976" s="92"/>
    </row>
    <row r="1977" spans="1:7" ht="30">
      <c r="A1977" s="79" t="s">
        <v>0</v>
      </c>
      <c r="B1977" s="79" t="s">
        <v>1</v>
      </c>
      <c r="C1977" s="79" t="s">
        <v>207</v>
      </c>
      <c r="D1977" s="79" t="s">
        <v>3</v>
      </c>
      <c r="E1977" s="79" t="s">
        <v>2</v>
      </c>
      <c r="F1977" s="79" t="s">
        <v>417</v>
      </c>
      <c r="G1977" s="79" t="s">
        <v>418</v>
      </c>
    </row>
    <row r="1978" spans="1:7">
      <c r="A1978" s="8" t="s">
        <v>4</v>
      </c>
      <c r="B1978" s="1" t="s">
        <v>5</v>
      </c>
      <c r="C1978" s="8"/>
      <c r="D1978" s="9"/>
      <c r="E1978" s="10"/>
      <c r="F1978" s="3"/>
      <c r="G1978" s="3"/>
    </row>
    <row r="1979" spans="1:7">
      <c r="A1979" s="8">
        <v>1</v>
      </c>
      <c r="B1979" s="1" t="s">
        <v>48</v>
      </c>
      <c r="C1979" s="8" t="s">
        <v>49</v>
      </c>
      <c r="D1979" s="9" t="s">
        <v>8</v>
      </c>
      <c r="E1979" s="10" t="s">
        <v>60</v>
      </c>
      <c r="F1979" s="83">
        <f>VLOOKUP(B1979,'HSD UPAH,BAHAN,ALAT'!$C$6:F1931,4,FALSE)</f>
        <v>100000</v>
      </c>
      <c r="G1979" s="84">
        <f t="shared" ref="G1979:G1982" si="247">E1979*F1979</f>
        <v>6700</v>
      </c>
    </row>
    <row r="1980" spans="1:7">
      <c r="A1980" s="8">
        <v>2</v>
      </c>
      <c r="B1980" s="1" t="s">
        <v>6</v>
      </c>
      <c r="C1980" s="8" t="s">
        <v>7</v>
      </c>
      <c r="D1980" s="9" t="s">
        <v>8</v>
      </c>
      <c r="E1980" s="10" t="s">
        <v>60</v>
      </c>
      <c r="F1980" s="83">
        <f>VLOOKUP(B1980,'HSD UPAH,BAHAN,ALAT'!$C$6:F1932,4,FALSE)</f>
        <v>100000</v>
      </c>
      <c r="G1980" s="84">
        <f t="shared" si="247"/>
        <v>6700</v>
      </c>
    </row>
    <row r="1981" spans="1:7">
      <c r="A1981" s="8">
        <v>3</v>
      </c>
      <c r="B1981" s="1" t="s">
        <v>10</v>
      </c>
      <c r="C1981" s="8" t="s">
        <v>11</v>
      </c>
      <c r="D1981" s="9" t="s">
        <v>8</v>
      </c>
      <c r="E1981" s="10" t="s">
        <v>74</v>
      </c>
      <c r="F1981" s="83">
        <f>VLOOKUP(B1981,'HSD UPAH,BAHAN,ALAT'!$C$6:F1933,4,FALSE)</f>
        <v>120000</v>
      </c>
      <c r="G1981" s="84">
        <f t="shared" si="247"/>
        <v>3960</v>
      </c>
    </row>
    <row r="1982" spans="1:7">
      <c r="A1982" s="8">
        <v>4</v>
      </c>
      <c r="B1982" s="1" t="s">
        <v>13</v>
      </c>
      <c r="C1982" s="8" t="s">
        <v>14</v>
      </c>
      <c r="D1982" s="9" t="s">
        <v>8</v>
      </c>
      <c r="E1982" s="10" t="s">
        <v>75</v>
      </c>
      <c r="F1982" s="83">
        <f>VLOOKUP(B1982,'HSD UPAH,BAHAN,ALAT'!$C$6:F1934,4,FALSE)</f>
        <v>100000</v>
      </c>
      <c r="G1982" s="84">
        <f t="shared" si="247"/>
        <v>1100</v>
      </c>
    </row>
    <row r="1983" spans="1:7">
      <c r="A1983" s="261" t="s">
        <v>420</v>
      </c>
      <c r="B1983" s="261"/>
      <c r="C1983" s="261"/>
      <c r="D1983" s="261"/>
      <c r="E1983" s="261"/>
      <c r="F1983" s="261"/>
      <c r="G1983" s="85">
        <f>SUM(G1979:G1982)</f>
        <v>18460</v>
      </c>
    </row>
    <row r="1984" spans="1:7">
      <c r="A1984" s="8" t="s">
        <v>16</v>
      </c>
      <c r="B1984" s="1" t="s">
        <v>17</v>
      </c>
      <c r="C1984" s="8"/>
      <c r="D1984" s="9"/>
      <c r="E1984" s="10"/>
      <c r="F1984" s="3"/>
      <c r="G1984" s="3"/>
    </row>
    <row r="1985" spans="1:7" ht="30">
      <c r="A1985" s="17" t="s">
        <v>208</v>
      </c>
      <c r="B1985" s="5" t="s">
        <v>299</v>
      </c>
      <c r="C1985" s="17"/>
      <c r="D1985" s="12" t="s">
        <v>86</v>
      </c>
      <c r="E1985" s="7" t="s">
        <v>87</v>
      </c>
      <c r="F1985" s="83">
        <f>VLOOKUP(B1985,'HSD UPAH,BAHAN,ALAT'!$C$6:F1937,4,FALSE)</f>
        <v>10000</v>
      </c>
      <c r="G1985" s="84">
        <f t="shared" ref="G1985:G1993" si="248">E1985*F1985</f>
        <v>10500</v>
      </c>
    </row>
    <row r="1986" spans="1:7">
      <c r="A1986" s="8">
        <v>2</v>
      </c>
      <c r="B1986" s="1" t="s">
        <v>18</v>
      </c>
      <c r="C1986" s="8"/>
      <c r="D1986" s="9" t="s">
        <v>19</v>
      </c>
      <c r="E1986" s="10" t="s">
        <v>64</v>
      </c>
      <c r="F1986" s="83">
        <f>VLOOKUP(B1986,'HSD UPAH,BAHAN,ALAT'!$C$6:F1938,4,FALSE)</f>
        <v>10000</v>
      </c>
      <c r="G1986" s="84">
        <f t="shared" si="248"/>
        <v>200</v>
      </c>
    </row>
    <row r="1987" spans="1:7">
      <c r="A1987" s="8">
        <v>3</v>
      </c>
      <c r="B1987" s="1" t="s">
        <v>21</v>
      </c>
      <c r="C1987" s="8"/>
      <c r="D1987" s="9"/>
      <c r="E1987" s="10"/>
      <c r="F1987" s="83"/>
      <c r="G1987" s="84">
        <f t="shared" si="248"/>
        <v>0</v>
      </c>
    </row>
    <row r="1988" spans="1:7">
      <c r="A1988" s="8" t="s">
        <v>22</v>
      </c>
      <c r="B1988" s="1" t="s">
        <v>66</v>
      </c>
      <c r="C1988" s="8"/>
      <c r="D1988" s="9" t="s">
        <v>24</v>
      </c>
      <c r="E1988" s="10" t="s">
        <v>67</v>
      </c>
      <c r="F1988" s="83">
        <f>VLOOKUP(B1988,'HSD UPAH,BAHAN,ALAT'!$C$6:F1940,4,FALSE)</f>
        <v>10000</v>
      </c>
      <c r="G1988" s="84">
        <f t="shared" si="248"/>
        <v>180000</v>
      </c>
    </row>
    <row r="1989" spans="1:7">
      <c r="A1989" s="8" t="s">
        <v>30</v>
      </c>
      <c r="B1989" s="1" t="s">
        <v>56</v>
      </c>
      <c r="C1989" s="8"/>
      <c r="D1989" s="9" t="s">
        <v>24</v>
      </c>
      <c r="E1989" s="10" t="s">
        <v>57</v>
      </c>
      <c r="F1989" s="83">
        <f>VLOOKUP(B1989,'HSD UPAH,BAHAN,ALAT'!$C$6:F1941,4,FALSE)</f>
        <v>10000</v>
      </c>
      <c r="G1989" s="84">
        <f t="shared" si="248"/>
        <v>100000</v>
      </c>
    </row>
    <row r="1990" spans="1:7">
      <c r="A1990" s="8">
        <v>4</v>
      </c>
      <c r="B1990" s="1" t="s">
        <v>26</v>
      </c>
      <c r="C1990" s="8"/>
      <c r="D1990" s="9"/>
      <c r="E1990" s="10"/>
      <c r="F1990" s="83"/>
      <c r="G1990" s="84">
        <f t="shared" si="248"/>
        <v>0</v>
      </c>
    </row>
    <row r="1991" spans="1:7">
      <c r="A1991" s="8" t="s">
        <v>22</v>
      </c>
      <c r="B1991" s="1" t="s">
        <v>27</v>
      </c>
      <c r="C1991" s="8"/>
      <c r="D1991" s="9" t="s">
        <v>28</v>
      </c>
      <c r="E1991" s="10" t="s">
        <v>76</v>
      </c>
      <c r="F1991" s="83">
        <f>VLOOKUP(B1991,'HSD UPAH,BAHAN,ALAT'!$C$6:F1943,4,FALSE)</f>
        <v>10000</v>
      </c>
      <c r="G1991" s="84">
        <f t="shared" si="248"/>
        <v>1460</v>
      </c>
    </row>
    <row r="1992" spans="1:7">
      <c r="A1992" s="8" t="s">
        <v>30</v>
      </c>
      <c r="B1992" s="1" t="s">
        <v>31</v>
      </c>
      <c r="C1992" s="8"/>
      <c r="D1992" s="9" t="s">
        <v>28</v>
      </c>
      <c r="E1992" s="10" t="s">
        <v>77</v>
      </c>
      <c r="F1992" s="83">
        <f>VLOOKUP(B1992,'HSD UPAH,BAHAN,ALAT'!$C$6:F1944,4,FALSE)</f>
        <v>10000</v>
      </c>
      <c r="G1992" s="84">
        <f t="shared" si="248"/>
        <v>390</v>
      </c>
    </row>
    <row r="1993" spans="1:7">
      <c r="A1993" s="8" t="s">
        <v>33</v>
      </c>
      <c r="B1993" s="1" t="s">
        <v>34</v>
      </c>
      <c r="C1993" s="8"/>
      <c r="D1993" s="9" t="s">
        <v>28</v>
      </c>
      <c r="E1993" s="10" t="s">
        <v>53</v>
      </c>
      <c r="F1993" s="83">
        <f>VLOOKUP(B1993,'HSD UPAH,BAHAN,ALAT'!$C$6:F1945,4,FALSE)</f>
        <v>10000</v>
      </c>
      <c r="G1993" s="84">
        <f t="shared" si="248"/>
        <v>100</v>
      </c>
    </row>
    <row r="1994" spans="1:7">
      <c r="A1994" s="261" t="s">
        <v>421</v>
      </c>
      <c r="B1994" s="261"/>
      <c r="C1994" s="261"/>
      <c r="D1994" s="261"/>
      <c r="E1994" s="261"/>
      <c r="F1994" s="261"/>
      <c r="G1994" s="85">
        <f>SUM(G1985:G1993)</f>
        <v>292650</v>
      </c>
    </row>
    <row r="1995" spans="1:7">
      <c r="A1995" s="8" t="s">
        <v>36</v>
      </c>
      <c r="B1995" s="1" t="s">
        <v>37</v>
      </c>
      <c r="C1995" s="8"/>
      <c r="D1995" s="9"/>
      <c r="E1995" s="10"/>
      <c r="F1995" s="3"/>
      <c r="G1995" s="3"/>
    </row>
    <row r="1996" spans="1:7">
      <c r="A1996" s="8">
        <v>1</v>
      </c>
      <c r="B1996" s="1" t="s">
        <v>71</v>
      </c>
      <c r="C1996" s="8"/>
      <c r="D1996" s="9" t="s">
        <v>72</v>
      </c>
      <c r="E1996" s="10" t="s">
        <v>78</v>
      </c>
      <c r="F1996" s="83">
        <f>VLOOKUP(B1996,'HSD UPAH,BAHAN,ALAT'!$C$6:F1948,4,FALSE)</f>
        <v>10000</v>
      </c>
      <c r="G1996" s="84">
        <f t="shared" ref="G1996" si="249">E1996*F1996</f>
        <v>4100</v>
      </c>
    </row>
    <row r="1997" spans="1:7">
      <c r="A1997" s="263" t="s">
        <v>419</v>
      </c>
      <c r="B1997" s="263"/>
      <c r="C1997" s="263"/>
      <c r="D1997" s="263"/>
      <c r="E1997" s="263"/>
      <c r="F1997" s="263"/>
      <c r="G1997" s="80">
        <f>SUM(G1996)</f>
        <v>4100</v>
      </c>
    </row>
    <row r="1998" spans="1:7">
      <c r="A1998" s="81" t="s">
        <v>38</v>
      </c>
      <c r="B1998" s="262" t="s">
        <v>39</v>
      </c>
      <c r="C1998" s="262"/>
      <c r="D1998" s="262"/>
      <c r="E1998" s="262"/>
      <c r="F1998" s="262"/>
      <c r="G1998" s="80">
        <f>SUM(G1980:G1997)/2</f>
        <v>311860</v>
      </c>
    </row>
    <row r="1999" spans="1:7">
      <c r="A1999" s="81" t="s">
        <v>40</v>
      </c>
      <c r="B1999" s="262" t="s">
        <v>180</v>
      </c>
      <c r="C1999" s="262"/>
      <c r="D1999" s="262"/>
      <c r="E1999" s="262"/>
      <c r="F1999" s="82">
        <v>0.1</v>
      </c>
      <c r="G1999" s="80">
        <f>G1998*F1999</f>
        <v>31186</v>
      </c>
    </row>
    <row r="2000" spans="1:7">
      <c r="A2000" s="81" t="s">
        <v>41</v>
      </c>
      <c r="B2000" s="262" t="s">
        <v>42</v>
      </c>
      <c r="C2000" s="262"/>
      <c r="D2000" s="262"/>
      <c r="E2000" s="262"/>
      <c r="F2000" s="262"/>
      <c r="G2000" s="80">
        <f>G1998+G1999</f>
        <v>343046</v>
      </c>
    </row>
    <row r="2001" spans="1:7">
      <c r="A2001" s="90"/>
      <c r="B2001" s="91"/>
      <c r="C2001" s="91"/>
      <c r="D2001" s="91"/>
      <c r="E2001" s="91"/>
      <c r="F2001" s="91"/>
      <c r="G2001" s="92"/>
    </row>
    <row r="2002" spans="1:7">
      <c r="A2002" s="4" t="s">
        <v>564</v>
      </c>
      <c r="B2002" s="91"/>
      <c r="C2002" s="91"/>
      <c r="D2002" s="91"/>
      <c r="E2002" s="91"/>
      <c r="F2002" s="91"/>
      <c r="G2002" s="92"/>
    </row>
    <row r="2003" spans="1:7" ht="30">
      <c r="A2003" s="79" t="s">
        <v>0</v>
      </c>
      <c r="B2003" s="79" t="s">
        <v>1</v>
      </c>
      <c r="C2003" s="79" t="s">
        <v>207</v>
      </c>
      <c r="D2003" s="79" t="s">
        <v>3</v>
      </c>
      <c r="E2003" s="79" t="s">
        <v>2</v>
      </c>
      <c r="F2003" s="79" t="s">
        <v>417</v>
      </c>
      <c r="G2003" s="79" t="s">
        <v>418</v>
      </c>
    </row>
    <row r="2004" spans="1:7">
      <c r="A2004" s="8" t="s">
        <v>4</v>
      </c>
      <c r="B2004" s="1" t="s">
        <v>5</v>
      </c>
      <c r="C2004" s="8"/>
      <c r="D2004" s="9"/>
      <c r="E2004" s="10"/>
      <c r="F2004" s="3"/>
      <c r="G2004" s="3"/>
    </row>
    <row r="2005" spans="1:7">
      <c r="A2005" s="8">
        <v>1</v>
      </c>
      <c r="B2005" s="1" t="s">
        <v>48</v>
      </c>
      <c r="C2005" s="8" t="s">
        <v>49</v>
      </c>
      <c r="D2005" s="9" t="s">
        <v>8</v>
      </c>
      <c r="E2005" s="10" t="s">
        <v>60</v>
      </c>
      <c r="F2005" s="83">
        <f>VLOOKUP(B2005,'HSD UPAH,BAHAN,ALAT'!$C$6:F1955,4,FALSE)</f>
        <v>100000</v>
      </c>
      <c r="G2005" s="84">
        <f t="shared" ref="G2005:G2008" si="250">E2005*F2005</f>
        <v>6700</v>
      </c>
    </row>
    <row r="2006" spans="1:7">
      <c r="A2006" s="8">
        <v>2</v>
      </c>
      <c r="B2006" s="1" t="s">
        <v>6</v>
      </c>
      <c r="C2006" s="8" t="s">
        <v>7</v>
      </c>
      <c r="D2006" s="9" t="s">
        <v>8</v>
      </c>
      <c r="E2006" s="10" t="s">
        <v>60</v>
      </c>
      <c r="F2006" s="83">
        <f>VLOOKUP(B2006,'HSD UPAH,BAHAN,ALAT'!$C$6:F1956,4,FALSE)</f>
        <v>100000</v>
      </c>
      <c r="G2006" s="84">
        <f t="shared" si="250"/>
        <v>6700</v>
      </c>
    </row>
    <row r="2007" spans="1:7">
      <c r="A2007" s="8">
        <v>3</v>
      </c>
      <c r="B2007" s="1" t="s">
        <v>10</v>
      </c>
      <c r="C2007" s="8" t="s">
        <v>11</v>
      </c>
      <c r="D2007" s="9" t="s">
        <v>8</v>
      </c>
      <c r="E2007" s="10" t="s">
        <v>74</v>
      </c>
      <c r="F2007" s="83">
        <f>VLOOKUP(B2007,'HSD UPAH,BAHAN,ALAT'!$C$6:F1957,4,FALSE)</f>
        <v>120000</v>
      </c>
      <c r="G2007" s="84">
        <f t="shared" si="250"/>
        <v>3960</v>
      </c>
    </row>
    <row r="2008" spans="1:7">
      <c r="A2008" s="8">
        <v>4</v>
      </c>
      <c r="B2008" s="1" t="s">
        <v>13</v>
      </c>
      <c r="C2008" s="8" t="s">
        <v>14</v>
      </c>
      <c r="D2008" s="9" t="s">
        <v>8</v>
      </c>
      <c r="E2008" s="10" t="s">
        <v>75</v>
      </c>
      <c r="F2008" s="83">
        <f>VLOOKUP(B2008,'HSD UPAH,BAHAN,ALAT'!$C$6:F1958,4,FALSE)</f>
        <v>100000</v>
      </c>
      <c r="G2008" s="84">
        <f t="shared" si="250"/>
        <v>1100</v>
      </c>
    </row>
    <row r="2009" spans="1:7">
      <c r="A2009" s="261" t="s">
        <v>420</v>
      </c>
      <c r="B2009" s="261"/>
      <c r="C2009" s="261"/>
      <c r="D2009" s="261"/>
      <c r="E2009" s="261"/>
      <c r="F2009" s="261"/>
      <c r="G2009" s="85">
        <f>SUM(G2005:G2008)</f>
        <v>18460</v>
      </c>
    </row>
    <row r="2010" spans="1:7">
      <c r="A2010" s="8" t="s">
        <v>16</v>
      </c>
      <c r="B2010" s="1" t="s">
        <v>17</v>
      </c>
      <c r="C2010" s="8"/>
      <c r="D2010" s="9"/>
      <c r="E2010" s="10"/>
      <c r="F2010" s="3"/>
      <c r="G2010" s="3"/>
    </row>
    <row r="2011" spans="1:7" ht="30">
      <c r="A2011" s="17" t="s">
        <v>208</v>
      </c>
      <c r="B2011" s="5" t="s">
        <v>300</v>
      </c>
      <c r="C2011" s="17"/>
      <c r="D2011" s="12" t="s">
        <v>86</v>
      </c>
      <c r="E2011" s="7" t="s">
        <v>87</v>
      </c>
      <c r="F2011" s="83">
        <f>VLOOKUP(B2011,'HSD UPAH,BAHAN,ALAT'!$C$6:F1961,4,FALSE)</f>
        <v>10000</v>
      </c>
      <c r="G2011" s="84">
        <f t="shared" ref="G2011:G2019" si="251">E2011*F2011</f>
        <v>10500</v>
      </c>
    </row>
    <row r="2012" spans="1:7">
      <c r="A2012" s="8">
        <v>2</v>
      </c>
      <c r="B2012" s="1" t="s">
        <v>18</v>
      </c>
      <c r="C2012" s="8"/>
      <c r="D2012" s="9" t="s">
        <v>19</v>
      </c>
      <c r="E2012" s="10" t="s">
        <v>64</v>
      </c>
      <c r="F2012" s="83">
        <f>VLOOKUP(B2012,'HSD UPAH,BAHAN,ALAT'!$C$6:F1962,4,FALSE)</f>
        <v>10000</v>
      </c>
      <c r="G2012" s="84">
        <f t="shared" si="251"/>
        <v>200</v>
      </c>
    </row>
    <row r="2013" spans="1:7">
      <c r="A2013" s="8">
        <v>3</v>
      </c>
      <c r="B2013" s="1" t="s">
        <v>21</v>
      </c>
      <c r="C2013" s="8"/>
      <c r="D2013" s="9"/>
      <c r="E2013" s="10"/>
      <c r="F2013" s="83"/>
      <c r="G2013" s="84">
        <f t="shared" si="251"/>
        <v>0</v>
      </c>
    </row>
    <row r="2014" spans="1:7">
      <c r="A2014" s="8" t="s">
        <v>22</v>
      </c>
      <c r="B2014" s="1" t="s">
        <v>66</v>
      </c>
      <c r="C2014" s="8"/>
      <c r="D2014" s="9" t="s">
        <v>24</v>
      </c>
      <c r="E2014" s="10" t="s">
        <v>67</v>
      </c>
      <c r="F2014" s="83">
        <f>VLOOKUP(B2014,'HSD UPAH,BAHAN,ALAT'!$C$6:F1964,4,FALSE)</f>
        <v>10000</v>
      </c>
      <c r="G2014" s="84">
        <f t="shared" si="251"/>
        <v>180000</v>
      </c>
    </row>
    <row r="2015" spans="1:7">
      <c r="A2015" s="8" t="s">
        <v>30</v>
      </c>
      <c r="B2015" s="1" t="s">
        <v>56</v>
      </c>
      <c r="C2015" s="8"/>
      <c r="D2015" s="9" t="s">
        <v>24</v>
      </c>
      <c r="E2015" s="10" t="s">
        <v>57</v>
      </c>
      <c r="F2015" s="83">
        <f>VLOOKUP(B2015,'HSD UPAH,BAHAN,ALAT'!$C$6:F1965,4,FALSE)</f>
        <v>10000</v>
      </c>
      <c r="G2015" s="84">
        <f t="shared" si="251"/>
        <v>100000</v>
      </c>
    </row>
    <row r="2016" spans="1:7">
      <c r="A2016" s="8">
        <v>4</v>
      </c>
      <c r="B2016" s="1" t="s">
        <v>26</v>
      </c>
      <c r="C2016" s="8"/>
      <c r="D2016" s="9"/>
      <c r="E2016" s="10"/>
      <c r="F2016" s="83"/>
      <c r="G2016" s="84">
        <f t="shared" si="251"/>
        <v>0</v>
      </c>
    </row>
    <row r="2017" spans="1:7">
      <c r="A2017" s="8" t="s">
        <v>22</v>
      </c>
      <c r="B2017" s="1" t="s">
        <v>27</v>
      </c>
      <c r="C2017" s="8"/>
      <c r="D2017" s="9" t="s">
        <v>28</v>
      </c>
      <c r="E2017" s="10" t="s">
        <v>76</v>
      </c>
      <c r="F2017" s="83">
        <f>VLOOKUP(B2017,'HSD UPAH,BAHAN,ALAT'!$C$6:F1967,4,FALSE)</f>
        <v>10000</v>
      </c>
      <c r="G2017" s="84">
        <f t="shared" si="251"/>
        <v>1460</v>
      </c>
    </row>
    <row r="2018" spans="1:7">
      <c r="A2018" s="8" t="s">
        <v>30</v>
      </c>
      <c r="B2018" s="1" t="s">
        <v>31</v>
      </c>
      <c r="C2018" s="8"/>
      <c r="D2018" s="9" t="s">
        <v>28</v>
      </c>
      <c r="E2018" s="10" t="s">
        <v>77</v>
      </c>
      <c r="F2018" s="83">
        <f>VLOOKUP(B2018,'HSD UPAH,BAHAN,ALAT'!$C$6:F1968,4,FALSE)</f>
        <v>10000</v>
      </c>
      <c r="G2018" s="84">
        <f t="shared" si="251"/>
        <v>390</v>
      </c>
    </row>
    <row r="2019" spans="1:7">
      <c r="A2019" s="8" t="s">
        <v>33</v>
      </c>
      <c r="B2019" s="1" t="s">
        <v>34</v>
      </c>
      <c r="C2019" s="8"/>
      <c r="D2019" s="9" t="s">
        <v>28</v>
      </c>
      <c r="E2019" s="10" t="s">
        <v>53</v>
      </c>
      <c r="F2019" s="83">
        <f>VLOOKUP(B2019,'HSD UPAH,BAHAN,ALAT'!$C$6:F1969,4,FALSE)</f>
        <v>10000</v>
      </c>
      <c r="G2019" s="84">
        <f t="shared" si="251"/>
        <v>100</v>
      </c>
    </row>
    <row r="2020" spans="1:7">
      <c r="A2020" s="261" t="s">
        <v>421</v>
      </c>
      <c r="B2020" s="261"/>
      <c r="C2020" s="261"/>
      <c r="D2020" s="261"/>
      <c r="E2020" s="261"/>
      <c r="F2020" s="261"/>
      <c r="G2020" s="85">
        <f>SUM(G2011:G2019)</f>
        <v>292650</v>
      </c>
    </row>
    <row r="2021" spans="1:7">
      <c r="A2021" s="8" t="s">
        <v>36</v>
      </c>
      <c r="B2021" s="1" t="s">
        <v>37</v>
      </c>
      <c r="C2021" s="8"/>
      <c r="D2021" s="9"/>
      <c r="E2021" s="10"/>
      <c r="F2021" s="3"/>
      <c r="G2021" s="3"/>
    </row>
    <row r="2022" spans="1:7">
      <c r="A2022" s="8">
        <v>1</v>
      </c>
      <c r="B2022" s="1" t="s">
        <v>71</v>
      </c>
      <c r="C2022" s="8"/>
      <c r="D2022" s="9" t="s">
        <v>72</v>
      </c>
      <c r="E2022" s="10" t="s">
        <v>78</v>
      </c>
      <c r="F2022" s="83">
        <f>VLOOKUP(B2022,'HSD UPAH,BAHAN,ALAT'!$C$6:F1972,4,FALSE)</f>
        <v>10000</v>
      </c>
      <c r="G2022" s="84">
        <f t="shared" ref="G2022" si="252">E2022*F2022</f>
        <v>4100</v>
      </c>
    </row>
    <row r="2023" spans="1:7">
      <c r="A2023" s="263" t="s">
        <v>419</v>
      </c>
      <c r="B2023" s="263"/>
      <c r="C2023" s="263"/>
      <c r="D2023" s="263"/>
      <c r="E2023" s="263"/>
      <c r="F2023" s="263"/>
      <c r="G2023" s="80">
        <f>SUM(G2022)</f>
        <v>4100</v>
      </c>
    </row>
    <row r="2024" spans="1:7">
      <c r="A2024" s="81" t="s">
        <v>38</v>
      </c>
      <c r="B2024" s="262" t="s">
        <v>39</v>
      </c>
      <c r="C2024" s="262"/>
      <c r="D2024" s="262"/>
      <c r="E2024" s="262"/>
      <c r="F2024" s="262"/>
      <c r="G2024" s="80">
        <f>SUM(G2006:G2023)/2</f>
        <v>311860</v>
      </c>
    </row>
    <row r="2025" spans="1:7">
      <c r="A2025" s="81" t="s">
        <v>40</v>
      </c>
      <c r="B2025" s="262" t="s">
        <v>180</v>
      </c>
      <c r="C2025" s="262"/>
      <c r="D2025" s="262"/>
      <c r="E2025" s="262"/>
      <c r="F2025" s="82">
        <v>0.1</v>
      </c>
      <c r="G2025" s="80">
        <f>G2024*F2025</f>
        <v>31186</v>
      </c>
    </row>
    <row r="2026" spans="1:7">
      <c r="A2026" s="81" t="s">
        <v>41</v>
      </c>
      <c r="B2026" s="262" t="s">
        <v>42</v>
      </c>
      <c r="C2026" s="262"/>
      <c r="D2026" s="262"/>
      <c r="E2026" s="262"/>
      <c r="F2026" s="262"/>
      <c r="G2026" s="80">
        <f>G2024+G2025</f>
        <v>343046</v>
      </c>
    </row>
    <row r="2027" spans="1:7">
      <c r="A2027" s="90"/>
      <c r="B2027" s="91"/>
      <c r="C2027" s="91"/>
      <c r="D2027" s="91"/>
      <c r="E2027" s="91"/>
      <c r="F2027" s="91"/>
      <c r="G2027" s="92"/>
    </row>
    <row r="2028" spans="1:7">
      <c r="A2028" s="4" t="s">
        <v>565</v>
      </c>
      <c r="B2028" s="91"/>
      <c r="C2028" s="91"/>
      <c r="D2028" s="91"/>
      <c r="E2028" s="91"/>
      <c r="F2028" s="91"/>
      <c r="G2028" s="92"/>
    </row>
    <row r="2029" spans="1:7" ht="30">
      <c r="A2029" s="79" t="s">
        <v>0</v>
      </c>
      <c r="B2029" s="79" t="s">
        <v>1</v>
      </c>
      <c r="C2029" s="79" t="s">
        <v>207</v>
      </c>
      <c r="D2029" s="79" t="s">
        <v>3</v>
      </c>
      <c r="E2029" s="79" t="s">
        <v>2</v>
      </c>
      <c r="F2029" s="79" t="s">
        <v>417</v>
      </c>
      <c r="G2029" s="79" t="s">
        <v>418</v>
      </c>
    </row>
    <row r="2030" spans="1:7">
      <c r="A2030" s="8" t="s">
        <v>4</v>
      </c>
      <c r="B2030" s="1" t="s">
        <v>5</v>
      </c>
      <c r="C2030" s="8"/>
      <c r="D2030" s="9"/>
      <c r="E2030" s="10"/>
      <c r="F2030" s="3"/>
      <c r="G2030" s="3"/>
    </row>
    <row r="2031" spans="1:7">
      <c r="A2031" s="8">
        <v>1</v>
      </c>
      <c r="B2031" s="1" t="s">
        <v>48</v>
      </c>
      <c r="C2031" s="8" t="s">
        <v>49</v>
      </c>
      <c r="D2031" s="9" t="s">
        <v>8</v>
      </c>
      <c r="E2031" s="10" t="s">
        <v>60</v>
      </c>
      <c r="F2031" s="83">
        <f>VLOOKUP(B2031,'HSD UPAH,BAHAN,ALAT'!$C$6:F1979,4,FALSE)</f>
        <v>100000</v>
      </c>
      <c r="G2031" s="84">
        <f t="shared" ref="G2031:G2034" si="253">E2031*F2031</f>
        <v>6700</v>
      </c>
    </row>
    <row r="2032" spans="1:7">
      <c r="A2032" s="8">
        <v>2</v>
      </c>
      <c r="B2032" s="1" t="s">
        <v>6</v>
      </c>
      <c r="C2032" s="8" t="s">
        <v>7</v>
      </c>
      <c r="D2032" s="9" t="s">
        <v>8</v>
      </c>
      <c r="E2032" s="10" t="s">
        <v>60</v>
      </c>
      <c r="F2032" s="83">
        <f>VLOOKUP(B2032,'HSD UPAH,BAHAN,ALAT'!$C$6:F1980,4,FALSE)</f>
        <v>100000</v>
      </c>
      <c r="G2032" s="84">
        <f t="shared" si="253"/>
        <v>6700</v>
      </c>
    </row>
    <row r="2033" spans="1:7">
      <c r="A2033" s="8">
        <v>3</v>
      </c>
      <c r="B2033" s="1" t="s">
        <v>10</v>
      </c>
      <c r="C2033" s="8" t="s">
        <v>11</v>
      </c>
      <c r="D2033" s="9" t="s">
        <v>8</v>
      </c>
      <c r="E2033" s="10" t="s">
        <v>74</v>
      </c>
      <c r="F2033" s="83">
        <f>VLOOKUP(B2033,'HSD UPAH,BAHAN,ALAT'!$C$6:F1981,4,FALSE)</f>
        <v>120000</v>
      </c>
      <c r="G2033" s="84">
        <f t="shared" si="253"/>
        <v>3960</v>
      </c>
    </row>
    <row r="2034" spans="1:7">
      <c r="A2034" s="8">
        <v>4</v>
      </c>
      <c r="B2034" s="1" t="s">
        <v>13</v>
      </c>
      <c r="C2034" s="8" t="s">
        <v>14</v>
      </c>
      <c r="D2034" s="9" t="s">
        <v>8</v>
      </c>
      <c r="E2034" s="10" t="s">
        <v>75</v>
      </c>
      <c r="F2034" s="83">
        <f>VLOOKUP(B2034,'HSD UPAH,BAHAN,ALAT'!$C$6:F1982,4,FALSE)</f>
        <v>100000</v>
      </c>
      <c r="G2034" s="84">
        <f t="shared" si="253"/>
        <v>1100</v>
      </c>
    </row>
    <row r="2035" spans="1:7">
      <c r="A2035" s="261" t="s">
        <v>420</v>
      </c>
      <c r="B2035" s="261"/>
      <c r="C2035" s="261"/>
      <c r="D2035" s="261"/>
      <c r="E2035" s="261"/>
      <c r="F2035" s="261"/>
      <c r="G2035" s="85">
        <f>SUM(G2031:G2034)</f>
        <v>18460</v>
      </c>
    </row>
    <row r="2036" spans="1:7">
      <c r="A2036" s="8" t="s">
        <v>16</v>
      </c>
      <c r="B2036" s="1" t="s">
        <v>17</v>
      </c>
      <c r="C2036" s="8"/>
      <c r="D2036" s="9"/>
      <c r="E2036" s="10"/>
      <c r="F2036" s="3"/>
      <c r="G2036" s="3"/>
    </row>
    <row r="2037" spans="1:7" ht="30">
      <c r="A2037" s="17" t="s">
        <v>208</v>
      </c>
      <c r="B2037" s="5" t="s">
        <v>299</v>
      </c>
      <c r="C2037" s="17"/>
      <c r="D2037" s="12" t="s">
        <v>86</v>
      </c>
      <c r="E2037" s="7" t="s">
        <v>87</v>
      </c>
      <c r="F2037" s="83">
        <f>VLOOKUP(B2037,'HSD UPAH,BAHAN,ALAT'!$C$6:F1985,4,FALSE)</f>
        <v>10000</v>
      </c>
      <c r="G2037" s="84">
        <f t="shared" ref="G2037:G2045" si="254">E2037*F2037</f>
        <v>10500</v>
      </c>
    </row>
    <row r="2038" spans="1:7">
      <c r="A2038" s="8">
        <v>2</v>
      </c>
      <c r="B2038" s="1" t="s">
        <v>18</v>
      </c>
      <c r="C2038" s="8"/>
      <c r="D2038" s="9" t="s">
        <v>19</v>
      </c>
      <c r="E2038" s="10" t="s">
        <v>64</v>
      </c>
      <c r="F2038" s="83">
        <f>VLOOKUP(B2038,'HSD UPAH,BAHAN,ALAT'!$C$6:F1986,4,FALSE)</f>
        <v>10000</v>
      </c>
      <c r="G2038" s="84">
        <f t="shared" si="254"/>
        <v>200</v>
      </c>
    </row>
    <row r="2039" spans="1:7">
      <c r="A2039" s="8">
        <v>3</v>
      </c>
      <c r="B2039" s="1" t="s">
        <v>21</v>
      </c>
      <c r="C2039" s="8"/>
      <c r="D2039" s="9"/>
      <c r="E2039" s="10"/>
      <c r="F2039" s="83"/>
      <c r="G2039" s="84">
        <f t="shared" si="254"/>
        <v>0</v>
      </c>
    </row>
    <row r="2040" spans="1:7">
      <c r="A2040" s="8" t="s">
        <v>22</v>
      </c>
      <c r="B2040" s="1" t="s">
        <v>66</v>
      </c>
      <c r="C2040" s="8"/>
      <c r="D2040" s="9" t="s">
        <v>24</v>
      </c>
      <c r="E2040" s="10" t="s">
        <v>67</v>
      </c>
      <c r="F2040" s="83">
        <f>VLOOKUP(B2040,'HSD UPAH,BAHAN,ALAT'!$C$6:F1988,4,FALSE)</f>
        <v>10000</v>
      </c>
      <c r="G2040" s="84">
        <f t="shared" si="254"/>
        <v>180000</v>
      </c>
    </row>
    <row r="2041" spans="1:7">
      <c r="A2041" s="8" t="s">
        <v>30</v>
      </c>
      <c r="B2041" s="1" t="s">
        <v>56</v>
      </c>
      <c r="C2041" s="8"/>
      <c r="D2041" s="9" t="s">
        <v>24</v>
      </c>
      <c r="E2041" s="10" t="s">
        <v>57</v>
      </c>
      <c r="F2041" s="83">
        <f>VLOOKUP(B2041,'HSD UPAH,BAHAN,ALAT'!$C$6:F1989,4,FALSE)</f>
        <v>10000</v>
      </c>
      <c r="G2041" s="84">
        <f t="shared" si="254"/>
        <v>100000</v>
      </c>
    </row>
    <row r="2042" spans="1:7">
      <c r="A2042" s="8">
        <v>4</v>
      </c>
      <c r="B2042" s="1" t="s">
        <v>26</v>
      </c>
      <c r="C2042" s="8"/>
      <c r="D2042" s="9"/>
      <c r="E2042" s="10"/>
      <c r="F2042" s="83"/>
      <c r="G2042" s="84">
        <f t="shared" si="254"/>
        <v>0</v>
      </c>
    </row>
    <row r="2043" spans="1:7">
      <c r="A2043" s="8" t="s">
        <v>22</v>
      </c>
      <c r="B2043" s="1" t="s">
        <v>27</v>
      </c>
      <c r="C2043" s="8"/>
      <c r="D2043" s="9" t="s">
        <v>28</v>
      </c>
      <c r="E2043" s="10" t="s">
        <v>76</v>
      </c>
      <c r="F2043" s="83">
        <f>VLOOKUP(B2043,'HSD UPAH,BAHAN,ALAT'!$C$6:F1991,4,FALSE)</f>
        <v>10000</v>
      </c>
      <c r="G2043" s="84">
        <f t="shared" si="254"/>
        <v>1460</v>
      </c>
    </row>
    <row r="2044" spans="1:7">
      <c r="A2044" s="8" t="s">
        <v>30</v>
      </c>
      <c r="B2044" s="1" t="s">
        <v>31</v>
      </c>
      <c r="C2044" s="8"/>
      <c r="D2044" s="9" t="s">
        <v>28</v>
      </c>
      <c r="E2044" s="10" t="s">
        <v>77</v>
      </c>
      <c r="F2044" s="83">
        <f>VLOOKUP(B2044,'HSD UPAH,BAHAN,ALAT'!$C$6:F1992,4,FALSE)</f>
        <v>10000</v>
      </c>
      <c r="G2044" s="84">
        <f t="shared" si="254"/>
        <v>390</v>
      </c>
    </row>
    <row r="2045" spans="1:7">
      <c r="A2045" s="8" t="s">
        <v>33</v>
      </c>
      <c r="B2045" s="1" t="s">
        <v>34</v>
      </c>
      <c r="C2045" s="8"/>
      <c r="D2045" s="9" t="s">
        <v>28</v>
      </c>
      <c r="E2045" s="10" t="s">
        <v>53</v>
      </c>
      <c r="F2045" s="83">
        <f>VLOOKUP(B2045,'HSD UPAH,BAHAN,ALAT'!$C$6:F1993,4,FALSE)</f>
        <v>10000</v>
      </c>
      <c r="G2045" s="84">
        <f t="shared" si="254"/>
        <v>100</v>
      </c>
    </row>
    <row r="2046" spans="1:7">
      <c r="A2046" s="261" t="s">
        <v>421</v>
      </c>
      <c r="B2046" s="261"/>
      <c r="C2046" s="261"/>
      <c r="D2046" s="261"/>
      <c r="E2046" s="261"/>
      <c r="F2046" s="261"/>
      <c r="G2046" s="85">
        <f>SUM(G2037:G2045)</f>
        <v>292650</v>
      </c>
    </row>
    <row r="2047" spans="1:7">
      <c r="A2047" s="8" t="s">
        <v>36</v>
      </c>
      <c r="B2047" s="1" t="s">
        <v>37</v>
      </c>
      <c r="C2047" s="8"/>
      <c r="D2047" s="9"/>
      <c r="E2047" s="10"/>
      <c r="F2047" s="3"/>
      <c r="G2047" s="3"/>
    </row>
    <row r="2048" spans="1:7">
      <c r="A2048" s="8">
        <v>1</v>
      </c>
      <c r="B2048" s="1" t="s">
        <v>71</v>
      </c>
      <c r="C2048" s="8"/>
      <c r="D2048" s="9" t="s">
        <v>72</v>
      </c>
      <c r="E2048" s="10" t="s">
        <v>78</v>
      </c>
      <c r="F2048" s="83">
        <f>VLOOKUP(B2048,'HSD UPAH,BAHAN,ALAT'!$C$6:F1996,4,FALSE)</f>
        <v>10000</v>
      </c>
      <c r="G2048" s="84">
        <f t="shared" ref="G2048" si="255">E2048*F2048</f>
        <v>4100</v>
      </c>
    </row>
    <row r="2049" spans="1:7">
      <c r="A2049" s="263" t="s">
        <v>419</v>
      </c>
      <c r="B2049" s="263"/>
      <c r="C2049" s="263"/>
      <c r="D2049" s="263"/>
      <c r="E2049" s="263"/>
      <c r="F2049" s="263"/>
      <c r="G2049" s="80">
        <f>SUM(G2048)</f>
        <v>4100</v>
      </c>
    </row>
    <row r="2050" spans="1:7">
      <c r="A2050" s="81" t="s">
        <v>38</v>
      </c>
      <c r="B2050" s="262" t="s">
        <v>39</v>
      </c>
      <c r="C2050" s="262"/>
      <c r="D2050" s="262"/>
      <c r="E2050" s="262"/>
      <c r="F2050" s="262"/>
      <c r="G2050" s="80">
        <f>SUM(G2031:G2049)/2</f>
        <v>315210</v>
      </c>
    </row>
    <row r="2051" spans="1:7">
      <c r="A2051" s="81" t="s">
        <v>40</v>
      </c>
      <c r="B2051" s="262" t="s">
        <v>180</v>
      </c>
      <c r="C2051" s="262"/>
      <c r="D2051" s="262"/>
      <c r="E2051" s="262"/>
      <c r="F2051" s="82">
        <v>0.1</v>
      </c>
      <c r="G2051" s="80">
        <f>G2050*F2051</f>
        <v>31521</v>
      </c>
    </row>
    <row r="2052" spans="1:7">
      <c r="A2052" s="81" t="s">
        <v>41</v>
      </c>
      <c r="B2052" s="262" t="s">
        <v>42</v>
      </c>
      <c r="C2052" s="262"/>
      <c r="D2052" s="262"/>
      <c r="E2052" s="262"/>
      <c r="F2052" s="262"/>
      <c r="G2052" s="80">
        <f>G2050+G2051</f>
        <v>346731</v>
      </c>
    </row>
    <row r="2053" spans="1:7">
      <c r="A2053" s="90"/>
      <c r="B2053" s="91"/>
      <c r="C2053" s="91"/>
      <c r="D2053" s="91"/>
      <c r="E2053" s="91"/>
      <c r="F2053" s="91"/>
      <c r="G2053" s="92"/>
    </row>
    <row r="2054" spans="1:7">
      <c r="A2054" s="4" t="s">
        <v>566</v>
      </c>
      <c r="B2054" s="91"/>
      <c r="C2054" s="91"/>
      <c r="D2054" s="91"/>
      <c r="E2054" s="91"/>
      <c r="F2054" s="91"/>
      <c r="G2054" s="92"/>
    </row>
    <row r="2055" spans="1:7" ht="30">
      <c r="A2055" s="79" t="s">
        <v>0</v>
      </c>
      <c r="B2055" s="79" t="s">
        <v>1</v>
      </c>
      <c r="C2055" s="79" t="s">
        <v>207</v>
      </c>
      <c r="D2055" s="79" t="s">
        <v>3</v>
      </c>
      <c r="E2055" s="79" t="s">
        <v>2</v>
      </c>
      <c r="F2055" s="79" t="s">
        <v>417</v>
      </c>
      <c r="G2055" s="79" t="s">
        <v>418</v>
      </c>
    </row>
    <row r="2056" spans="1:7">
      <c r="A2056" s="8" t="s">
        <v>4</v>
      </c>
      <c r="B2056" s="1" t="s">
        <v>5</v>
      </c>
      <c r="C2056" s="8"/>
      <c r="D2056" s="9"/>
      <c r="E2056" s="10"/>
      <c r="F2056" s="3"/>
      <c r="G2056" s="3"/>
    </row>
    <row r="2057" spans="1:7">
      <c r="A2057" s="8">
        <v>1</v>
      </c>
      <c r="B2057" s="1" t="s">
        <v>48</v>
      </c>
      <c r="C2057" s="8" t="s">
        <v>49</v>
      </c>
      <c r="D2057" s="9" t="s">
        <v>8</v>
      </c>
      <c r="E2057" s="10" t="s">
        <v>60</v>
      </c>
      <c r="F2057" s="83">
        <f>VLOOKUP(B2057,'HSD UPAH,BAHAN,ALAT'!$C$6:F2003,4,FALSE)</f>
        <v>100000</v>
      </c>
      <c r="G2057" s="84">
        <f t="shared" ref="G2057:G2060" si="256">E2057*F2057</f>
        <v>6700</v>
      </c>
    </row>
    <row r="2058" spans="1:7">
      <c r="A2058" s="8">
        <v>2</v>
      </c>
      <c r="B2058" s="1" t="s">
        <v>6</v>
      </c>
      <c r="C2058" s="8" t="s">
        <v>7</v>
      </c>
      <c r="D2058" s="9" t="s">
        <v>8</v>
      </c>
      <c r="E2058" s="10" t="s">
        <v>60</v>
      </c>
      <c r="F2058" s="83">
        <f>VLOOKUP(B2058,'HSD UPAH,BAHAN,ALAT'!$C$6:F2004,4,FALSE)</f>
        <v>100000</v>
      </c>
      <c r="G2058" s="84">
        <f t="shared" si="256"/>
        <v>6700</v>
      </c>
    </row>
    <row r="2059" spans="1:7">
      <c r="A2059" s="8">
        <v>3</v>
      </c>
      <c r="B2059" s="1" t="s">
        <v>10</v>
      </c>
      <c r="C2059" s="8" t="s">
        <v>11</v>
      </c>
      <c r="D2059" s="9" t="s">
        <v>8</v>
      </c>
      <c r="E2059" s="10" t="s">
        <v>74</v>
      </c>
      <c r="F2059" s="83">
        <f>VLOOKUP(B2059,'HSD UPAH,BAHAN,ALAT'!$C$6:F2005,4,FALSE)</f>
        <v>120000</v>
      </c>
      <c r="G2059" s="84">
        <f t="shared" si="256"/>
        <v>3960</v>
      </c>
    </row>
    <row r="2060" spans="1:7">
      <c r="A2060" s="8">
        <v>4</v>
      </c>
      <c r="B2060" s="1" t="s">
        <v>13</v>
      </c>
      <c r="C2060" s="8" t="s">
        <v>14</v>
      </c>
      <c r="D2060" s="9" t="s">
        <v>8</v>
      </c>
      <c r="E2060" s="10" t="s">
        <v>75</v>
      </c>
      <c r="F2060" s="83">
        <f>VLOOKUP(B2060,'HSD UPAH,BAHAN,ALAT'!$C$6:F2006,4,FALSE)</f>
        <v>100000</v>
      </c>
      <c r="G2060" s="84">
        <f t="shared" si="256"/>
        <v>1100</v>
      </c>
    </row>
    <row r="2061" spans="1:7">
      <c r="A2061" s="261" t="s">
        <v>420</v>
      </c>
      <c r="B2061" s="261"/>
      <c r="C2061" s="261"/>
      <c r="D2061" s="261"/>
      <c r="E2061" s="261"/>
      <c r="F2061" s="261"/>
      <c r="G2061" s="85">
        <f>SUM(G2057:G2060)</f>
        <v>18460</v>
      </c>
    </row>
    <row r="2062" spans="1:7">
      <c r="A2062" s="8" t="s">
        <v>16</v>
      </c>
      <c r="B2062" s="1" t="s">
        <v>17</v>
      </c>
      <c r="C2062" s="8"/>
      <c r="D2062" s="9"/>
      <c r="E2062" s="10"/>
      <c r="F2062" s="3"/>
      <c r="G2062" s="3"/>
    </row>
    <row r="2063" spans="1:7" ht="30">
      <c r="A2063" s="17" t="s">
        <v>208</v>
      </c>
      <c r="B2063" s="5" t="s">
        <v>301</v>
      </c>
      <c r="C2063" s="17"/>
      <c r="D2063" s="12" t="s">
        <v>86</v>
      </c>
      <c r="E2063" s="7" t="s">
        <v>87</v>
      </c>
      <c r="F2063" s="83">
        <f>VLOOKUP(B2063,'HSD UPAH,BAHAN,ALAT'!$C$6:F2009,4,FALSE)</f>
        <v>10000</v>
      </c>
      <c r="G2063" s="84">
        <f t="shared" ref="G2063:G2071" si="257">E2063*F2063</f>
        <v>10500</v>
      </c>
    </row>
    <row r="2064" spans="1:7">
      <c r="A2064" s="8">
        <v>2</v>
      </c>
      <c r="B2064" s="1" t="s">
        <v>18</v>
      </c>
      <c r="C2064" s="8"/>
      <c r="D2064" s="9" t="s">
        <v>19</v>
      </c>
      <c r="E2064" s="10" t="s">
        <v>64</v>
      </c>
      <c r="F2064" s="83">
        <f>VLOOKUP(B2064,'HSD UPAH,BAHAN,ALAT'!$C$6:F2010,4,FALSE)</f>
        <v>10000</v>
      </c>
      <c r="G2064" s="84">
        <f t="shared" si="257"/>
        <v>200</v>
      </c>
    </row>
    <row r="2065" spans="1:7">
      <c r="A2065" s="8">
        <v>3</v>
      </c>
      <c r="B2065" s="1" t="s">
        <v>21</v>
      </c>
      <c r="C2065" s="8"/>
      <c r="D2065" s="9"/>
      <c r="E2065" s="10"/>
      <c r="F2065" s="83"/>
      <c r="G2065" s="84">
        <f t="shared" si="257"/>
        <v>0</v>
      </c>
    </row>
    <row r="2066" spans="1:7">
      <c r="A2066" s="8" t="s">
        <v>22</v>
      </c>
      <c r="B2066" s="1" t="s">
        <v>66</v>
      </c>
      <c r="C2066" s="8"/>
      <c r="D2066" s="9" t="s">
        <v>24</v>
      </c>
      <c r="E2066" s="10" t="s">
        <v>67</v>
      </c>
      <c r="F2066" s="83">
        <f>VLOOKUP(B2066,'HSD UPAH,BAHAN,ALAT'!$C$6:F2012,4,FALSE)</f>
        <v>10000</v>
      </c>
      <c r="G2066" s="84">
        <f t="shared" si="257"/>
        <v>180000</v>
      </c>
    </row>
    <row r="2067" spans="1:7">
      <c r="A2067" s="8" t="s">
        <v>30</v>
      </c>
      <c r="B2067" s="1" t="s">
        <v>56</v>
      </c>
      <c r="C2067" s="8"/>
      <c r="D2067" s="9" t="s">
        <v>24</v>
      </c>
      <c r="E2067" s="10" t="s">
        <v>57</v>
      </c>
      <c r="F2067" s="83">
        <f>VLOOKUP(B2067,'HSD UPAH,BAHAN,ALAT'!$C$6:F2013,4,FALSE)</f>
        <v>10000</v>
      </c>
      <c r="G2067" s="84">
        <f t="shared" si="257"/>
        <v>100000</v>
      </c>
    </row>
    <row r="2068" spans="1:7">
      <c r="A2068" s="8">
        <v>4</v>
      </c>
      <c r="B2068" s="1" t="s">
        <v>26</v>
      </c>
      <c r="C2068" s="8"/>
      <c r="D2068" s="9"/>
      <c r="E2068" s="10"/>
      <c r="F2068" s="83"/>
      <c r="G2068" s="84">
        <f t="shared" si="257"/>
        <v>0</v>
      </c>
    </row>
    <row r="2069" spans="1:7">
      <c r="A2069" s="8" t="s">
        <v>22</v>
      </c>
      <c r="B2069" s="1" t="s">
        <v>27</v>
      </c>
      <c r="C2069" s="8"/>
      <c r="D2069" s="9" t="s">
        <v>28</v>
      </c>
      <c r="E2069" s="10" t="s">
        <v>76</v>
      </c>
      <c r="F2069" s="83">
        <f>VLOOKUP(B2069,'HSD UPAH,BAHAN,ALAT'!$C$6:F2015,4,FALSE)</f>
        <v>10000</v>
      </c>
      <c r="G2069" s="84">
        <f t="shared" si="257"/>
        <v>1460</v>
      </c>
    </row>
    <row r="2070" spans="1:7">
      <c r="A2070" s="8" t="s">
        <v>30</v>
      </c>
      <c r="B2070" s="1" t="s">
        <v>31</v>
      </c>
      <c r="C2070" s="8"/>
      <c r="D2070" s="9" t="s">
        <v>28</v>
      </c>
      <c r="E2070" s="10" t="s">
        <v>77</v>
      </c>
      <c r="F2070" s="83">
        <f>VLOOKUP(B2070,'HSD UPAH,BAHAN,ALAT'!$C$6:F2016,4,FALSE)</f>
        <v>10000</v>
      </c>
      <c r="G2070" s="84">
        <f t="shared" si="257"/>
        <v>390</v>
      </c>
    </row>
    <row r="2071" spans="1:7">
      <c r="A2071" s="8" t="s">
        <v>33</v>
      </c>
      <c r="B2071" s="1" t="s">
        <v>34</v>
      </c>
      <c r="C2071" s="8"/>
      <c r="D2071" s="9" t="s">
        <v>28</v>
      </c>
      <c r="E2071" s="10" t="s">
        <v>53</v>
      </c>
      <c r="F2071" s="83">
        <f>VLOOKUP(B2071,'HSD UPAH,BAHAN,ALAT'!$C$6:F2017,4,FALSE)</f>
        <v>10000</v>
      </c>
      <c r="G2071" s="84">
        <f t="shared" si="257"/>
        <v>100</v>
      </c>
    </row>
    <row r="2072" spans="1:7">
      <c r="A2072" s="261" t="s">
        <v>421</v>
      </c>
      <c r="B2072" s="261"/>
      <c r="C2072" s="261"/>
      <c r="D2072" s="261"/>
      <c r="E2072" s="261"/>
      <c r="F2072" s="261"/>
      <c r="G2072" s="85">
        <f>SUM(G2063:G2071)</f>
        <v>292650</v>
      </c>
    </row>
    <row r="2073" spans="1:7">
      <c r="A2073" s="8" t="s">
        <v>36</v>
      </c>
      <c r="B2073" s="1" t="s">
        <v>37</v>
      </c>
      <c r="C2073" s="8"/>
      <c r="D2073" s="9"/>
      <c r="E2073" s="10"/>
      <c r="F2073" s="3"/>
      <c r="G2073" s="3"/>
    </row>
    <row r="2074" spans="1:7">
      <c r="A2074" s="8">
        <v>1</v>
      </c>
      <c r="B2074" s="1" t="s">
        <v>71</v>
      </c>
      <c r="C2074" s="8"/>
      <c r="D2074" s="9" t="s">
        <v>72</v>
      </c>
      <c r="E2074" s="10" t="s">
        <v>78</v>
      </c>
      <c r="F2074" s="83">
        <f>VLOOKUP(B2074,'HSD UPAH,BAHAN,ALAT'!$C$6:F2020,4,FALSE)</f>
        <v>10000</v>
      </c>
      <c r="G2074" s="84">
        <f t="shared" ref="G2074" si="258">E2074*F2074</f>
        <v>4100</v>
      </c>
    </row>
    <row r="2075" spans="1:7">
      <c r="A2075" s="263" t="s">
        <v>419</v>
      </c>
      <c r="B2075" s="263"/>
      <c r="C2075" s="263"/>
      <c r="D2075" s="263"/>
      <c r="E2075" s="263"/>
      <c r="F2075" s="263"/>
      <c r="G2075" s="80">
        <f>SUM(G2074)</f>
        <v>4100</v>
      </c>
    </row>
    <row r="2076" spans="1:7">
      <c r="A2076" s="81" t="s">
        <v>38</v>
      </c>
      <c r="B2076" s="262" t="s">
        <v>39</v>
      </c>
      <c r="C2076" s="262"/>
      <c r="D2076" s="262"/>
      <c r="E2076" s="262"/>
      <c r="F2076" s="262"/>
      <c r="G2076" s="80">
        <f>SUM(G2057:G2075)/2</f>
        <v>315210</v>
      </c>
    </row>
    <row r="2077" spans="1:7">
      <c r="A2077" s="81" t="s">
        <v>40</v>
      </c>
      <c r="B2077" s="262" t="s">
        <v>180</v>
      </c>
      <c r="C2077" s="262"/>
      <c r="D2077" s="262"/>
      <c r="E2077" s="262"/>
      <c r="F2077" s="82">
        <v>0.1</v>
      </c>
      <c r="G2077" s="80">
        <f>G2076*F2077</f>
        <v>31521</v>
      </c>
    </row>
    <row r="2078" spans="1:7">
      <c r="A2078" s="81" t="s">
        <v>41</v>
      </c>
      <c r="B2078" s="262" t="s">
        <v>42</v>
      </c>
      <c r="C2078" s="262"/>
      <c r="D2078" s="262"/>
      <c r="E2078" s="262"/>
      <c r="F2078" s="262"/>
      <c r="G2078" s="80">
        <f>G2076+G2077</f>
        <v>346731</v>
      </c>
    </row>
    <row r="2079" spans="1:7">
      <c r="A2079" s="90"/>
      <c r="B2079" s="91"/>
      <c r="C2079" s="91"/>
      <c r="D2079" s="91"/>
      <c r="E2079" s="91"/>
      <c r="F2079" s="91"/>
      <c r="G2079" s="92"/>
    </row>
    <row r="2080" spans="1:7">
      <c r="A2080" s="4" t="s">
        <v>567</v>
      </c>
      <c r="B2080" s="91"/>
      <c r="C2080" s="91"/>
      <c r="D2080" s="91"/>
      <c r="E2080" s="91"/>
      <c r="F2080" s="91"/>
      <c r="G2080" s="92"/>
    </row>
    <row r="2081" spans="1:7" ht="30">
      <c r="A2081" s="79" t="s">
        <v>0</v>
      </c>
      <c r="B2081" s="79" t="s">
        <v>1</v>
      </c>
      <c r="C2081" s="79" t="s">
        <v>207</v>
      </c>
      <c r="D2081" s="79" t="s">
        <v>3</v>
      </c>
      <c r="E2081" s="79" t="s">
        <v>2</v>
      </c>
      <c r="F2081" s="79" t="s">
        <v>417</v>
      </c>
      <c r="G2081" s="79" t="s">
        <v>418</v>
      </c>
    </row>
    <row r="2082" spans="1:7">
      <c r="A2082" s="8" t="s">
        <v>4</v>
      </c>
      <c r="B2082" s="1" t="s">
        <v>5</v>
      </c>
      <c r="C2082" s="8"/>
      <c r="D2082" s="9"/>
      <c r="E2082" s="10"/>
      <c r="F2082" s="3"/>
      <c r="G2082" s="3"/>
    </row>
    <row r="2083" spans="1:7">
      <c r="A2083" s="8">
        <v>1</v>
      </c>
      <c r="B2083" s="1" t="s">
        <v>48</v>
      </c>
      <c r="C2083" s="8" t="s">
        <v>49</v>
      </c>
      <c r="D2083" s="9" t="s">
        <v>8</v>
      </c>
      <c r="E2083" s="10" t="s">
        <v>60</v>
      </c>
      <c r="F2083" s="83">
        <f>VLOOKUP(B2083,'HSD UPAH,BAHAN,ALAT'!$C$6:F2027,4,FALSE)</f>
        <v>100000</v>
      </c>
      <c r="G2083" s="84">
        <f t="shared" ref="G2083:G2086" si="259">E2083*F2083</f>
        <v>6700</v>
      </c>
    </row>
    <row r="2084" spans="1:7">
      <c r="A2084" s="8">
        <v>2</v>
      </c>
      <c r="B2084" s="1" t="s">
        <v>6</v>
      </c>
      <c r="C2084" s="8" t="s">
        <v>7</v>
      </c>
      <c r="D2084" s="9" t="s">
        <v>8</v>
      </c>
      <c r="E2084" s="10" t="s">
        <v>60</v>
      </c>
      <c r="F2084" s="83">
        <f>VLOOKUP(B2084,'HSD UPAH,BAHAN,ALAT'!$C$6:F2028,4,FALSE)</f>
        <v>100000</v>
      </c>
      <c r="G2084" s="84">
        <f t="shared" si="259"/>
        <v>6700</v>
      </c>
    </row>
    <row r="2085" spans="1:7">
      <c r="A2085" s="8">
        <v>3</v>
      </c>
      <c r="B2085" s="1" t="s">
        <v>10</v>
      </c>
      <c r="C2085" s="8" t="s">
        <v>11</v>
      </c>
      <c r="D2085" s="9" t="s">
        <v>8</v>
      </c>
      <c r="E2085" s="10" t="s">
        <v>74</v>
      </c>
      <c r="F2085" s="83">
        <f>VLOOKUP(B2085,'HSD UPAH,BAHAN,ALAT'!$C$6:F2029,4,FALSE)</f>
        <v>120000</v>
      </c>
      <c r="G2085" s="84">
        <f t="shared" si="259"/>
        <v>3960</v>
      </c>
    </row>
    <row r="2086" spans="1:7">
      <c r="A2086" s="8">
        <v>4</v>
      </c>
      <c r="B2086" s="1" t="s">
        <v>13</v>
      </c>
      <c r="C2086" s="8" t="s">
        <v>14</v>
      </c>
      <c r="D2086" s="9" t="s">
        <v>8</v>
      </c>
      <c r="E2086" s="10" t="s">
        <v>75</v>
      </c>
      <c r="F2086" s="83">
        <f>VLOOKUP(B2086,'HSD UPAH,BAHAN,ALAT'!$C$6:F2030,4,FALSE)</f>
        <v>100000</v>
      </c>
      <c r="G2086" s="84">
        <f t="shared" si="259"/>
        <v>1100</v>
      </c>
    </row>
    <row r="2087" spans="1:7">
      <c r="A2087" s="261" t="s">
        <v>420</v>
      </c>
      <c r="B2087" s="261"/>
      <c r="C2087" s="261"/>
      <c r="D2087" s="261"/>
      <c r="E2087" s="261"/>
      <c r="F2087" s="261"/>
      <c r="G2087" s="85">
        <f>SUM(G2083:G2086)</f>
        <v>18460</v>
      </c>
    </row>
    <row r="2088" spans="1:7">
      <c r="A2088" s="8" t="s">
        <v>16</v>
      </c>
      <c r="B2088" s="1" t="s">
        <v>17</v>
      </c>
      <c r="C2088" s="8"/>
      <c r="D2088" s="9"/>
      <c r="E2088" s="10"/>
      <c r="F2088" s="3"/>
      <c r="G2088" s="3"/>
    </row>
    <row r="2089" spans="1:7" ht="30">
      <c r="A2089" s="17" t="s">
        <v>208</v>
      </c>
      <c r="B2089" s="5" t="s">
        <v>302</v>
      </c>
      <c r="C2089" s="17"/>
      <c r="D2089" s="12" t="s">
        <v>86</v>
      </c>
      <c r="E2089" s="7" t="s">
        <v>87</v>
      </c>
      <c r="F2089" s="83">
        <f>VLOOKUP(B2089,'HSD UPAH,BAHAN,ALAT'!$C$6:F2033,4,FALSE)</f>
        <v>10000</v>
      </c>
      <c r="G2089" s="84">
        <f t="shared" ref="G2089:G2097" si="260">E2089*F2089</f>
        <v>10500</v>
      </c>
    </row>
    <row r="2090" spans="1:7">
      <c r="A2090" s="8">
        <v>2</v>
      </c>
      <c r="B2090" s="1" t="s">
        <v>18</v>
      </c>
      <c r="C2090" s="8"/>
      <c r="D2090" s="9" t="s">
        <v>19</v>
      </c>
      <c r="E2090" s="10" t="s">
        <v>64</v>
      </c>
      <c r="F2090" s="83">
        <f>VLOOKUP(B2090,'HSD UPAH,BAHAN,ALAT'!$C$6:F2034,4,FALSE)</f>
        <v>10000</v>
      </c>
      <c r="G2090" s="84">
        <f t="shared" si="260"/>
        <v>200</v>
      </c>
    </row>
    <row r="2091" spans="1:7">
      <c r="A2091" s="8">
        <v>3</v>
      </c>
      <c r="B2091" s="1" t="s">
        <v>21</v>
      </c>
      <c r="C2091" s="8"/>
      <c r="D2091" s="9"/>
      <c r="E2091" s="10"/>
      <c r="F2091" s="83"/>
      <c r="G2091" s="84">
        <f t="shared" si="260"/>
        <v>0</v>
      </c>
    </row>
    <row r="2092" spans="1:7">
      <c r="A2092" s="8" t="s">
        <v>22</v>
      </c>
      <c r="B2092" s="1" t="s">
        <v>66</v>
      </c>
      <c r="C2092" s="8"/>
      <c r="D2092" s="9" t="s">
        <v>24</v>
      </c>
      <c r="E2092" s="10" t="s">
        <v>67</v>
      </c>
      <c r="F2092" s="83">
        <f>VLOOKUP(B2092,'HSD UPAH,BAHAN,ALAT'!$C$6:F2036,4,FALSE)</f>
        <v>10000</v>
      </c>
      <c r="G2092" s="84">
        <f t="shared" si="260"/>
        <v>180000</v>
      </c>
    </row>
    <row r="2093" spans="1:7">
      <c r="A2093" s="8" t="s">
        <v>30</v>
      </c>
      <c r="B2093" s="1" t="s">
        <v>56</v>
      </c>
      <c r="C2093" s="8"/>
      <c r="D2093" s="9" t="s">
        <v>24</v>
      </c>
      <c r="E2093" s="10" t="s">
        <v>57</v>
      </c>
      <c r="F2093" s="83">
        <f>VLOOKUP(B2093,'HSD UPAH,BAHAN,ALAT'!$C$6:F2037,4,FALSE)</f>
        <v>10000</v>
      </c>
      <c r="G2093" s="84">
        <f t="shared" si="260"/>
        <v>100000</v>
      </c>
    </row>
    <row r="2094" spans="1:7">
      <c r="A2094" s="8">
        <v>4</v>
      </c>
      <c r="B2094" s="1" t="s">
        <v>26</v>
      </c>
      <c r="C2094" s="8"/>
      <c r="D2094" s="9"/>
      <c r="E2094" s="10"/>
      <c r="F2094" s="83"/>
      <c r="G2094" s="84">
        <f t="shared" si="260"/>
        <v>0</v>
      </c>
    </row>
    <row r="2095" spans="1:7">
      <c r="A2095" s="8" t="s">
        <v>22</v>
      </c>
      <c r="B2095" s="1" t="s">
        <v>27</v>
      </c>
      <c r="C2095" s="8"/>
      <c r="D2095" s="9" t="s">
        <v>28</v>
      </c>
      <c r="E2095" s="10" t="s">
        <v>76</v>
      </c>
      <c r="F2095" s="83">
        <f>VLOOKUP(B2095,'HSD UPAH,BAHAN,ALAT'!$C$6:F2039,4,FALSE)</f>
        <v>10000</v>
      </c>
      <c r="G2095" s="84">
        <f t="shared" si="260"/>
        <v>1460</v>
      </c>
    </row>
    <row r="2096" spans="1:7">
      <c r="A2096" s="8" t="s">
        <v>30</v>
      </c>
      <c r="B2096" s="1" t="s">
        <v>31</v>
      </c>
      <c r="C2096" s="8"/>
      <c r="D2096" s="9" t="s">
        <v>28</v>
      </c>
      <c r="E2096" s="10" t="s">
        <v>77</v>
      </c>
      <c r="F2096" s="83">
        <f>VLOOKUP(B2096,'HSD UPAH,BAHAN,ALAT'!$C$6:F2040,4,FALSE)</f>
        <v>10000</v>
      </c>
      <c r="G2096" s="84">
        <f t="shared" si="260"/>
        <v>390</v>
      </c>
    </row>
    <row r="2097" spans="1:7">
      <c r="A2097" s="8" t="s">
        <v>33</v>
      </c>
      <c r="B2097" s="1" t="s">
        <v>34</v>
      </c>
      <c r="C2097" s="8"/>
      <c r="D2097" s="9" t="s">
        <v>28</v>
      </c>
      <c r="E2097" s="10" t="s">
        <v>53</v>
      </c>
      <c r="F2097" s="83">
        <f>VLOOKUP(B2097,'HSD UPAH,BAHAN,ALAT'!$C$6:F2041,4,FALSE)</f>
        <v>10000</v>
      </c>
      <c r="G2097" s="84">
        <f t="shared" si="260"/>
        <v>100</v>
      </c>
    </row>
    <row r="2098" spans="1:7">
      <c r="A2098" s="261" t="s">
        <v>421</v>
      </c>
      <c r="B2098" s="261"/>
      <c r="C2098" s="261"/>
      <c r="D2098" s="261"/>
      <c r="E2098" s="261"/>
      <c r="F2098" s="261"/>
      <c r="G2098" s="85">
        <f>SUM(G2089:G2097)</f>
        <v>292650</v>
      </c>
    </row>
    <row r="2099" spans="1:7">
      <c r="A2099" s="8" t="s">
        <v>36</v>
      </c>
      <c r="B2099" s="1" t="s">
        <v>37</v>
      </c>
      <c r="C2099" s="8"/>
      <c r="D2099" s="9"/>
      <c r="E2099" s="10"/>
      <c r="F2099" s="3"/>
      <c r="G2099" s="3"/>
    </row>
    <row r="2100" spans="1:7">
      <c r="A2100" s="8">
        <v>1</v>
      </c>
      <c r="B2100" s="1" t="s">
        <v>71</v>
      </c>
      <c r="C2100" s="8"/>
      <c r="D2100" s="9" t="s">
        <v>72</v>
      </c>
      <c r="E2100" s="10" t="s">
        <v>78</v>
      </c>
      <c r="F2100" s="83">
        <f>VLOOKUP(B2100,'HSD UPAH,BAHAN,ALAT'!$C$6:F2044,4,FALSE)</f>
        <v>10000</v>
      </c>
      <c r="G2100" s="84">
        <f t="shared" ref="G2100" si="261">E2100*F2100</f>
        <v>4100</v>
      </c>
    </row>
    <row r="2101" spans="1:7">
      <c r="A2101" s="263" t="s">
        <v>419</v>
      </c>
      <c r="B2101" s="263"/>
      <c r="C2101" s="263"/>
      <c r="D2101" s="263"/>
      <c r="E2101" s="263"/>
      <c r="F2101" s="263"/>
      <c r="G2101" s="80">
        <f>SUM(G2100)</f>
        <v>4100</v>
      </c>
    </row>
    <row r="2102" spans="1:7">
      <c r="A2102" s="81" t="s">
        <v>38</v>
      </c>
      <c r="B2102" s="262" t="s">
        <v>39</v>
      </c>
      <c r="C2102" s="262"/>
      <c r="D2102" s="262"/>
      <c r="E2102" s="262"/>
      <c r="F2102" s="262"/>
      <c r="G2102" s="80">
        <f>SUM(G2083:G2101)/2</f>
        <v>315210</v>
      </c>
    </row>
    <row r="2103" spans="1:7">
      <c r="A2103" s="81" t="s">
        <v>40</v>
      </c>
      <c r="B2103" s="262" t="s">
        <v>180</v>
      </c>
      <c r="C2103" s="262"/>
      <c r="D2103" s="262"/>
      <c r="E2103" s="262"/>
      <c r="F2103" s="82">
        <v>0.1</v>
      </c>
      <c r="G2103" s="80">
        <f>G2102*F2103</f>
        <v>31521</v>
      </c>
    </row>
    <row r="2104" spans="1:7">
      <c r="A2104" s="81" t="s">
        <v>41</v>
      </c>
      <c r="B2104" s="262" t="s">
        <v>42</v>
      </c>
      <c r="C2104" s="262"/>
      <c r="D2104" s="262"/>
      <c r="E2104" s="262"/>
      <c r="F2104" s="262"/>
      <c r="G2104" s="80">
        <f>G2102+G2103</f>
        <v>346731</v>
      </c>
    </row>
    <row r="2105" spans="1:7">
      <c r="A2105" s="90"/>
      <c r="B2105" s="91"/>
      <c r="C2105" s="91"/>
      <c r="D2105" s="91"/>
      <c r="E2105" s="91"/>
      <c r="F2105" s="91"/>
      <c r="G2105" s="92"/>
    </row>
    <row r="2106" spans="1:7">
      <c r="A2106" s="4" t="s">
        <v>568</v>
      </c>
      <c r="B2106" s="91"/>
      <c r="C2106" s="91"/>
      <c r="D2106" s="91"/>
      <c r="E2106" s="91"/>
      <c r="F2106" s="91"/>
      <c r="G2106" s="92"/>
    </row>
    <row r="2107" spans="1:7" ht="30">
      <c r="A2107" s="79" t="s">
        <v>0</v>
      </c>
      <c r="B2107" s="79" t="s">
        <v>1</v>
      </c>
      <c r="C2107" s="79" t="s">
        <v>207</v>
      </c>
      <c r="D2107" s="79" t="s">
        <v>3</v>
      </c>
      <c r="E2107" s="79" t="s">
        <v>2</v>
      </c>
      <c r="F2107" s="79" t="s">
        <v>417</v>
      </c>
      <c r="G2107" s="79" t="s">
        <v>418</v>
      </c>
    </row>
    <row r="2108" spans="1:7">
      <c r="A2108" s="8" t="s">
        <v>4</v>
      </c>
      <c r="B2108" s="1" t="s">
        <v>5</v>
      </c>
      <c r="C2108" s="8"/>
      <c r="D2108" s="9"/>
      <c r="E2108" s="10"/>
      <c r="F2108" s="3"/>
      <c r="G2108" s="3"/>
    </row>
    <row r="2109" spans="1:7">
      <c r="A2109" s="8">
        <v>1</v>
      </c>
      <c r="B2109" s="1" t="s">
        <v>48</v>
      </c>
      <c r="C2109" s="8" t="s">
        <v>49</v>
      </c>
      <c r="D2109" s="9" t="s">
        <v>8</v>
      </c>
      <c r="E2109" s="10" t="s">
        <v>60</v>
      </c>
      <c r="F2109" s="83">
        <f>VLOOKUP(B2109,'HSD UPAH,BAHAN,ALAT'!$C$6:F2051,4,FALSE)</f>
        <v>100000</v>
      </c>
      <c r="G2109" s="84">
        <f t="shared" ref="G2109:G2112" si="262">E2109*F2109</f>
        <v>6700</v>
      </c>
    </row>
    <row r="2110" spans="1:7">
      <c r="A2110" s="8">
        <v>2</v>
      </c>
      <c r="B2110" s="1" t="s">
        <v>6</v>
      </c>
      <c r="C2110" s="8" t="s">
        <v>7</v>
      </c>
      <c r="D2110" s="9" t="s">
        <v>8</v>
      </c>
      <c r="E2110" s="10" t="s">
        <v>60</v>
      </c>
      <c r="F2110" s="83">
        <f>VLOOKUP(B2110,'HSD UPAH,BAHAN,ALAT'!$C$6:F2052,4,FALSE)</f>
        <v>100000</v>
      </c>
      <c r="G2110" s="84">
        <f t="shared" si="262"/>
        <v>6700</v>
      </c>
    </row>
    <row r="2111" spans="1:7">
      <c r="A2111" s="8">
        <v>3</v>
      </c>
      <c r="B2111" s="1" t="s">
        <v>10</v>
      </c>
      <c r="C2111" s="8" t="s">
        <v>11</v>
      </c>
      <c r="D2111" s="9" t="s">
        <v>8</v>
      </c>
      <c r="E2111" s="10" t="s">
        <v>74</v>
      </c>
      <c r="F2111" s="83">
        <f>VLOOKUP(B2111,'HSD UPAH,BAHAN,ALAT'!$C$6:F2053,4,FALSE)</f>
        <v>120000</v>
      </c>
      <c r="G2111" s="84">
        <f t="shared" si="262"/>
        <v>3960</v>
      </c>
    </row>
    <row r="2112" spans="1:7">
      <c r="A2112" s="8">
        <v>4</v>
      </c>
      <c r="B2112" s="1" t="s">
        <v>13</v>
      </c>
      <c r="C2112" s="8" t="s">
        <v>14</v>
      </c>
      <c r="D2112" s="9" t="s">
        <v>8</v>
      </c>
      <c r="E2112" s="10" t="s">
        <v>75</v>
      </c>
      <c r="F2112" s="83">
        <f>VLOOKUP(B2112,'HSD UPAH,BAHAN,ALAT'!$C$6:F2054,4,FALSE)</f>
        <v>100000</v>
      </c>
      <c r="G2112" s="84">
        <f t="shared" si="262"/>
        <v>1100</v>
      </c>
    </row>
    <row r="2113" spans="1:7">
      <c r="A2113" s="261" t="s">
        <v>420</v>
      </c>
      <c r="B2113" s="261"/>
      <c r="C2113" s="261"/>
      <c r="D2113" s="261"/>
      <c r="E2113" s="261"/>
      <c r="F2113" s="261"/>
      <c r="G2113" s="85">
        <f>SUM(G2109:G2112)</f>
        <v>18460</v>
      </c>
    </row>
    <row r="2114" spans="1:7">
      <c r="A2114" s="8" t="s">
        <v>16</v>
      </c>
      <c r="B2114" s="1" t="s">
        <v>17</v>
      </c>
      <c r="C2114" s="8"/>
      <c r="D2114" s="9"/>
      <c r="E2114" s="10"/>
      <c r="F2114" s="3"/>
      <c r="G2114" s="3"/>
    </row>
    <row r="2115" spans="1:7" ht="30">
      <c r="A2115" s="17" t="s">
        <v>208</v>
      </c>
      <c r="B2115" s="5" t="s">
        <v>303</v>
      </c>
      <c r="C2115" s="17"/>
      <c r="D2115" s="12" t="s">
        <v>86</v>
      </c>
      <c r="E2115" s="7" t="s">
        <v>87</v>
      </c>
      <c r="F2115" s="83">
        <f>VLOOKUP(B2115,'HSD UPAH,BAHAN,ALAT'!$C$6:F2057,4,FALSE)</f>
        <v>10000</v>
      </c>
      <c r="G2115" s="84">
        <f t="shared" ref="G2115:G2123" si="263">E2115*F2115</f>
        <v>10500</v>
      </c>
    </row>
    <row r="2116" spans="1:7">
      <c r="A2116" s="8">
        <v>2</v>
      </c>
      <c r="B2116" s="1" t="s">
        <v>18</v>
      </c>
      <c r="C2116" s="8"/>
      <c r="D2116" s="9" t="s">
        <v>19</v>
      </c>
      <c r="E2116" s="10" t="s">
        <v>64</v>
      </c>
      <c r="F2116" s="83">
        <f>VLOOKUP(B2116,'HSD UPAH,BAHAN,ALAT'!$C$6:F2058,4,FALSE)</f>
        <v>10000</v>
      </c>
      <c r="G2116" s="84">
        <f t="shared" si="263"/>
        <v>200</v>
      </c>
    </row>
    <row r="2117" spans="1:7">
      <c r="A2117" s="8">
        <v>3</v>
      </c>
      <c r="B2117" s="1" t="s">
        <v>21</v>
      </c>
      <c r="C2117" s="8"/>
      <c r="D2117" s="9"/>
      <c r="E2117" s="10"/>
      <c r="F2117" s="83"/>
      <c r="G2117" s="84">
        <f t="shared" si="263"/>
        <v>0</v>
      </c>
    </row>
    <row r="2118" spans="1:7">
      <c r="A2118" s="8" t="s">
        <v>22</v>
      </c>
      <c r="B2118" s="1" t="s">
        <v>66</v>
      </c>
      <c r="C2118" s="8"/>
      <c r="D2118" s="9" t="s">
        <v>24</v>
      </c>
      <c r="E2118" s="10" t="s">
        <v>67</v>
      </c>
      <c r="F2118" s="83">
        <f>VLOOKUP(B2118,'HSD UPAH,BAHAN,ALAT'!$C$6:F2060,4,FALSE)</f>
        <v>10000</v>
      </c>
      <c r="G2118" s="84">
        <f t="shared" si="263"/>
        <v>180000</v>
      </c>
    </row>
    <row r="2119" spans="1:7">
      <c r="A2119" s="8" t="s">
        <v>30</v>
      </c>
      <c r="B2119" s="1" t="s">
        <v>56</v>
      </c>
      <c r="C2119" s="8"/>
      <c r="D2119" s="9" t="s">
        <v>24</v>
      </c>
      <c r="E2119" s="10" t="s">
        <v>57</v>
      </c>
      <c r="F2119" s="83">
        <f>VLOOKUP(B2119,'HSD UPAH,BAHAN,ALAT'!$C$6:F2061,4,FALSE)</f>
        <v>10000</v>
      </c>
      <c r="G2119" s="84">
        <f t="shared" si="263"/>
        <v>100000</v>
      </c>
    </row>
    <row r="2120" spans="1:7">
      <c r="A2120" s="8">
        <v>4</v>
      </c>
      <c r="B2120" s="1" t="s">
        <v>26</v>
      </c>
      <c r="C2120" s="8"/>
      <c r="D2120" s="9"/>
      <c r="E2120" s="10"/>
      <c r="F2120" s="83"/>
      <c r="G2120" s="84">
        <f t="shared" si="263"/>
        <v>0</v>
      </c>
    </row>
    <row r="2121" spans="1:7">
      <c r="A2121" s="8" t="s">
        <v>22</v>
      </c>
      <c r="B2121" s="1" t="s">
        <v>27</v>
      </c>
      <c r="C2121" s="8"/>
      <c r="D2121" s="9" t="s">
        <v>28</v>
      </c>
      <c r="E2121" s="10" t="s">
        <v>76</v>
      </c>
      <c r="F2121" s="83">
        <f>VLOOKUP(B2121,'HSD UPAH,BAHAN,ALAT'!$C$6:F2063,4,FALSE)</f>
        <v>10000</v>
      </c>
      <c r="G2121" s="84">
        <f t="shared" si="263"/>
        <v>1460</v>
      </c>
    </row>
    <row r="2122" spans="1:7">
      <c r="A2122" s="8" t="s">
        <v>30</v>
      </c>
      <c r="B2122" s="1" t="s">
        <v>31</v>
      </c>
      <c r="C2122" s="8"/>
      <c r="D2122" s="9" t="s">
        <v>28</v>
      </c>
      <c r="E2122" s="10" t="s">
        <v>77</v>
      </c>
      <c r="F2122" s="83">
        <f>VLOOKUP(B2122,'HSD UPAH,BAHAN,ALAT'!$C$6:F2064,4,FALSE)</f>
        <v>10000</v>
      </c>
      <c r="G2122" s="84">
        <f t="shared" si="263"/>
        <v>390</v>
      </c>
    </row>
    <row r="2123" spans="1:7">
      <c r="A2123" s="8" t="s">
        <v>33</v>
      </c>
      <c r="B2123" s="1" t="s">
        <v>34</v>
      </c>
      <c r="C2123" s="8"/>
      <c r="D2123" s="9" t="s">
        <v>28</v>
      </c>
      <c r="E2123" s="10" t="s">
        <v>53</v>
      </c>
      <c r="F2123" s="83">
        <f>VLOOKUP(B2123,'HSD UPAH,BAHAN,ALAT'!$C$6:F2065,4,FALSE)</f>
        <v>10000</v>
      </c>
      <c r="G2123" s="84">
        <f t="shared" si="263"/>
        <v>100</v>
      </c>
    </row>
    <row r="2124" spans="1:7">
      <c r="A2124" s="261" t="s">
        <v>421</v>
      </c>
      <c r="B2124" s="261"/>
      <c r="C2124" s="261"/>
      <c r="D2124" s="261"/>
      <c r="E2124" s="261"/>
      <c r="F2124" s="261"/>
      <c r="G2124" s="85">
        <f>SUM(G2115:G2123)</f>
        <v>292650</v>
      </c>
    </row>
    <row r="2125" spans="1:7">
      <c r="A2125" s="8" t="s">
        <v>36</v>
      </c>
      <c r="B2125" s="1" t="s">
        <v>37</v>
      </c>
      <c r="C2125" s="8"/>
      <c r="D2125" s="9"/>
      <c r="E2125" s="10"/>
      <c r="F2125" s="3"/>
      <c r="G2125" s="3"/>
    </row>
    <row r="2126" spans="1:7">
      <c r="A2126" s="8">
        <v>1</v>
      </c>
      <c r="B2126" s="1" t="s">
        <v>71</v>
      </c>
      <c r="C2126" s="8"/>
      <c r="D2126" s="9" t="s">
        <v>72</v>
      </c>
      <c r="E2126" s="10" t="s">
        <v>78</v>
      </c>
      <c r="F2126" s="83">
        <f>VLOOKUP(B2126,'HSD UPAH,BAHAN,ALAT'!$C$6:F2068,4,FALSE)</f>
        <v>10000</v>
      </c>
      <c r="G2126" s="84">
        <f t="shared" ref="G2126" si="264">E2126*F2126</f>
        <v>4100</v>
      </c>
    </row>
    <row r="2127" spans="1:7">
      <c r="A2127" s="263" t="s">
        <v>419</v>
      </c>
      <c r="B2127" s="263"/>
      <c r="C2127" s="263"/>
      <c r="D2127" s="263"/>
      <c r="E2127" s="263"/>
      <c r="F2127" s="263"/>
      <c r="G2127" s="80">
        <f>SUM(G2126)</f>
        <v>4100</v>
      </c>
    </row>
    <row r="2128" spans="1:7">
      <c r="A2128" s="81" t="s">
        <v>38</v>
      </c>
      <c r="B2128" s="262" t="s">
        <v>39</v>
      </c>
      <c r="C2128" s="262"/>
      <c r="D2128" s="262"/>
      <c r="E2128" s="262"/>
      <c r="F2128" s="262"/>
      <c r="G2128" s="80">
        <f>SUM(G2109:G2127)/2</f>
        <v>315210</v>
      </c>
    </row>
    <row r="2129" spans="1:7">
      <c r="A2129" s="81" t="s">
        <v>40</v>
      </c>
      <c r="B2129" s="262" t="s">
        <v>180</v>
      </c>
      <c r="C2129" s="262"/>
      <c r="D2129" s="262"/>
      <c r="E2129" s="262"/>
      <c r="F2129" s="82">
        <v>0.1</v>
      </c>
      <c r="G2129" s="80">
        <f>G2128*F2129</f>
        <v>31521</v>
      </c>
    </row>
    <row r="2130" spans="1:7">
      <c r="A2130" s="81" t="s">
        <v>41</v>
      </c>
      <c r="B2130" s="262" t="s">
        <v>42</v>
      </c>
      <c r="C2130" s="262"/>
      <c r="D2130" s="262"/>
      <c r="E2130" s="262"/>
      <c r="F2130" s="262"/>
      <c r="G2130" s="80">
        <f>G2128+G2129</f>
        <v>346731</v>
      </c>
    </row>
    <row r="2131" spans="1:7">
      <c r="A2131" s="90"/>
      <c r="B2131" s="91"/>
      <c r="C2131" s="91"/>
      <c r="D2131" s="91"/>
      <c r="E2131" s="91"/>
      <c r="F2131" s="91"/>
      <c r="G2131" s="92"/>
    </row>
    <row r="2132" spans="1:7">
      <c r="A2132" s="4" t="s">
        <v>569</v>
      </c>
      <c r="B2132" s="91"/>
      <c r="C2132" s="91"/>
      <c r="D2132" s="91"/>
      <c r="E2132" s="91"/>
      <c r="F2132" s="91"/>
      <c r="G2132" s="92"/>
    </row>
    <row r="2133" spans="1:7" ht="30">
      <c r="A2133" s="79" t="s">
        <v>0</v>
      </c>
      <c r="B2133" s="79" t="s">
        <v>1</v>
      </c>
      <c r="C2133" s="79" t="s">
        <v>207</v>
      </c>
      <c r="D2133" s="79" t="s">
        <v>3</v>
      </c>
      <c r="E2133" s="79" t="s">
        <v>2</v>
      </c>
      <c r="F2133" s="79" t="s">
        <v>417</v>
      </c>
      <c r="G2133" s="79" t="s">
        <v>418</v>
      </c>
    </row>
    <row r="2134" spans="1:7">
      <c r="A2134" s="8" t="s">
        <v>4</v>
      </c>
      <c r="B2134" s="1" t="s">
        <v>5</v>
      </c>
      <c r="C2134" s="8"/>
      <c r="D2134" s="9"/>
      <c r="E2134" s="10"/>
      <c r="F2134" s="3"/>
      <c r="G2134" s="3"/>
    </row>
    <row r="2135" spans="1:7">
      <c r="A2135" s="8">
        <v>1</v>
      </c>
      <c r="B2135" s="1" t="s">
        <v>48</v>
      </c>
      <c r="C2135" s="8" t="s">
        <v>49</v>
      </c>
      <c r="D2135" s="10" t="s">
        <v>8</v>
      </c>
      <c r="E2135" s="3" t="s">
        <v>60</v>
      </c>
      <c r="F2135" s="83">
        <f>VLOOKUP(B2135,'HSD UPAH,BAHAN,ALAT'!$C$6:F2075,4,FALSE)</f>
        <v>100000</v>
      </c>
      <c r="G2135" s="84">
        <f t="shared" ref="G2135:G2138" si="265">E2135*F2135</f>
        <v>6700</v>
      </c>
    </row>
    <row r="2136" spans="1:7">
      <c r="A2136" s="8">
        <v>2</v>
      </c>
      <c r="B2136" s="1" t="s">
        <v>6</v>
      </c>
      <c r="C2136" s="8" t="s">
        <v>7</v>
      </c>
      <c r="D2136" s="10" t="s">
        <v>8</v>
      </c>
      <c r="E2136" s="3" t="s">
        <v>60</v>
      </c>
      <c r="F2136" s="83">
        <f>VLOOKUP(B2136,'HSD UPAH,BAHAN,ALAT'!$C$6:F2076,4,FALSE)</f>
        <v>100000</v>
      </c>
      <c r="G2136" s="84">
        <f t="shared" si="265"/>
        <v>6700</v>
      </c>
    </row>
    <row r="2137" spans="1:7">
      <c r="A2137" s="8">
        <v>3</v>
      </c>
      <c r="B2137" s="1" t="s">
        <v>10</v>
      </c>
      <c r="C2137" s="8" t="s">
        <v>11</v>
      </c>
      <c r="D2137" s="10" t="s">
        <v>8</v>
      </c>
      <c r="E2137" s="3" t="s">
        <v>74</v>
      </c>
      <c r="F2137" s="83">
        <f>VLOOKUP(B2137,'HSD UPAH,BAHAN,ALAT'!$C$6:F2077,4,FALSE)</f>
        <v>120000</v>
      </c>
      <c r="G2137" s="84">
        <f t="shared" si="265"/>
        <v>3960</v>
      </c>
    </row>
    <row r="2138" spans="1:7">
      <c r="A2138" s="8">
        <v>4</v>
      </c>
      <c r="B2138" s="1" t="s">
        <v>13</v>
      </c>
      <c r="C2138" s="8" t="s">
        <v>14</v>
      </c>
      <c r="D2138" s="10" t="s">
        <v>8</v>
      </c>
      <c r="E2138" s="3" t="s">
        <v>75</v>
      </c>
      <c r="F2138" s="83">
        <f>VLOOKUP(B2138,'HSD UPAH,BAHAN,ALAT'!$C$6:F2078,4,FALSE)</f>
        <v>100000</v>
      </c>
      <c r="G2138" s="84">
        <f t="shared" si="265"/>
        <v>1100</v>
      </c>
    </row>
    <row r="2139" spans="1:7">
      <c r="A2139" s="261" t="s">
        <v>420</v>
      </c>
      <c r="B2139" s="261"/>
      <c r="C2139" s="261"/>
      <c r="D2139" s="261"/>
      <c r="E2139" s="261"/>
      <c r="F2139" s="261"/>
      <c r="G2139" s="85">
        <f>SUM(G2135:G2138)</f>
        <v>18460</v>
      </c>
    </row>
    <row r="2140" spans="1:7">
      <c r="A2140" s="8" t="s">
        <v>16</v>
      </c>
      <c r="B2140" s="1" t="s">
        <v>17</v>
      </c>
      <c r="C2140" s="8"/>
      <c r="D2140" s="10"/>
      <c r="E2140" s="3"/>
      <c r="G2140" s="3"/>
    </row>
    <row r="2141" spans="1:7" ht="30">
      <c r="A2141" s="17" t="s">
        <v>208</v>
      </c>
      <c r="B2141" s="5" t="s">
        <v>304</v>
      </c>
      <c r="C2141" s="17"/>
      <c r="D2141" s="7" t="s">
        <v>86</v>
      </c>
      <c r="E2141" s="6" t="s">
        <v>87</v>
      </c>
      <c r="F2141" s="83">
        <f>VLOOKUP(B2141,'HSD UPAH,BAHAN,ALAT'!$C$6:F2081,4,FALSE)</f>
        <v>10000</v>
      </c>
      <c r="G2141" s="84">
        <f t="shared" ref="G2141:G2149" si="266">E2141*F2141</f>
        <v>10500</v>
      </c>
    </row>
    <row r="2142" spans="1:7">
      <c r="A2142" s="8">
        <v>2</v>
      </c>
      <c r="B2142" s="1" t="s">
        <v>18</v>
      </c>
      <c r="C2142" s="8"/>
      <c r="D2142" s="10" t="s">
        <v>19</v>
      </c>
      <c r="E2142" s="3" t="s">
        <v>64</v>
      </c>
      <c r="F2142" s="83">
        <f>VLOOKUP(B2142,'HSD UPAH,BAHAN,ALAT'!$C$6:F2082,4,FALSE)</f>
        <v>10000</v>
      </c>
      <c r="G2142" s="84">
        <f t="shared" si="266"/>
        <v>200</v>
      </c>
    </row>
    <row r="2143" spans="1:7">
      <c r="A2143" s="8">
        <v>3</v>
      </c>
      <c r="B2143" s="1" t="s">
        <v>21</v>
      </c>
      <c r="C2143" s="8"/>
      <c r="D2143" s="10"/>
      <c r="E2143" s="3"/>
      <c r="F2143" s="83"/>
      <c r="G2143" s="84">
        <f t="shared" si="266"/>
        <v>0</v>
      </c>
    </row>
    <row r="2144" spans="1:7">
      <c r="A2144" s="8" t="s">
        <v>22</v>
      </c>
      <c r="B2144" s="1" t="s">
        <v>66</v>
      </c>
      <c r="C2144" s="8"/>
      <c r="D2144" s="10" t="s">
        <v>24</v>
      </c>
      <c r="E2144" s="3" t="s">
        <v>67</v>
      </c>
      <c r="F2144" s="83">
        <f>VLOOKUP(B2144,'HSD UPAH,BAHAN,ALAT'!$C$6:F2084,4,FALSE)</f>
        <v>10000</v>
      </c>
      <c r="G2144" s="84">
        <f t="shared" si="266"/>
        <v>180000</v>
      </c>
    </row>
    <row r="2145" spans="1:7">
      <c r="A2145" s="8" t="s">
        <v>30</v>
      </c>
      <c r="B2145" s="1" t="s">
        <v>56</v>
      </c>
      <c r="C2145" s="8"/>
      <c r="D2145" s="10" t="s">
        <v>24</v>
      </c>
      <c r="E2145" s="3" t="s">
        <v>57</v>
      </c>
      <c r="F2145" s="83">
        <f>VLOOKUP(B2145,'HSD UPAH,BAHAN,ALAT'!$C$6:F2085,4,FALSE)</f>
        <v>10000</v>
      </c>
      <c r="G2145" s="84">
        <f t="shared" si="266"/>
        <v>100000</v>
      </c>
    </row>
    <row r="2146" spans="1:7">
      <c r="A2146" s="8">
        <v>4</v>
      </c>
      <c r="B2146" s="1" t="s">
        <v>26</v>
      </c>
      <c r="C2146" s="8"/>
      <c r="D2146" s="10"/>
      <c r="E2146" s="3"/>
      <c r="F2146" s="83"/>
      <c r="G2146" s="84">
        <f t="shared" si="266"/>
        <v>0</v>
      </c>
    </row>
    <row r="2147" spans="1:7">
      <c r="A2147" s="8" t="s">
        <v>22</v>
      </c>
      <c r="B2147" s="1" t="s">
        <v>27</v>
      </c>
      <c r="C2147" s="8"/>
      <c r="D2147" s="10" t="s">
        <v>28</v>
      </c>
      <c r="E2147" s="3" t="s">
        <v>76</v>
      </c>
      <c r="F2147" s="83">
        <f>VLOOKUP(B2147,'HSD UPAH,BAHAN,ALAT'!$C$6:F2087,4,FALSE)</f>
        <v>10000</v>
      </c>
      <c r="G2147" s="84">
        <f t="shared" si="266"/>
        <v>1460</v>
      </c>
    </row>
    <row r="2148" spans="1:7">
      <c r="A2148" s="8" t="s">
        <v>30</v>
      </c>
      <c r="B2148" s="1" t="s">
        <v>31</v>
      </c>
      <c r="C2148" s="8"/>
      <c r="D2148" s="10" t="s">
        <v>28</v>
      </c>
      <c r="E2148" s="3" t="s">
        <v>77</v>
      </c>
      <c r="F2148" s="83">
        <f>VLOOKUP(B2148,'HSD UPAH,BAHAN,ALAT'!$C$6:F2088,4,FALSE)</f>
        <v>10000</v>
      </c>
      <c r="G2148" s="84">
        <f t="shared" si="266"/>
        <v>390</v>
      </c>
    </row>
    <row r="2149" spans="1:7">
      <c r="A2149" s="8" t="s">
        <v>33</v>
      </c>
      <c r="B2149" s="1" t="s">
        <v>34</v>
      </c>
      <c r="C2149" s="8"/>
      <c r="D2149" s="10" t="s">
        <v>28</v>
      </c>
      <c r="E2149" s="3" t="s">
        <v>53</v>
      </c>
      <c r="F2149" s="83">
        <f>VLOOKUP(B2149,'HSD UPAH,BAHAN,ALAT'!$C$6:F2089,4,FALSE)</f>
        <v>10000</v>
      </c>
      <c r="G2149" s="84">
        <f t="shared" si="266"/>
        <v>100</v>
      </c>
    </row>
    <row r="2150" spans="1:7">
      <c r="A2150" s="261" t="s">
        <v>421</v>
      </c>
      <c r="B2150" s="261"/>
      <c r="C2150" s="261"/>
      <c r="D2150" s="261"/>
      <c r="E2150" s="261"/>
      <c r="F2150" s="261"/>
      <c r="G2150" s="85">
        <f>SUM(G2141:G2149)</f>
        <v>292650</v>
      </c>
    </row>
    <row r="2151" spans="1:7">
      <c r="A2151" s="8" t="s">
        <v>36</v>
      </c>
      <c r="B2151" s="1" t="s">
        <v>37</v>
      </c>
      <c r="C2151" s="8"/>
      <c r="D2151" s="10"/>
      <c r="E2151" s="3"/>
      <c r="G2151" s="3"/>
    </row>
    <row r="2152" spans="1:7">
      <c r="A2152" s="8">
        <v>1</v>
      </c>
      <c r="B2152" s="1" t="s">
        <v>71</v>
      </c>
      <c r="C2152" s="8"/>
      <c r="D2152" s="10" t="s">
        <v>72</v>
      </c>
      <c r="E2152" s="10" t="s">
        <v>78</v>
      </c>
      <c r="F2152" s="83">
        <f>VLOOKUP(B2152,'HSD UPAH,BAHAN,ALAT'!$C$6:F2092,4,FALSE)</f>
        <v>10000</v>
      </c>
      <c r="G2152" s="84">
        <f t="shared" ref="G2152" si="267">E2152*F2152</f>
        <v>4100</v>
      </c>
    </row>
    <row r="2153" spans="1:7">
      <c r="A2153" s="263" t="s">
        <v>419</v>
      </c>
      <c r="B2153" s="263"/>
      <c r="C2153" s="263"/>
      <c r="D2153" s="263"/>
      <c r="E2153" s="263"/>
      <c r="F2153" s="263"/>
      <c r="G2153" s="80">
        <f>SUM(G2152)</f>
        <v>4100</v>
      </c>
    </row>
    <row r="2154" spans="1:7">
      <c r="A2154" s="81" t="s">
        <v>38</v>
      </c>
      <c r="B2154" s="262" t="s">
        <v>39</v>
      </c>
      <c r="C2154" s="262"/>
      <c r="D2154" s="262"/>
      <c r="E2154" s="262"/>
      <c r="F2154" s="262"/>
      <c r="G2154" s="80">
        <f>SUM(G2135:G2153)/2</f>
        <v>315210</v>
      </c>
    </row>
    <row r="2155" spans="1:7">
      <c r="A2155" s="81" t="s">
        <v>40</v>
      </c>
      <c r="B2155" s="262" t="s">
        <v>180</v>
      </c>
      <c r="C2155" s="262"/>
      <c r="D2155" s="262"/>
      <c r="E2155" s="262"/>
      <c r="F2155" s="82">
        <v>0.1</v>
      </c>
      <c r="G2155" s="80">
        <f>G2154*F2155</f>
        <v>31521</v>
      </c>
    </row>
    <row r="2156" spans="1:7">
      <c r="A2156" s="81" t="s">
        <v>41</v>
      </c>
      <c r="B2156" s="262" t="s">
        <v>42</v>
      </c>
      <c r="C2156" s="262"/>
      <c r="D2156" s="262"/>
      <c r="E2156" s="262"/>
      <c r="F2156" s="262"/>
      <c r="G2156" s="80">
        <f>G2154+G2155</f>
        <v>346731</v>
      </c>
    </row>
    <row r="2157" spans="1:7">
      <c r="A2157" s="90"/>
      <c r="B2157" s="91"/>
      <c r="C2157" s="91"/>
      <c r="D2157" s="91"/>
      <c r="E2157" s="91"/>
      <c r="F2157" s="91"/>
      <c r="G2157" s="92"/>
    </row>
    <row r="2158" spans="1:7">
      <c r="A2158" s="4" t="s">
        <v>570</v>
      </c>
      <c r="B2158" s="91"/>
      <c r="C2158" s="91"/>
      <c r="D2158" s="91"/>
      <c r="E2158" s="91"/>
      <c r="F2158" s="91"/>
      <c r="G2158" s="92"/>
    </row>
    <row r="2159" spans="1:7" ht="30">
      <c r="A2159" s="79" t="s">
        <v>0</v>
      </c>
      <c r="B2159" s="79" t="s">
        <v>1</v>
      </c>
      <c r="C2159" s="79" t="s">
        <v>207</v>
      </c>
      <c r="D2159" s="79" t="s">
        <v>3</v>
      </c>
      <c r="E2159" s="79" t="s">
        <v>2</v>
      </c>
      <c r="F2159" s="79" t="s">
        <v>417</v>
      </c>
      <c r="G2159" s="79" t="s">
        <v>418</v>
      </c>
    </row>
    <row r="2160" spans="1:7">
      <c r="A2160" s="8" t="s">
        <v>4</v>
      </c>
      <c r="B2160" s="1" t="s">
        <v>5</v>
      </c>
      <c r="C2160" s="8"/>
      <c r="D2160" s="9"/>
      <c r="E2160" s="10"/>
      <c r="F2160" s="3"/>
      <c r="G2160" s="3"/>
    </row>
    <row r="2161" spans="1:7">
      <c r="A2161" s="8">
        <v>1</v>
      </c>
      <c r="B2161" s="1" t="s">
        <v>48</v>
      </c>
      <c r="C2161" s="8" t="s">
        <v>49</v>
      </c>
      <c r="D2161" s="10" t="s">
        <v>8</v>
      </c>
      <c r="E2161" s="3" t="s">
        <v>60</v>
      </c>
      <c r="F2161" s="83">
        <f>VLOOKUP(B2161,'HSD UPAH,BAHAN,ALAT'!$C$6:F2099,4,FALSE)</f>
        <v>100000</v>
      </c>
      <c r="G2161" s="84">
        <f t="shared" ref="G2161:G2164" si="268">E2161*F2161</f>
        <v>6700</v>
      </c>
    </row>
    <row r="2162" spans="1:7">
      <c r="A2162" s="8">
        <v>2</v>
      </c>
      <c r="B2162" s="1" t="s">
        <v>6</v>
      </c>
      <c r="C2162" s="8" t="s">
        <v>7</v>
      </c>
      <c r="D2162" s="10" t="s">
        <v>8</v>
      </c>
      <c r="E2162" s="3" t="s">
        <v>60</v>
      </c>
      <c r="F2162" s="83">
        <f>VLOOKUP(B2162,'HSD UPAH,BAHAN,ALAT'!$C$6:F2100,4,FALSE)</f>
        <v>100000</v>
      </c>
      <c r="G2162" s="84">
        <f t="shared" si="268"/>
        <v>6700</v>
      </c>
    </row>
    <row r="2163" spans="1:7">
      <c r="A2163" s="8">
        <v>3</v>
      </c>
      <c r="B2163" s="1" t="s">
        <v>10</v>
      </c>
      <c r="C2163" s="8" t="s">
        <v>11</v>
      </c>
      <c r="D2163" s="10" t="s">
        <v>8</v>
      </c>
      <c r="E2163" s="3" t="s">
        <v>74</v>
      </c>
      <c r="F2163" s="83">
        <f>VLOOKUP(B2163,'HSD UPAH,BAHAN,ALAT'!$C$6:F2101,4,FALSE)</f>
        <v>120000</v>
      </c>
      <c r="G2163" s="84">
        <f t="shared" si="268"/>
        <v>3960</v>
      </c>
    </row>
    <row r="2164" spans="1:7">
      <c r="A2164" s="8">
        <v>4</v>
      </c>
      <c r="B2164" s="1" t="s">
        <v>13</v>
      </c>
      <c r="C2164" s="8" t="s">
        <v>14</v>
      </c>
      <c r="D2164" s="10" t="s">
        <v>8</v>
      </c>
      <c r="E2164" s="3" t="s">
        <v>75</v>
      </c>
      <c r="F2164" s="83">
        <f>VLOOKUP(B2164,'HSD UPAH,BAHAN,ALAT'!$C$6:F2102,4,FALSE)</f>
        <v>100000</v>
      </c>
      <c r="G2164" s="84">
        <f t="shared" si="268"/>
        <v>1100</v>
      </c>
    </row>
    <row r="2165" spans="1:7">
      <c r="A2165" s="261" t="s">
        <v>420</v>
      </c>
      <c r="B2165" s="261"/>
      <c r="C2165" s="261"/>
      <c r="D2165" s="261"/>
      <c r="E2165" s="261"/>
      <c r="F2165" s="261"/>
      <c r="G2165" s="85">
        <f>SUM(G2161:G2164)</f>
        <v>18460</v>
      </c>
    </row>
    <row r="2166" spans="1:7">
      <c r="A2166" s="8" t="s">
        <v>16</v>
      </c>
      <c r="B2166" s="1" t="s">
        <v>17</v>
      </c>
      <c r="C2166" s="8"/>
      <c r="D2166" s="10"/>
      <c r="E2166" s="3"/>
      <c r="G2166" s="3"/>
    </row>
    <row r="2167" spans="1:7" ht="30">
      <c r="A2167" s="17" t="s">
        <v>208</v>
      </c>
      <c r="B2167" s="5" t="s">
        <v>305</v>
      </c>
      <c r="C2167" s="17"/>
      <c r="D2167" s="7" t="s">
        <v>86</v>
      </c>
      <c r="E2167" s="6" t="s">
        <v>87</v>
      </c>
      <c r="F2167" s="83">
        <f>VLOOKUP(B2167,'HSD UPAH,BAHAN,ALAT'!$C$6:F2105,4,FALSE)</f>
        <v>10000</v>
      </c>
      <c r="G2167" s="84">
        <f t="shared" ref="G2167:G2168" si="269">E2167*F2167</f>
        <v>10500</v>
      </c>
    </row>
    <row r="2168" spans="1:7">
      <c r="A2168" s="8">
        <v>2</v>
      </c>
      <c r="B2168" s="1" t="s">
        <v>18</v>
      </c>
      <c r="C2168" s="8"/>
      <c r="D2168" s="10" t="s">
        <v>19</v>
      </c>
      <c r="E2168" s="3" t="s">
        <v>64</v>
      </c>
      <c r="F2168" s="83">
        <f>VLOOKUP(B2168,'HSD UPAH,BAHAN,ALAT'!$C$6:F2106,4,FALSE)</f>
        <v>10000</v>
      </c>
      <c r="G2168" s="84">
        <f t="shared" si="269"/>
        <v>200</v>
      </c>
    </row>
    <row r="2169" spans="1:7">
      <c r="A2169" s="8">
        <v>3</v>
      </c>
      <c r="B2169" s="1" t="s">
        <v>21</v>
      </c>
      <c r="C2169" s="8"/>
      <c r="D2169" s="10"/>
      <c r="E2169" s="3"/>
      <c r="G2169" s="3"/>
    </row>
    <row r="2170" spans="1:7">
      <c r="A2170" s="8" t="s">
        <v>22</v>
      </c>
      <c r="B2170" s="1" t="s">
        <v>66</v>
      </c>
      <c r="C2170" s="8"/>
      <c r="D2170" s="10" t="s">
        <v>24</v>
      </c>
      <c r="E2170" s="3" t="s">
        <v>67</v>
      </c>
      <c r="F2170" s="83">
        <f>VLOOKUP(B2170,'HSD UPAH,BAHAN,ALAT'!$C$6:F2108,4,FALSE)</f>
        <v>10000</v>
      </c>
      <c r="G2170" s="84">
        <f t="shared" ref="G2170:G2171" si="270">E2170*F2170</f>
        <v>180000</v>
      </c>
    </row>
    <row r="2171" spans="1:7">
      <c r="A2171" s="8" t="s">
        <v>30</v>
      </c>
      <c r="B2171" s="1" t="s">
        <v>56</v>
      </c>
      <c r="C2171" s="8"/>
      <c r="D2171" s="10" t="s">
        <v>24</v>
      </c>
      <c r="E2171" s="3" t="s">
        <v>57</v>
      </c>
      <c r="F2171" s="83">
        <f>VLOOKUP(B2171,'HSD UPAH,BAHAN,ALAT'!$C$6:F2109,4,FALSE)</f>
        <v>10000</v>
      </c>
      <c r="G2171" s="84">
        <f t="shared" si="270"/>
        <v>100000</v>
      </c>
    </row>
    <row r="2172" spans="1:7">
      <c r="A2172" s="8">
        <v>4</v>
      </c>
      <c r="B2172" s="1" t="s">
        <v>26</v>
      </c>
      <c r="C2172" s="8"/>
      <c r="D2172" s="10"/>
      <c r="E2172" s="3"/>
      <c r="G2172" s="3"/>
    </row>
    <row r="2173" spans="1:7">
      <c r="A2173" s="8" t="s">
        <v>22</v>
      </c>
      <c r="B2173" s="1" t="s">
        <v>27</v>
      </c>
      <c r="C2173" s="8"/>
      <c r="D2173" s="10" t="s">
        <v>28</v>
      </c>
      <c r="E2173" s="3" t="s">
        <v>76</v>
      </c>
      <c r="F2173" s="83">
        <f>VLOOKUP(B2173,'HSD UPAH,BAHAN,ALAT'!$C$6:F2111,4,FALSE)</f>
        <v>10000</v>
      </c>
      <c r="G2173" s="84">
        <f t="shared" ref="G2173:G2175" si="271">E2173*F2173</f>
        <v>1460</v>
      </c>
    </row>
    <row r="2174" spans="1:7">
      <c r="A2174" s="8" t="s">
        <v>30</v>
      </c>
      <c r="B2174" s="1" t="s">
        <v>31</v>
      </c>
      <c r="C2174" s="8"/>
      <c r="D2174" s="10" t="s">
        <v>28</v>
      </c>
      <c r="E2174" s="3" t="s">
        <v>77</v>
      </c>
      <c r="F2174" s="83">
        <f>VLOOKUP(B2174,'HSD UPAH,BAHAN,ALAT'!$C$6:F2112,4,FALSE)</f>
        <v>10000</v>
      </c>
      <c r="G2174" s="84">
        <f t="shared" si="271"/>
        <v>390</v>
      </c>
    </row>
    <row r="2175" spans="1:7">
      <c r="A2175" s="8" t="s">
        <v>33</v>
      </c>
      <c r="B2175" s="1" t="s">
        <v>34</v>
      </c>
      <c r="C2175" s="8"/>
      <c r="D2175" s="10" t="s">
        <v>28</v>
      </c>
      <c r="E2175" s="3" t="s">
        <v>53</v>
      </c>
      <c r="F2175" s="83">
        <f>VLOOKUP(B2175,'HSD UPAH,BAHAN,ALAT'!$C$6:F2113,4,FALSE)</f>
        <v>10000</v>
      </c>
      <c r="G2175" s="84">
        <f t="shared" si="271"/>
        <v>100</v>
      </c>
    </row>
    <row r="2176" spans="1:7">
      <c r="A2176" s="261" t="s">
        <v>421</v>
      </c>
      <c r="B2176" s="261"/>
      <c r="C2176" s="261"/>
      <c r="D2176" s="261"/>
      <c r="E2176" s="261"/>
      <c r="F2176" s="261"/>
      <c r="G2176" s="85">
        <f>SUM(G2167:G2175)</f>
        <v>292650</v>
      </c>
    </row>
    <row r="2177" spans="1:7">
      <c r="A2177" s="8" t="s">
        <v>36</v>
      </c>
      <c r="B2177" s="1" t="s">
        <v>37</v>
      </c>
      <c r="C2177" s="8"/>
      <c r="D2177" s="10"/>
      <c r="E2177" s="3"/>
      <c r="G2177" s="3"/>
    </row>
    <row r="2178" spans="1:7">
      <c r="A2178" s="8">
        <v>1</v>
      </c>
      <c r="B2178" s="1" t="s">
        <v>71</v>
      </c>
      <c r="C2178" s="8"/>
      <c r="D2178" s="10" t="s">
        <v>72</v>
      </c>
      <c r="E2178" s="10" t="s">
        <v>78</v>
      </c>
      <c r="F2178" s="83">
        <f>VLOOKUP(B2178,'HSD UPAH,BAHAN,ALAT'!$C$6:F2116,4,FALSE)</f>
        <v>10000</v>
      </c>
      <c r="G2178" s="84">
        <f t="shared" ref="G2178" si="272">E2178*F2178</f>
        <v>4100</v>
      </c>
    </row>
    <row r="2179" spans="1:7">
      <c r="A2179" s="263" t="s">
        <v>419</v>
      </c>
      <c r="B2179" s="263"/>
      <c r="C2179" s="263"/>
      <c r="D2179" s="263"/>
      <c r="E2179" s="263"/>
      <c r="F2179" s="263"/>
      <c r="G2179" s="80">
        <f>SUM(G2178)</f>
        <v>4100</v>
      </c>
    </row>
    <row r="2180" spans="1:7">
      <c r="A2180" s="81" t="s">
        <v>38</v>
      </c>
      <c r="B2180" s="262" t="s">
        <v>39</v>
      </c>
      <c r="C2180" s="262"/>
      <c r="D2180" s="262"/>
      <c r="E2180" s="262"/>
      <c r="F2180" s="262"/>
      <c r="G2180" s="80">
        <f>SUM(G2161:G2179)/2</f>
        <v>315210</v>
      </c>
    </row>
    <row r="2181" spans="1:7">
      <c r="A2181" s="81" t="s">
        <v>40</v>
      </c>
      <c r="B2181" s="262" t="s">
        <v>180</v>
      </c>
      <c r="C2181" s="262"/>
      <c r="D2181" s="262"/>
      <c r="E2181" s="262"/>
      <c r="F2181" s="82">
        <v>0.1</v>
      </c>
      <c r="G2181" s="80">
        <f>G2180*F2181</f>
        <v>31521</v>
      </c>
    </row>
    <row r="2182" spans="1:7">
      <c r="A2182" s="81" t="s">
        <v>41</v>
      </c>
      <c r="B2182" s="262" t="s">
        <v>42</v>
      </c>
      <c r="C2182" s="262"/>
      <c r="D2182" s="262"/>
      <c r="E2182" s="262"/>
      <c r="F2182" s="262"/>
      <c r="G2182" s="80">
        <f>G2180+G2181</f>
        <v>346731</v>
      </c>
    </row>
    <row r="2183" spans="1:7">
      <c r="A2183" s="90"/>
      <c r="B2183" s="91"/>
      <c r="C2183" s="91"/>
      <c r="D2183" s="91"/>
      <c r="E2183" s="91"/>
      <c r="F2183" s="91"/>
      <c r="G2183" s="92"/>
    </row>
    <row r="2184" spans="1:7">
      <c r="A2184" s="4" t="s">
        <v>462</v>
      </c>
      <c r="B2184" s="91"/>
      <c r="C2184" s="91"/>
      <c r="D2184" s="91"/>
      <c r="E2184" s="91"/>
      <c r="F2184" s="91"/>
      <c r="G2184" s="92"/>
    </row>
    <row r="2185" spans="1:7">
      <c r="A2185" s="97" t="s">
        <v>463</v>
      </c>
      <c r="B2185" s="91"/>
      <c r="C2185" s="91"/>
      <c r="D2185" s="91"/>
      <c r="E2185" s="91"/>
      <c r="F2185" s="91"/>
      <c r="G2185" s="92"/>
    </row>
    <row r="2186" spans="1:7" ht="30">
      <c r="A2186" s="79" t="s">
        <v>0</v>
      </c>
      <c r="B2186" s="79" t="s">
        <v>1</v>
      </c>
      <c r="C2186" s="79" t="s">
        <v>207</v>
      </c>
      <c r="D2186" s="79" t="s">
        <v>3</v>
      </c>
      <c r="E2186" s="79" t="s">
        <v>2</v>
      </c>
      <c r="F2186" s="79" t="s">
        <v>417</v>
      </c>
      <c r="G2186" s="79" t="s">
        <v>418</v>
      </c>
    </row>
    <row r="2187" spans="1:7">
      <c r="A2187" s="8" t="s">
        <v>4</v>
      </c>
      <c r="B2187" s="1" t="s">
        <v>5</v>
      </c>
      <c r="C2187" s="8"/>
      <c r="D2187" s="9"/>
      <c r="E2187" s="19"/>
      <c r="F2187" s="2"/>
      <c r="G2187" s="2"/>
    </row>
    <row r="2188" spans="1:7">
      <c r="A2188" s="8">
        <v>1</v>
      </c>
      <c r="B2188" s="1" t="s">
        <v>48</v>
      </c>
      <c r="C2188" s="8" t="s">
        <v>49</v>
      </c>
      <c r="D2188" s="10" t="s">
        <v>8</v>
      </c>
      <c r="E2188" s="3" t="s">
        <v>79</v>
      </c>
      <c r="F2188" s="83">
        <f>VLOOKUP(B2188,'HSD UPAH,BAHAN,ALAT'!$C$6:F2123,4,FALSE)</f>
        <v>100000</v>
      </c>
      <c r="G2188" s="84">
        <f t="shared" ref="G2188:G2191" si="273">E2188*F2188</f>
        <v>10000</v>
      </c>
    </row>
    <row r="2189" spans="1:7">
      <c r="A2189" s="8">
        <v>2</v>
      </c>
      <c r="B2189" s="1" t="s">
        <v>6</v>
      </c>
      <c r="C2189" s="8" t="s">
        <v>7</v>
      </c>
      <c r="D2189" s="10" t="s">
        <v>8</v>
      </c>
      <c r="E2189" s="3" t="s">
        <v>79</v>
      </c>
      <c r="F2189" s="83">
        <f>VLOOKUP(B2189,'HSD UPAH,BAHAN,ALAT'!$C$6:F2124,4,FALSE)</f>
        <v>100000</v>
      </c>
      <c r="G2189" s="84">
        <f t="shared" si="273"/>
        <v>10000</v>
      </c>
    </row>
    <row r="2190" spans="1:7">
      <c r="A2190" s="8">
        <v>3</v>
      </c>
      <c r="B2190" s="1" t="s">
        <v>10</v>
      </c>
      <c r="C2190" s="8" t="s">
        <v>11</v>
      </c>
      <c r="D2190" s="10" t="s">
        <v>8</v>
      </c>
      <c r="E2190" s="3" t="s">
        <v>80</v>
      </c>
      <c r="F2190" s="83">
        <f>VLOOKUP(B2190,'HSD UPAH,BAHAN,ALAT'!$C$6:F2125,4,FALSE)</f>
        <v>120000</v>
      </c>
      <c r="G2190" s="84">
        <f t="shared" si="273"/>
        <v>6000</v>
      </c>
    </row>
    <row r="2191" spans="1:7">
      <c r="A2191" s="8">
        <v>4</v>
      </c>
      <c r="B2191" s="1" t="s">
        <v>13</v>
      </c>
      <c r="C2191" s="8" t="s">
        <v>14</v>
      </c>
      <c r="D2191" s="10" t="s">
        <v>8</v>
      </c>
      <c r="E2191" s="3" t="s">
        <v>81</v>
      </c>
      <c r="F2191" s="83">
        <f>VLOOKUP(B2191,'HSD UPAH,BAHAN,ALAT'!$C$6:F2126,4,FALSE)</f>
        <v>100000</v>
      </c>
      <c r="G2191" s="84">
        <f t="shared" si="273"/>
        <v>1670</v>
      </c>
    </row>
    <row r="2192" spans="1:7">
      <c r="A2192" s="261" t="s">
        <v>420</v>
      </c>
      <c r="B2192" s="261"/>
      <c r="C2192" s="261"/>
      <c r="D2192" s="261"/>
      <c r="E2192" s="261"/>
      <c r="F2192" s="261"/>
      <c r="G2192" s="85">
        <f>SUM(G2188:G2191)</f>
        <v>27670</v>
      </c>
    </row>
    <row r="2193" spans="1:7">
      <c r="A2193" s="8" t="s">
        <v>16</v>
      </c>
      <c r="B2193" s="1" t="s">
        <v>17</v>
      </c>
      <c r="C2193" s="8"/>
      <c r="D2193" s="19"/>
      <c r="E2193" s="2"/>
      <c r="G2193" s="2"/>
    </row>
    <row r="2194" spans="1:7" ht="30">
      <c r="A2194" s="17" t="s">
        <v>208</v>
      </c>
      <c r="B2194" s="5" t="s">
        <v>306</v>
      </c>
      <c r="C2194" s="17"/>
      <c r="D2194" s="7" t="s">
        <v>86</v>
      </c>
      <c r="E2194" s="6" t="s">
        <v>87</v>
      </c>
      <c r="F2194" s="83">
        <f>VLOOKUP(B2194,'HSD UPAH,BAHAN,ALAT'!$C$6:F2129,4,FALSE)</f>
        <v>10000</v>
      </c>
      <c r="G2194" s="84">
        <f t="shared" ref="G2194:G2195" si="274">E2194*F2194</f>
        <v>10500</v>
      </c>
    </row>
    <row r="2195" spans="1:7">
      <c r="A2195" s="8">
        <v>2</v>
      </c>
      <c r="B2195" s="1" t="s">
        <v>18</v>
      </c>
      <c r="C2195" s="8"/>
      <c r="D2195" s="10" t="s">
        <v>19</v>
      </c>
      <c r="E2195" s="3" t="s">
        <v>64</v>
      </c>
      <c r="F2195" s="83">
        <f>VLOOKUP(B2195,'HSD UPAH,BAHAN,ALAT'!$C$6:F2130,4,FALSE)</f>
        <v>10000</v>
      </c>
      <c r="G2195" s="84">
        <f t="shared" si="274"/>
        <v>200</v>
      </c>
    </row>
    <row r="2196" spans="1:7">
      <c r="A2196" s="8">
        <v>3</v>
      </c>
      <c r="B2196" s="1" t="s">
        <v>21</v>
      </c>
      <c r="C2196" s="8"/>
      <c r="D2196" s="19"/>
      <c r="E2196" s="2"/>
      <c r="G2196" s="2"/>
    </row>
    <row r="2197" spans="1:7">
      <c r="A2197" s="8" t="s">
        <v>22</v>
      </c>
      <c r="B2197" s="1" t="s">
        <v>82</v>
      </c>
      <c r="C2197" s="8"/>
      <c r="D2197" s="10" t="s">
        <v>24</v>
      </c>
      <c r="E2197" s="3" t="s">
        <v>67</v>
      </c>
      <c r="F2197" s="83">
        <f>VLOOKUP(B2197,'HSD UPAH,BAHAN,ALAT'!$C$6:F2132,4,FALSE)</f>
        <v>10000</v>
      </c>
      <c r="G2197" s="84">
        <f t="shared" ref="G2197:G2198" si="275">E2197*F2197</f>
        <v>180000</v>
      </c>
    </row>
    <row r="2198" spans="1:7">
      <c r="A2198" s="8" t="s">
        <v>30</v>
      </c>
      <c r="B2198" s="1" t="s">
        <v>56</v>
      </c>
      <c r="C2198" s="8"/>
      <c r="D2198" s="10" t="s">
        <v>24</v>
      </c>
      <c r="E2198" s="3" t="s">
        <v>57</v>
      </c>
      <c r="F2198" s="83">
        <f>VLOOKUP(B2198,'HSD UPAH,BAHAN,ALAT'!$C$6:F2133,4,FALSE)</f>
        <v>10000</v>
      </c>
      <c r="G2198" s="84">
        <f t="shared" si="275"/>
        <v>100000</v>
      </c>
    </row>
    <row r="2199" spans="1:7">
      <c r="A2199" s="8">
        <v>4</v>
      </c>
      <c r="B2199" s="1" t="s">
        <v>26</v>
      </c>
      <c r="C2199" s="8"/>
      <c r="D2199" s="19"/>
      <c r="E2199" s="2"/>
      <c r="G2199" s="2"/>
    </row>
    <row r="2200" spans="1:7">
      <c r="A2200" s="8" t="s">
        <v>22</v>
      </c>
      <c r="B2200" s="1" t="s">
        <v>27</v>
      </c>
      <c r="C2200" s="8"/>
      <c r="D2200" s="10" t="s">
        <v>28</v>
      </c>
      <c r="E2200" s="3" t="s">
        <v>83</v>
      </c>
      <c r="F2200" s="83">
        <f>VLOOKUP(B2200,'HSD UPAH,BAHAN,ALAT'!$C$6:F2135,4,FALSE)</f>
        <v>10000</v>
      </c>
      <c r="G2200" s="84">
        <f t="shared" ref="G2200:G2202" si="276">E2200*F2200</f>
        <v>1950</v>
      </c>
    </row>
    <row r="2201" spans="1:7">
      <c r="A2201" s="8" t="s">
        <v>30</v>
      </c>
      <c r="B2201" s="1" t="s">
        <v>31</v>
      </c>
      <c r="C2201" s="8"/>
      <c r="D2201" s="10" t="s">
        <v>28</v>
      </c>
      <c r="E2201" s="3" t="s">
        <v>84</v>
      </c>
      <c r="F2201" s="83">
        <f>VLOOKUP(B2201,'HSD UPAH,BAHAN,ALAT'!$C$6:F2136,4,FALSE)</f>
        <v>10000</v>
      </c>
      <c r="G2201" s="84">
        <f t="shared" si="276"/>
        <v>520</v>
      </c>
    </row>
    <row r="2202" spans="1:7">
      <c r="A2202" s="8" t="s">
        <v>33</v>
      </c>
      <c r="B2202" s="1" t="s">
        <v>34</v>
      </c>
      <c r="C2202" s="8"/>
      <c r="D2202" s="10" t="s">
        <v>28</v>
      </c>
      <c r="E2202" s="3" t="s">
        <v>51</v>
      </c>
      <c r="F2202" s="83">
        <f>VLOOKUP(B2202,'HSD UPAH,BAHAN,ALAT'!$C$6:F2137,4,FALSE)</f>
        <v>10000</v>
      </c>
      <c r="G2202" s="84">
        <f t="shared" si="276"/>
        <v>130</v>
      </c>
    </row>
    <row r="2203" spans="1:7">
      <c r="A2203" s="261" t="s">
        <v>421</v>
      </c>
      <c r="B2203" s="261"/>
      <c r="C2203" s="261"/>
      <c r="D2203" s="261"/>
      <c r="E2203" s="261"/>
      <c r="F2203" s="261"/>
      <c r="G2203" s="85">
        <f>SUM(G2194:G2202)</f>
        <v>293300</v>
      </c>
    </row>
    <row r="2204" spans="1:7">
      <c r="A2204" s="8" t="s">
        <v>36</v>
      </c>
      <c r="B2204" s="1" t="s">
        <v>37</v>
      </c>
      <c r="C2204" s="8"/>
      <c r="D2204" s="19"/>
      <c r="E2204" s="2"/>
      <c r="G2204" s="2"/>
    </row>
    <row r="2205" spans="1:7">
      <c r="A2205" s="8">
        <v>1</v>
      </c>
      <c r="B2205" s="1" t="s">
        <v>71</v>
      </c>
      <c r="C2205" s="8"/>
      <c r="D2205" s="10" t="s">
        <v>72</v>
      </c>
      <c r="E2205" s="10" t="s">
        <v>85</v>
      </c>
      <c r="F2205" s="83">
        <f>VLOOKUP(B2205,'HSD UPAH,BAHAN,ALAT'!$C$6:F2140,4,FALSE)</f>
        <v>10000</v>
      </c>
      <c r="G2205" s="84">
        <f t="shared" ref="G2205" si="277">E2205*F2205</f>
        <v>5600.0000000000009</v>
      </c>
    </row>
    <row r="2206" spans="1:7">
      <c r="A2206" s="263" t="s">
        <v>419</v>
      </c>
      <c r="B2206" s="263"/>
      <c r="C2206" s="263"/>
      <c r="D2206" s="263"/>
      <c r="E2206" s="263"/>
      <c r="F2206" s="263"/>
      <c r="G2206" s="80">
        <f>SUM(G2205)</f>
        <v>5600.0000000000009</v>
      </c>
    </row>
    <row r="2207" spans="1:7">
      <c r="A2207" s="81" t="s">
        <v>38</v>
      </c>
      <c r="B2207" s="262" t="s">
        <v>39</v>
      </c>
      <c r="C2207" s="262"/>
      <c r="D2207" s="262"/>
      <c r="E2207" s="262"/>
      <c r="F2207" s="262"/>
      <c r="G2207" s="80">
        <f>SUM(G2188:G2206)/2</f>
        <v>326570</v>
      </c>
    </row>
    <row r="2208" spans="1:7">
      <c r="A2208" s="81" t="s">
        <v>40</v>
      </c>
      <c r="B2208" s="262" t="s">
        <v>180</v>
      </c>
      <c r="C2208" s="262"/>
      <c r="D2208" s="262"/>
      <c r="E2208" s="262"/>
      <c r="F2208" s="82">
        <v>0.1</v>
      </c>
      <c r="G2208" s="80">
        <f>G2207*F2208</f>
        <v>32657</v>
      </c>
    </row>
    <row r="2209" spans="1:7">
      <c r="A2209" s="81" t="s">
        <v>41</v>
      </c>
      <c r="B2209" s="262" t="s">
        <v>42</v>
      </c>
      <c r="C2209" s="262"/>
      <c r="D2209" s="262"/>
      <c r="E2209" s="262"/>
      <c r="F2209" s="262"/>
      <c r="G2209" s="80">
        <f>G2207+G2208</f>
        <v>359227</v>
      </c>
    </row>
    <row r="2210" spans="1:7">
      <c r="A2210" s="90"/>
      <c r="B2210" s="91"/>
      <c r="C2210" s="91"/>
      <c r="D2210" s="91"/>
      <c r="E2210" s="91"/>
      <c r="F2210" s="91"/>
      <c r="G2210" s="92"/>
    </row>
    <row r="2211" spans="1:7">
      <c r="A2211" s="96" t="s">
        <v>571</v>
      </c>
      <c r="B2211" s="91"/>
      <c r="C2211" s="91"/>
      <c r="D2211" s="91"/>
      <c r="E2211" s="91"/>
      <c r="F2211" s="91"/>
      <c r="G2211" s="92"/>
    </row>
    <row r="2212" spans="1:7" ht="30">
      <c r="A2212" s="79" t="s">
        <v>0</v>
      </c>
      <c r="B2212" s="79" t="s">
        <v>1</v>
      </c>
      <c r="C2212" s="79" t="s">
        <v>207</v>
      </c>
      <c r="D2212" s="79" t="s">
        <v>3</v>
      </c>
      <c r="E2212" s="79" t="s">
        <v>2</v>
      </c>
      <c r="F2212" s="79" t="s">
        <v>417</v>
      </c>
      <c r="G2212" s="79" t="s">
        <v>418</v>
      </c>
    </row>
    <row r="2213" spans="1:7">
      <c r="A2213" s="8" t="s">
        <v>4</v>
      </c>
      <c r="B2213" s="1" t="s">
        <v>5</v>
      </c>
      <c r="C2213" s="8"/>
      <c r="D2213" s="9"/>
      <c r="E2213" s="19"/>
      <c r="F2213" s="2"/>
      <c r="G2213" s="2"/>
    </row>
    <row r="2214" spans="1:7">
      <c r="A2214" s="8">
        <v>1</v>
      </c>
      <c r="B2214" s="1" t="s">
        <v>48</v>
      </c>
      <c r="C2214" s="8" t="s">
        <v>49</v>
      </c>
      <c r="D2214" s="10" t="s">
        <v>8</v>
      </c>
      <c r="E2214" s="3" t="s">
        <v>79</v>
      </c>
      <c r="F2214" s="83">
        <f>VLOOKUP(B2214,'HSD UPAH,BAHAN,ALAT'!$C$6:F2147,4,FALSE)</f>
        <v>100000</v>
      </c>
      <c r="G2214" s="84">
        <f t="shared" ref="G2214:G2217" si="278">E2214*F2214</f>
        <v>10000</v>
      </c>
    </row>
    <row r="2215" spans="1:7">
      <c r="A2215" s="8">
        <v>2</v>
      </c>
      <c r="B2215" s="1" t="s">
        <v>6</v>
      </c>
      <c r="C2215" s="8" t="s">
        <v>7</v>
      </c>
      <c r="D2215" s="10" t="s">
        <v>8</v>
      </c>
      <c r="E2215" s="3" t="s">
        <v>79</v>
      </c>
      <c r="F2215" s="83">
        <f>VLOOKUP(B2215,'HSD UPAH,BAHAN,ALAT'!$C$6:F2148,4,FALSE)</f>
        <v>100000</v>
      </c>
      <c r="G2215" s="84">
        <f t="shared" si="278"/>
        <v>10000</v>
      </c>
    </row>
    <row r="2216" spans="1:7">
      <c r="A2216" s="8">
        <v>3</v>
      </c>
      <c r="B2216" s="1" t="s">
        <v>10</v>
      </c>
      <c r="C2216" s="8" t="s">
        <v>11</v>
      </c>
      <c r="D2216" s="10" t="s">
        <v>8</v>
      </c>
      <c r="E2216" s="3" t="s">
        <v>80</v>
      </c>
      <c r="F2216" s="83">
        <f>VLOOKUP(B2216,'HSD UPAH,BAHAN,ALAT'!$C$6:F2149,4,FALSE)</f>
        <v>120000</v>
      </c>
      <c r="G2216" s="84">
        <f t="shared" si="278"/>
        <v>6000</v>
      </c>
    </row>
    <row r="2217" spans="1:7">
      <c r="A2217" s="8">
        <v>4</v>
      </c>
      <c r="B2217" s="1" t="s">
        <v>13</v>
      </c>
      <c r="C2217" s="8" t="s">
        <v>14</v>
      </c>
      <c r="D2217" s="10" t="s">
        <v>8</v>
      </c>
      <c r="E2217" s="3" t="s">
        <v>81</v>
      </c>
      <c r="F2217" s="83">
        <f>VLOOKUP(B2217,'HSD UPAH,BAHAN,ALAT'!$C$6:F2150,4,FALSE)</f>
        <v>100000</v>
      </c>
      <c r="G2217" s="84">
        <f t="shared" si="278"/>
        <v>1670</v>
      </c>
    </row>
    <row r="2218" spans="1:7">
      <c r="A2218" s="261" t="s">
        <v>420</v>
      </c>
      <c r="B2218" s="261"/>
      <c r="C2218" s="261"/>
      <c r="D2218" s="261"/>
      <c r="E2218" s="261"/>
      <c r="F2218" s="261"/>
      <c r="G2218" s="85">
        <f>SUM(G2214:G2217)</f>
        <v>27670</v>
      </c>
    </row>
    <row r="2219" spans="1:7">
      <c r="A2219" s="8" t="s">
        <v>16</v>
      </c>
      <c r="B2219" s="1" t="s">
        <v>17</v>
      </c>
      <c r="C2219" s="8"/>
      <c r="D2219" s="19"/>
      <c r="E2219" s="2"/>
      <c r="G2219" s="2"/>
    </row>
    <row r="2220" spans="1:7" ht="30">
      <c r="A2220" s="17" t="s">
        <v>208</v>
      </c>
      <c r="B2220" s="5" t="s">
        <v>307</v>
      </c>
      <c r="C2220" s="17"/>
      <c r="D2220" s="7" t="s">
        <v>86</v>
      </c>
      <c r="E2220" s="6" t="s">
        <v>87</v>
      </c>
      <c r="F2220" s="83">
        <f>VLOOKUP(B2220,'HSD UPAH,BAHAN,ALAT'!$C$6:F2153,4,FALSE)</f>
        <v>10000</v>
      </c>
      <c r="G2220" s="84">
        <f t="shared" ref="G2220:G2228" si="279">E2220*F2220</f>
        <v>10500</v>
      </c>
    </row>
    <row r="2221" spans="1:7">
      <c r="A2221" s="8">
        <v>2</v>
      </c>
      <c r="B2221" s="1" t="s">
        <v>18</v>
      </c>
      <c r="C2221" s="8"/>
      <c r="D2221" s="10" t="s">
        <v>19</v>
      </c>
      <c r="E2221" s="3" t="s">
        <v>64</v>
      </c>
      <c r="F2221" s="83">
        <f>VLOOKUP(B2221,'HSD UPAH,BAHAN,ALAT'!$C$6:F2154,4,FALSE)</f>
        <v>10000</v>
      </c>
      <c r="G2221" s="84">
        <f t="shared" si="279"/>
        <v>200</v>
      </c>
    </row>
    <row r="2222" spans="1:7">
      <c r="A2222" s="8">
        <v>3</v>
      </c>
      <c r="B2222" s="1" t="s">
        <v>21</v>
      </c>
      <c r="C2222" s="8"/>
      <c r="D2222" s="19"/>
      <c r="E2222" s="2"/>
      <c r="F2222" s="83"/>
      <c r="G2222" s="84">
        <f t="shared" si="279"/>
        <v>0</v>
      </c>
    </row>
    <row r="2223" spans="1:7">
      <c r="A2223" s="8" t="s">
        <v>22</v>
      </c>
      <c r="B2223" s="1" t="s">
        <v>82</v>
      </c>
      <c r="C2223" s="8"/>
      <c r="D2223" s="10" t="s">
        <v>24</v>
      </c>
      <c r="E2223" s="3" t="s">
        <v>67</v>
      </c>
      <c r="F2223" s="83">
        <f>VLOOKUP(B2223,'HSD UPAH,BAHAN,ALAT'!$C$6:F2156,4,FALSE)</f>
        <v>10000</v>
      </c>
      <c r="G2223" s="84">
        <f t="shared" si="279"/>
        <v>180000</v>
      </c>
    </row>
    <row r="2224" spans="1:7">
      <c r="A2224" s="8" t="s">
        <v>30</v>
      </c>
      <c r="B2224" s="1" t="s">
        <v>56</v>
      </c>
      <c r="C2224" s="8"/>
      <c r="D2224" s="10" t="s">
        <v>24</v>
      </c>
      <c r="E2224" s="3" t="s">
        <v>57</v>
      </c>
      <c r="F2224" s="83">
        <f>VLOOKUP(B2224,'HSD UPAH,BAHAN,ALAT'!$C$6:F2157,4,FALSE)</f>
        <v>10000</v>
      </c>
      <c r="G2224" s="84">
        <f t="shared" si="279"/>
        <v>100000</v>
      </c>
    </row>
    <row r="2225" spans="1:7">
      <c r="A2225" s="8">
        <v>4</v>
      </c>
      <c r="B2225" s="1" t="s">
        <v>26</v>
      </c>
      <c r="C2225" s="8"/>
      <c r="D2225" s="19"/>
      <c r="E2225" s="2"/>
      <c r="F2225" s="83"/>
      <c r="G2225" s="84">
        <f t="shared" si="279"/>
        <v>0</v>
      </c>
    </row>
    <row r="2226" spans="1:7">
      <c r="A2226" s="8" t="s">
        <v>22</v>
      </c>
      <c r="B2226" s="1" t="s">
        <v>27</v>
      </c>
      <c r="C2226" s="8"/>
      <c r="D2226" s="10" t="s">
        <v>28</v>
      </c>
      <c r="E2226" s="3" t="s">
        <v>83</v>
      </c>
      <c r="F2226" s="83">
        <f>VLOOKUP(B2226,'HSD UPAH,BAHAN,ALAT'!$C$6:F2159,4,FALSE)</f>
        <v>10000</v>
      </c>
      <c r="G2226" s="84">
        <f t="shared" si="279"/>
        <v>1950</v>
      </c>
    </row>
    <row r="2227" spans="1:7">
      <c r="A2227" s="8" t="s">
        <v>30</v>
      </c>
      <c r="B2227" s="1" t="s">
        <v>31</v>
      </c>
      <c r="C2227" s="8"/>
      <c r="D2227" s="10" t="s">
        <v>28</v>
      </c>
      <c r="E2227" s="3" t="s">
        <v>84</v>
      </c>
      <c r="F2227" s="83">
        <f>VLOOKUP(B2227,'HSD UPAH,BAHAN,ALAT'!$C$6:F2160,4,FALSE)</f>
        <v>10000</v>
      </c>
      <c r="G2227" s="84">
        <f t="shared" si="279"/>
        <v>520</v>
      </c>
    </row>
    <row r="2228" spans="1:7">
      <c r="A2228" s="8" t="s">
        <v>33</v>
      </c>
      <c r="B2228" s="1" t="s">
        <v>34</v>
      </c>
      <c r="C2228" s="8"/>
      <c r="D2228" s="10" t="s">
        <v>28</v>
      </c>
      <c r="E2228" s="3" t="s">
        <v>51</v>
      </c>
      <c r="F2228" s="83">
        <f>VLOOKUP(B2228,'HSD UPAH,BAHAN,ALAT'!$C$6:F2161,4,FALSE)</f>
        <v>10000</v>
      </c>
      <c r="G2228" s="84">
        <f t="shared" si="279"/>
        <v>130</v>
      </c>
    </row>
    <row r="2229" spans="1:7">
      <c r="A2229" s="261" t="s">
        <v>421</v>
      </c>
      <c r="B2229" s="261"/>
      <c r="C2229" s="261"/>
      <c r="D2229" s="261"/>
      <c r="E2229" s="261"/>
      <c r="F2229" s="261"/>
      <c r="G2229" s="85">
        <f>SUM(G2220:G2228)</f>
        <v>293300</v>
      </c>
    </row>
    <row r="2230" spans="1:7">
      <c r="A2230" s="8" t="s">
        <v>36</v>
      </c>
      <c r="B2230" s="1" t="s">
        <v>37</v>
      </c>
      <c r="C2230" s="8"/>
      <c r="D2230" s="19"/>
      <c r="E2230" s="2"/>
      <c r="G2230" s="2"/>
    </row>
    <row r="2231" spans="1:7">
      <c r="A2231" s="8">
        <v>1</v>
      </c>
      <c r="B2231" s="1" t="s">
        <v>71</v>
      </c>
      <c r="C2231" s="8"/>
      <c r="D2231" s="10" t="s">
        <v>72</v>
      </c>
      <c r="E2231" s="10" t="s">
        <v>85</v>
      </c>
      <c r="F2231" s="83">
        <f>VLOOKUP(B2231,'HSD UPAH,BAHAN,ALAT'!$C$6:F2164,4,FALSE)</f>
        <v>10000</v>
      </c>
      <c r="G2231" s="84">
        <f t="shared" ref="G2231" si="280">E2231*F2231</f>
        <v>5600.0000000000009</v>
      </c>
    </row>
    <row r="2232" spans="1:7">
      <c r="A2232" s="263" t="s">
        <v>419</v>
      </c>
      <c r="B2232" s="263"/>
      <c r="C2232" s="263"/>
      <c r="D2232" s="263"/>
      <c r="E2232" s="263"/>
      <c r="F2232" s="263"/>
      <c r="G2232" s="80">
        <f>SUM(G2231)</f>
        <v>5600.0000000000009</v>
      </c>
    </row>
    <row r="2233" spans="1:7">
      <c r="A2233" s="81" t="s">
        <v>38</v>
      </c>
      <c r="B2233" s="262" t="s">
        <v>39</v>
      </c>
      <c r="C2233" s="262"/>
      <c r="D2233" s="262"/>
      <c r="E2233" s="262"/>
      <c r="F2233" s="262"/>
      <c r="G2233" s="80">
        <f>SUM(G2214:G2232)/2</f>
        <v>326570</v>
      </c>
    </row>
    <row r="2234" spans="1:7">
      <c r="A2234" s="81" t="s">
        <v>40</v>
      </c>
      <c r="B2234" s="262" t="s">
        <v>180</v>
      </c>
      <c r="C2234" s="262"/>
      <c r="D2234" s="262"/>
      <c r="E2234" s="262"/>
      <c r="F2234" s="82">
        <v>0.1</v>
      </c>
      <c r="G2234" s="80">
        <f>G2233*F2234</f>
        <v>32657</v>
      </c>
    </row>
    <row r="2235" spans="1:7">
      <c r="A2235" s="81" t="s">
        <v>41</v>
      </c>
      <c r="B2235" s="262" t="s">
        <v>42</v>
      </c>
      <c r="C2235" s="262"/>
      <c r="D2235" s="262"/>
      <c r="E2235" s="262"/>
      <c r="F2235" s="262"/>
      <c r="G2235" s="80">
        <f>G2233+G2234</f>
        <v>359227</v>
      </c>
    </row>
    <row r="2236" spans="1:7">
      <c r="A2236" s="90"/>
      <c r="B2236" s="91"/>
      <c r="C2236" s="91"/>
      <c r="D2236" s="91"/>
      <c r="E2236" s="91"/>
      <c r="F2236" s="91"/>
      <c r="G2236" s="92"/>
    </row>
    <row r="2237" spans="1:7">
      <c r="A2237" s="4" t="s">
        <v>572</v>
      </c>
      <c r="B2237" s="91"/>
      <c r="C2237" s="91"/>
      <c r="D2237" s="91"/>
      <c r="E2237" s="91"/>
      <c r="F2237" s="91"/>
      <c r="G2237" s="92"/>
    </row>
    <row r="2238" spans="1:7" ht="30">
      <c r="A2238" s="79" t="s">
        <v>0</v>
      </c>
      <c r="B2238" s="79" t="s">
        <v>1</v>
      </c>
      <c r="C2238" s="79" t="s">
        <v>207</v>
      </c>
      <c r="D2238" s="79" t="s">
        <v>3</v>
      </c>
      <c r="E2238" s="79" t="s">
        <v>2</v>
      </c>
      <c r="F2238" s="79" t="s">
        <v>417</v>
      </c>
      <c r="G2238" s="79" t="s">
        <v>418</v>
      </c>
    </row>
    <row r="2239" spans="1:7">
      <c r="A2239" s="8" t="s">
        <v>4</v>
      </c>
      <c r="B2239" s="1" t="s">
        <v>5</v>
      </c>
      <c r="C2239" s="8"/>
      <c r="D2239" s="9"/>
      <c r="E2239" s="19"/>
      <c r="F2239" s="2"/>
      <c r="G2239" s="2"/>
    </row>
    <row r="2240" spans="1:7">
      <c r="A2240" s="8">
        <v>1</v>
      </c>
      <c r="B2240" s="1" t="s">
        <v>48</v>
      </c>
      <c r="C2240" s="8" t="s">
        <v>49</v>
      </c>
      <c r="D2240" s="10" t="s">
        <v>8</v>
      </c>
      <c r="E2240" s="3" t="s">
        <v>79</v>
      </c>
      <c r="F2240" s="83">
        <f>VLOOKUP(B2240,'HSD UPAH,BAHAN,ALAT'!$C$6:F2171,4,FALSE)</f>
        <v>100000</v>
      </c>
      <c r="G2240" s="84">
        <f t="shared" ref="G2240:G2243" si="281">E2240*F2240</f>
        <v>10000</v>
      </c>
    </row>
    <row r="2241" spans="1:7">
      <c r="A2241" s="8">
        <v>2</v>
      </c>
      <c r="B2241" s="1" t="s">
        <v>6</v>
      </c>
      <c r="C2241" s="8" t="s">
        <v>7</v>
      </c>
      <c r="D2241" s="10" t="s">
        <v>8</v>
      </c>
      <c r="E2241" s="3" t="s">
        <v>79</v>
      </c>
      <c r="F2241" s="83">
        <f>VLOOKUP(B2241,'HSD UPAH,BAHAN,ALAT'!$C$6:F2172,4,FALSE)</f>
        <v>100000</v>
      </c>
      <c r="G2241" s="84">
        <f t="shared" si="281"/>
        <v>10000</v>
      </c>
    </row>
    <row r="2242" spans="1:7">
      <c r="A2242" s="8">
        <v>3</v>
      </c>
      <c r="B2242" s="1" t="s">
        <v>10</v>
      </c>
      <c r="C2242" s="8" t="s">
        <v>11</v>
      </c>
      <c r="D2242" s="10" t="s">
        <v>8</v>
      </c>
      <c r="E2242" s="3" t="s">
        <v>80</v>
      </c>
      <c r="F2242" s="83">
        <f>VLOOKUP(B2242,'HSD UPAH,BAHAN,ALAT'!$C$6:F2173,4,FALSE)</f>
        <v>120000</v>
      </c>
      <c r="G2242" s="84">
        <f t="shared" si="281"/>
        <v>6000</v>
      </c>
    </row>
    <row r="2243" spans="1:7">
      <c r="A2243" s="100">
        <v>4</v>
      </c>
      <c r="B2243" s="101" t="s">
        <v>13</v>
      </c>
      <c r="C2243" s="100" t="s">
        <v>14</v>
      </c>
      <c r="D2243" s="103" t="s">
        <v>8</v>
      </c>
      <c r="E2243" s="105" t="s">
        <v>81</v>
      </c>
      <c r="F2243" s="104">
        <f>VLOOKUP(B2243,'HSD UPAH,BAHAN,ALAT'!$C$6:F2174,4,FALSE)</f>
        <v>100000</v>
      </c>
      <c r="G2243" s="84">
        <f t="shared" si="281"/>
        <v>1670</v>
      </c>
    </row>
    <row r="2244" spans="1:7">
      <c r="A2244" s="267" t="s">
        <v>420</v>
      </c>
      <c r="B2244" s="267"/>
      <c r="C2244" s="267"/>
      <c r="D2244" s="267"/>
      <c r="E2244" s="267"/>
      <c r="F2244" s="267"/>
      <c r="G2244" s="85">
        <f>SUM(G2240:G2243)</f>
        <v>27670</v>
      </c>
    </row>
    <row r="2245" spans="1:7">
      <c r="A2245" s="106" t="s">
        <v>16</v>
      </c>
      <c r="B2245" s="107" t="s">
        <v>17</v>
      </c>
      <c r="C2245" s="106"/>
      <c r="D2245" s="108"/>
      <c r="E2245" s="109"/>
      <c r="F2245" s="110"/>
      <c r="G2245" s="2"/>
    </row>
    <row r="2246" spans="1:7" ht="30">
      <c r="A2246" s="17" t="s">
        <v>208</v>
      </c>
      <c r="B2246" s="5" t="s">
        <v>308</v>
      </c>
      <c r="C2246" s="17"/>
      <c r="D2246" s="7" t="s">
        <v>86</v>
      </c>
      <c r="E2246" s="6" t="s">
        <v>87</v>
      </c>
      <c r="F2246" s="83">
        <f>VLOOKUP(B2246,'HSD UPAH,BAHAN,ALAT'!$C$6:F2177,4,FALSE)</f>
        <v>10000</v>
      </c>
      <c r="G2246" s="84">
        <f t="shared" ref="G2246:G2254" si="282">E2246*F2246</f>
        <v>10500</v>
      </c>
    </row>
    <row r="2247" spans="1:7">
      <c r="A2247" s="8">
        <v>2</v>
      </c>
      <c r="B2247" s="1" t="s">
        <v>18</v>
      </c>
      <c r="C2247" s="8"/>
      <c r="D2247" s="10" t="s">
        <v>19</v>
      </c>
      <c r="E2247" s="3" t="s">
        <v>64</v>
      </c>
      <c r="F2247" s="83">
        <f>VLOOKUP(B2247,'HSD UPAH,BAHAN,ALAT'!$C$6:F2178,4,FALSE)</f>
        <v>10000</v>
      </c>
      <c r="G2247" s="84">
        <f t="shared" si="282"/>
        <v>200</v>
      </c>
    </row>
    <row r="2248" spans="1:7">
      <c r="A2248" s="8">
        <v>3</v>
      </c>
      <c r="B2248" s="1" t="s">
        <v>21</v>
      </c>
      <c r="C2248" s="8"/>
      <c r="D2248" s="19"/>
      <c r="E2248" s="2"/>
      <c r="F2248" s="83"/>
      <c r="G2248" s="84">
        <f t="shared" si="282"/>
        <v>0</v>
      </c>
    </row>
    <row r="2249" spans="1:7">
      <c r="A2249" s="8" t="s">
        <v>22</v>
      </c>
      <c r="B2249" s="1" t="s">
        <v>82</v>
      </c>
      <c r="C2249" s="8"/>
      <c r="D2249" s="10" t="s">
        <v>24</v>
      </c>
      <c r="E2249" s="3" t="s">
        <v>67</v>
      </c>
      <c r="F2249" s="83">
        <f>VLOOKUP(B2249,'HSD UPAH,BAHAN,ALAT'!$C$6:F2180,4,FALSE)</f>
        <v>10000</v>
      </c>
      <c r="G2249" s="84">
        <f t="shared" si="282"/>
        <v>180000</v>
      </c>
    </row>
    <row r="2250" spans="1:7">
      <c r="A2250" s="8" t="s">
        <v>30</v>
      </c>
      <c r="B2250" s="1" t="s">
        <v>56</v>
      </c>
      <c r="C2250" s="8"/>
      <c r="D2250" s="10" t="s">
        <v>24</v>
      </c>
      <c r="E2250" s="3" t="s">
        <v>57</v>
      </c>
      <c r="F2250" s="83">
        <f>VLOOKUP(B2250,'HSD UPAH,BAHAN,ALAT'!$C$6:F2181,4,FALSE)</f>
        <v>10000</v>
      </c>
      <c r="G2250" s="84">
        <f t="shared" si="282"/>
        <v>100000</v>
      </c>
    </row>
    <row r="2251" spans="1:7">
      <c r="A2251" s="8">
        <v>4</v>
      </c>
      <c r="B2251" s="1" t="s">
        <v>26</v>
      </c>
      <c r="C2251" s="8"/>
      <c r="D2251" s="19"/>
      <c r="E2251" s="2"/>
      <c r="F2251" s="83"/>
      <c r="G2251" s="84">
        <f>E2251*F2251</f>
        <v>0</v>
      </c>
    </row>
    <row r="2252" spans="1:7">
      <c r="A2252" s="8" t="s">
        <v>22</v>
      </c>
      <c r="B2252" s="1" t="s">
        <v>27</v>
      </c>
      <c r="C2252" s="8"/>
      <c r="D2252" s="10" t="s">
        <v>28</v>
      </c>
      <c r="E2252" s="3" t="s">
        <v>83</v>
      </c>
      <c r="F2252" s="83">
        <f>VLOOKUP(B2252,'HSD UPAH,BAHAN,ALAT'!$C$6:F2183,4,FALSE)</f>
        <v>10000</v>
      </c>
      <c r="G2252" s="84">
        <f t="shared" si="282"/>
        <v>1950</v>
      </c>
    </row>
    <row r="2253" spans="1:7">
      <c r="A2253" s="8" t="s">
        <v>30</v>
      </c>
      <c r="B2253" s="1" t="s">
        <v>31</v>
      </c>
      <c r="C2253" s="8"/>
      <c r="D2253" s="10" t="s">
        <v>28</v>
      </c>
      <c r="E2253" s="3" t="s">
        <v>84</v>
      </c>
      <c r="F2253" s="83">
        <f>VLOOKUP(B2253,'HSD UPAH,BAHAN,ALAT'!$C$6:F2184,4,FALSE)</f>
        <v>10000</v>
      </c>
      <c r="G2253" s="84">
        <f t="shared" si="282"/>
        <v>520</v>
      </c>
    </row>
    <row r="2254" spans="1:7">
      <c r="A2254" s="100" t="s">
        <v>33</v>
      </c>
      <c r="B2254" s="101" t="s">
        <v>34</v>
      </c>
      <c r="C2254" s="100"/>
      <c r="D2254" s="103" t="s">
        <v>28</v>
      </c>
      <c r="E2254" s="105" t="s">
        <v>51</v>
      </c>
      <c r="F2254" s="104">
        <f>VLOOKUP(B2254,'HSD UPAH,BAHAN,ALAT'!$C$6:F2185,4,FALSE)</f>
        <v>10000</v>
      </c>
      <c r="G2254" s="84">
        <f t="shared" si="282"/>
        <v>130</v>
      </c>
    </row>
    <row r="2255" spans="1:7">
      <c r="A2255" s="267" t="s">
        <v>421</v>
      </c>
      <c r="B2255" s="267"/>
      <c r="C2255" s="267"/>
      <c r="D2255" s="267"/>
      <c r="E2255" s="267"/>
      <c r="F2255" s="267"/>
      <c r="G2255" s="85">
        <f>SUM(G2246:G2254)</f>
        <v>293300</v>
      </c>
    </row>
    <row r="2256" spans="1:7">
      <c r="A2256" s="106" t="s">
        <v>36</v>
      </c>
      <c r="B2256" s="107" t="s">
        <v>37</v>
      </c>
      <c r="C2256" s="106"/>
      <c r="D2256" s="108"/>
      <c r="E2256" s="109"/>
      <c r="F2256" s="110"/>
      <c r="G2256" s="2"/>
    </row>
    <row r="2257" spans="1:7">
      <c r="A2257" s="8">
        <v>1</v>
      </c>
      <c r="B2257" s="1" t="s">
        <v>71</v>
      </c>
      <c r="C2257" s="8"/>
      <c r="D2257" s="10" t="s">
        <v>72</v>
      </c>
      <c r="E2257" s="10" t="s">
        <v>85</v>
      </c>
      <c r="F2257" s="83">
        <f>VLOOKUP(B2257,'HSD UPAH,BAHAN,ALAT'!$C$6:F2188,4,FALSE)</f>
        <v>10000</v>
      </c>
      <c r="G2257" s="84">
        <f t="shared" ref="G2257" si="283">E2257*F2257</f>
        <v>5600.0000000000009</v>
      </c>
    </row>
    <row r="2258" spans="1:7">
      <c r="A2258" s="263" t="s">
        <v>419</v>
      </c>
      <c r="B2258" s="263"/>
      <c r="C2258" s="263"/>
      <c r="D2258" s="263"/>
      <c r="E2258" s="263"/>
      <c r="F2258" s="263"/>
      <c r="G2258" s="80">
        <f>SUM(G2257)</f>
        <v>5600.0000000000009</v>
      </c>
    </row>
    <row r="2259" spans="1:7">
      <c r="A2259" s="81" t="s">
        <v>38</v>
      </c>
      <c r="B2259" s="262" t="s">
        <v>39</v>
      </c>
      <c r="C2259" s="262"/>
      <c r="D2259" s="262"/>
      <c r="E2259" s="262"/>
      <c r="F2259" s="262"/>
      <c r="G2259" s="80">
        <f>SUM(G2240:G2258)/2</f>
        <v>326570</v>
      </c>
    </row>
    <row r="2260" spans="1:7">
      <c r="A2260" s="81" t="s">
        <v>40</v>
      </c>
      <c r="B2260" s="262" t="s">
        <v>180</v>
      </c>
      <c r="C2260" s="262"/>
      <c r="D2260" s="262"/>
      <c r="E2260" s="262"/>
      <c r="F2260" s="82">
        <v>0.1</v>
      </c>
      <c r="G2260" s="80">
        <f>G2259*F2260</f>
        <v>32657</v>
      </c>
    </row>
    <row r="2261" spans="1:7">
      <c r="A2261" s="81" t="s">
        <v>41</v>
      </c>
      <c r="B2261" s="262" t="s">
        <v>42</v>
      </c>
      <c r="C2261" s="262"/>
      <c r="D2261" s="262"/>
      <c r="E2261" s="262"/>
      <c r="F2261" s="262"/>
      <c r="G2261" s="80">
        <f>G2259+G2260</f>
        <v>359227</v>
      </c>
    </row>
    <row r="2262" spans="1:7">
      <c r="A2262" s="90"/>
      <c r="B2262" s="91"/>
      <c r="C2262" s="91"/>
      <c r="D2262" s="91"/>
      <c r="E2262" s="91"/>
      <c r="F2262" s="91"/>
      <c r="G2262" s="92"/>
    </row>
    <row r="2263" spans="1:7">
      <c r="A2263" s="4" t="s">
        <v>573</v>
      </c>
      <c r="B2263" s="91"/>
      <c r="C2263" s="91"/>
      <c r="D2263" s="91"/>
      <c r="E2263" s="91"/>
      <c r="F2263" s="91"/>
      <c r="G2263" s="92"/>
    </row>
    <row r="2264" spans="1:7" ht="30">
      <c r="A2264" s="79" t="s">
        <v>0</v>
      </c>
      <c r="B2264" s="79" t="s">
        <v>1</v>
      </c>
      <c r="C2264" s="79" t="s">
        <v>207</v>
      </c>
      <c r="D2264" s="79" t="s">
        <v>3</v>
      </c>
      <c r="E2264" s="79" t="s">
        <v>2</v>
      </c>
      <c r="F2264" s="79" t="s">
        <v>417</v>
      </c>
      <c r="G2264" s="79" t="s">
        <v>418</v>
      </c>
    </row>
    <row r="2265" spans="1:7">
      <c r="A2265" s="8" t="s">
        <v>4</v>
      </c>
      <c r="B2265" s="1" t="s">
        <v>5</v>
      </c>
      <c r="C2265" s="8"/>
      <c r="D2265" s="9"/>
      <c r="E2265" s="19"/>
      <c r="F2265" s="2"/>
      <c r="G2265" s="2"/>
    </row>
    <row r="2266" spans="1:7">
      <c r="A2266" s="8">
        <v>1</v>
      </c>
      <c r="B2266" s="1" t="s">
        <v>48</v>
      </c>
      <c r="C2266" s="8" t="s">
        <v>49</v>
      </c>
      <c r="D2266" s="10" t="s">
        <v>8</v>
      </c>
      <c r="E2266" s="3" t="s">
        <v>79</v>
      </c>
      <c r="F2266" s="83">
        <f>VLOOKUP(B2266,'HSD UPAH,BAHAN,ALAT'!$C$6:F2195,4,FALSE)</f>
        <v>100000</v>
      </c>
      <c r="G2266" s="84">
        <f t="shared" ref="G2266:G2269" si="284">E2266*F2266</f>
        <v>10000</v>
      </c>
    </row>
    <row r="2267" spans="1:7">
      <c r="A2267" s="8">
        <v>2</v>
      </c>
      <c r="B2267" s="1" t="s">
        <v>6</v>
      </c>
      <c r="C2267" s="8" t="s">
        <v>7</v>
      </c>
      <c r="D2267" s="10" t="s">
        <v>8</v>
      </c>
      <c r="E2267" s="3" t="s">
        <v>79</v>
      </c>
      <c r="F2267" s="83">
        <f>VLOOKUP(B2267,'HSD UPAH,BAHAN,ALAT'!$C$6:F2196,4,FALSE)</f>
        <v>100000</v>
      </c>
      <c r="G2267" s="84">
        <f t="shared" si="284"/>
        <v>10000</v>
      </c>
    </row>
    <row r="2268" spans="1:7">
      <c r="A2268" s="8">
        <v>3</v>
      </c>
      <c r="B2268" s="1" t="s">
        <v>10</v>
      </c>
      <c r="C2268" s="8" t="s">
        <v>11</v>
      </c>
      <c r="D2268" s="10" t="s">
        <v>8</v>
      </c>
      <c r="E2268" s="3" t="s">
        <v>80</v>
      </c>
      <c r="F2268" s="83">
        <f>VLOOKUP(B2268,'HSD UPAH,BAHAN,ALAT'!$C$6:F2197,4,FALSE)</f>
        <v>120000</v>
      </c>
      <c r="G2268" s="84">
        <f t="shared" si="284"/>
        <v>6000</v>
      </c>
    </row>
    <row r="2269" spans="1:7">
      <c r="A2269" s="100">
        <v>4</v>
      </c>
      <c r="B2269" s="101" t="s">
        <v>13</v>
      </c>
      <c r="C2269" s="100" t="s">
        <v>14</v>
      </c>
      <c r="D2269" s="103" t="s">
        <v>8</v>
      </c>
      <c r="E2269" s="105" t="s">
        <v>81</v>
      </c>
      <c r="F2269" s="104">
        <f>VLOOKUP(B2269,'HSD UPAH,BAHAN,ALAT'!$C$6:F2198,4,FALSE)</f>
        <v>100000</v>
      </c>
      <c r="G2269" s="84">
        <f t="shared" si="284"/>
        <v>1670</v>
      </c>
    </row>
    <row r="2270" spans="1:7">
      <c r="A2270" s="267" t="s">
        <v>420</v>
      </c>
      <c r="B2270" s="267"/>
      <c r="C2270" s="267"/>
      <c r="D2270" s="267"/>
      <c r="E2270" s="267"/>
      <c r="F2270" s="267"/>
      <c r="G2270" s="85">
        <f>SUM(G2266:G2269)</f>
        <v>27670</v>
      </c>
    </row>
    <row r="2271" spans="1:7">
      <c r="A2271" s="106" t="s">
        <v>16</v>
      </c>
      <c r="B2271" s="107" t="s">
        <v>17</v>
      </c>
      <c r="C2271" s="106"/>
      <c r="D2271" s="108"/>
      <c r="E2271" s="109"/>
      <c r="F2271" s="110"/>
      <c r="G2271" s="2"/>
    </row>
    <row r="2272" spans="1:7" ht="30">
      <c r="A2272" s="17" t="s">
        <v>208</v>
      </c>
      <c r="B2272" s="5" t="s">
        <v>309</v>
      </c>
      <c r="C2272" s="17"/>
      <c r="D2272" s="7" t="s">
        <v>86</v>
      </c>
      <c r="E2272" s="6" t="s">
        <v>87</v>
      </c>
      <c r="F2272" s="83">
        <f>VLOOKUP(B2272,'HSD UPAH,BAHAN,ALAT'!$C$6:F2201,4,FALSE)</f>
        <v>10000</v>
      </c>
      <c r="G2272" s="84">
        <f t="shared" ref="G2272:G2280" si="285">E2272*F2272</f>
        <v>10500</v>
      </c>
    </row>
    <row r="2273" spans="1:7">
      <c r="A2273" s="8">
        <v>2</v>
      </c>
      <c r="B2273" s="1" t="s">
        <v>18</v>
      </c>
      <c r="C2273" s="8"/>
      <c r="D2273" s="10" t="s">
        <v>19</v>
      </c>
      <c r="E2273" s="3" t="s">
        <v>64</v>
      </c>
      <c r="F2273" s="83">
        <f>VLOOKUP(B2273,'HSD UPAH,BAHAN,ALAT'!$C$6:F2202,4,FALSE)</f>
        <v>10000</v>
      </c>
      <c r="G2273" s="84">
        <f t="shared" si="285"/>
        <v>200</v>
      </c>
    </row>
    <row r="2274" spans="1:7">
      <c r="A2274" s="8">
        <v>3</v>
      </c>
      <c r="B2274" s="1" t="s">
        <v>21</v>
      </c>
      <c r="C2274" s="8"/>
      <c r="D2274" s="19"/>
      <c r="E2274" s="2"/>
      <c r="F2274" s="83"/>
      <c r="G2274" s="84">
        <f t="shared" si="285"/>
        <v>0</v>
      </c>
    </row>
    <row r="2275" spans="1:7">
      <c r="A2275" s="8" t="s">
        <v>22</v>
      </c>
      <c r="B2275" s="1" t="s">
        <v>82</v>
      </c>
      <c r="C2275" s="8"/>
      <c r="D2275" s="10" t="s">
        <v>24</v>
      </c>
      <c r="E2275" s="3" t="s">
        <v>67</v>
      </c>
      <c r="F2275" s="83">
        <f>VLOOKUP(B2275,'HSD UPAH,BAHAN,ALAT'!$C$6:F2204,4,FALSE)</f>
        <v>10000</v>
      </c>
      <c r="G2275" s="84">
        <f t="shared" si="285"/>
        <v>180000</v>
      </c>
    </row>
    <row r="2276" spans="1:7">
      <c r="A2276" s="8" t="s">
        <v>30</v>
      </c>
      <c r="B2276" s="1" t="s">
        <v>56</v>
      </c>
      <c r="C2276" s="8"/>
      <c r="D2276" s="10" t="s">
        <v>24</v>
      </c>
      <c r="E2276" s="3" t="s">
        <v>57</v>
      </c>
      <c r="F2276" s="83">
        <f>VLOOKUP(B2276,'HSD UPAH,BAHAN,ALAT'!$C$6:F2205,4,FALSE)</f>
        <v>10000</v>
      </c>
      <c r="G2276" s="84">
        <f t="shared" si="285"/>
        <v>100000</v>
      </c>
    </row>
    <row r="2277" spans="1:7">
      <c r="A2277" s="8">
        <v>4</v>
      </c>
      <c r="B2277" s="1" t="s">
        <v>26</v>
      </c>
      <c r="C2277" s="8"/>
      <c r="D2277" s="19"/>
      <c r="E2277" s="2"/>
      <c r="F2277" s="83"/>
      <c r="G2277" s="84">
        <f t="shared" si="285"/>
        <v>0</v>
      </c>
    </row>
    <row r="2278" spans="1:7">
      <c r="A2278" s="8" t="s">
        <v>22</v>
      </c>
      <c r="B2278" s="1" t="s">
        <v>27</v>
      </c>
      <c r="C2278" s="8"/>
      <c r="D2278" s="10" t="s">
        <v>28</v>
      </c>
      <c r="E2278" s="3" t="s">
        <v>83</v>
      </c>
      <c r="F2278" s="83">
        <f>VLOOKUP(B2278,'HSD UPAH,BAHAN,ALAT'!$C$6:F2207,4,FALSE)</f>
        <v>10000</v>
      </c>
      <c r="G2278" s="84">
        <f t="shared" si="285"/>
        <v>1950</v>
      </c>
    </row>
    <row r="2279" spans="1:7">
      <c r="A2279" s="8" t="s">
        <v>30</v>
      </c>
      <c r="B2279" s="1" t="s">
        <v>31</v>
      </c>
      <c r="C2279" s="8"/>
      <c r="D2279" s="10" t="s">
        <v>28</v>
      </c>
      <c r="E2279" s="3" t="s">
        <v>84</v>
      </c>
      <c r="F2279" s="83">
        <f>VLOOKUP(B2279,'HSD UPAH,BAHAN,ALAT'!$C$6:F2208,4,FALSE)</f>
        <v>10000</v>
      </c>
      <c r="G2279" s="84">
        <f t="shared" si="285"/>
        <v>520</v>
      </c>
    </row>
    <row r="2280" spans="1:7">
      <c r="A2280" s="100" t="s">
        <v>33</v>
      </c>
      <c r="B2280" s="101" t="s">
        <v>34</v>
      </c>
      <c r="C2280" s="100"/>
      <c r="D2280" s="103" t="s">
        <v>28</v>
      </c>
      <c r="E2280" s="105" t="s">
        <v>51</v>
      </c>
      <c r="F2280" s="104">
        <f>VLOOKUP(B2280,'HSD UPAH,BAHAN,ALAT'!$C$6:F2209,4,FALSE)</f>
        <v>10000</v>
      </c>
      <c r="G2280" s="84">
        <f t="shared" si="285"/>
        <v>130</v>
      </c>
    </row>
    <row r="2281" spans="1:7">
      <c r="A2281" s="267" t="s">
        <v>421</v>
      </c>
      <c r="B2281" s="267"/>
      <c r="C2281" s="267"/>
      <c r="D2281" s="267"/>
      <c r="E2281" s="267"/>
      <c r="F2281" s="267"/>
      <c r="G2281" s="85">
        <f>SUM(G2272:G2280)</f>
        <v>293300</v>
      </c>
    </row>
    <row r="2282" spans="1:7">
      <c r="A2282" s="106" t="s">
        <v>36</v>
      </c>
      <c r="B2282" s="107" t="s">
        <v>37</v>
      </c>
      <c r="C2282" s="106"/>
      <c r="D2282" s="108"/>
      <c r="E2282" s="109"/>
      <c r="F2282" s="110"/>
      <c r="G2282" s="2"/>
    </row>
    <row r="2283" spans="1:7">
      <c r="A2283" s="8">
        <v>1</v>
      </c>
      <c r="B2283" s="1" t="s">
        <v>71</v>
      </c>
      <c r="C2283" s="8"/>
      <c r="D2283" s="10" t="s">
        <v>72</v>
      </c>
      <c r="E2283" s="10" t="s">
        <v>85</v>
      </c>
      <c r="F2283" s="83">
        <f>VLOOKUP(B2283,'HSD UPAH,BAHAN,ALAT'!$C$6:F2212,4,FALSE)</f>
        <v>10000</v>
      </c>
      <c r="G2283" s="84">
        <f t="shared" ref="G2283" si="286">E2283*F2283</f>
        <v>5600.0000000000009</v>
      </c>
    </row>
    <row r="2284" spans="1:7">
      <c r="A2284" s="263" t="s">
        <v>419</v>
      </c>
      <c r="B2284" s="263"/>
      <c r="C2284" s="263"/>
      <c r="D2284" s="263"/>
      <c r="E2284" s="263"/>
      <c r="F2284" s="263"/>
      <c r="G2284" s="80">
        <f>SUM(G2283)</f>
        <v>5600.0000000000009</v>
      </c>
    </row>
    <row r="2285" spans="1:7">
      <c r="A2285" s="81" t="s">
        <v>38</v>
      </c>
      <c r="B2285" s="262" t="s">
        <v>39</v>
      </c>
      <c r="C2285" s="262"/>
      <c r="D2285" s="262"/>
      <c r="E2285" s="262"/>
      <c r="F2285" s="262"/>
      <c r="G2285" s="80">
        <f>SUM(G2266:G2284)/2</f>
        <v>326570</v>
      </c>
    </row>
    <row r="2286" spans="1:7">
      <c r="A2286" s="81" t="s">
        <v>40</v>
      </c>
      <c r="B2286" s="262" t="s">
        <v>180</v>
      </c>
      <c r="C2286" s="262"/>
      <c r="D2286" s="262"/>
      <c r="E2286" s="262"/>
      <c r="F2286" s="82">
        <v>0.1</v>
      </c>
      <c r="G2286" s="80">
        <f>G2285*F2286</f>
        <v>32657</v>
      </c>
    </row>
    <row r="2287" spans="1:7">
      <c r="A2287" s="81" t="s">
        <v>41</v>
      </c>
      <c r="B2287" s="262" t="s">
        <v>42</v>
      </c>
      <c r="C2287" s="262"/>
      <c r="D2287" s="262"/>
      <c r="E2287" s="262"/>
      <c r="F2287" s="262"/>
      <c r="G2287" s="80">
        <f>G2285+G2286</f>
        <v>359227</v>
      </c>
    </row>
    <row r="2288" spans="1:7">
      <c r="A2288" s="90"/>
      <c r="B2288" s="91"/>
      <c r="C2288" s="91"/>
      <c r="D2288" s="91"/>
      <c r="E2288" s="91"/>
      <c r="F2288" s="91"/>
      <c r="G2288" s="92"/>
    </row>
    <row r="2289" spans="1:7">
      <c r="A2289" s="96" t="s">
        <v>574</v>
      </c>
      <c r="B2289" s="91"/>
      <c r="C2289" s="91"/>
      <c r="D2289" s="91"/>
      <c r="E2289" s="91"/>
      <c r="F2289" s="91"/>
      <c r="G2289" s="92"/>
    </row>
    <row r="2290" spans="1:7" ht="30">
      <c r="A2290" s="79" t="s">
        <v>0</v>
      </c>
      <c r="B2290" s="79" t="s">
        <v>1</v>
      </c>
      <c r="C2290" s="79" t="s">
        <v>207</v>
      </c>
      <c r="D2290" s="79" t="s">
        <v>3</v>
      </c>
      <c r="E2290" s="79" t="s">
        <v>2</v>
      </c>
      <c r="F2290" s="79" t="s">
        <v>417</v>
      </c>
      <c r="G2290" s="79" t="s">
        <v>418</v>
      </c>
    </row>
    <row r="2291" spans="1:7">
      <c r="A2291" s="8" t="s">
        <v>4</v>
      </c>
      <c r="B2291" s="1" t="s">
        <v>5</v>
      </c>
      <c r="C2291" s="8"/>
      <c r="D2291" s="9"/>
      <c r="E2291" s="19"/>
      <c r="F2291" s="2"/>
      <c r="G2291" s="2"/>
    </row>
    <row r="2292" spans="1:7">
      <c r="A2292" s="8">
        <v>1</v>
      </c>
      <c r="B2292" s="1" t="s">
        <v>48</v>
      </c>
      <c r="C2292" s="8" t="s">
        <v>49</v>
      </c>
      <c r="D2292" s="10" t="s">
        <v>8</v>
      </c>
      <c r="E2292" s="3" t="s">
        <v>79</v>
      </c>
      <c r="F2292" s="83">
        <f>VLOOKUP(B2292,'HSD UPAH,BAHAN,ALAT'!$C$6:F2219,4,FALSE)</f>
        <v>100000</v>
      </c>
      <c r="G2292" s="84">
        <f t="shared" ref="G2292:G2295" si="287">E2292*F2292</f>
        <v>10000</v>
      </c>
    </row>
    <row r="2293" spans="1:7">
      <c r="A2293" s="8">
        <v>2</v>
      </c>
      <c r="B2293" s="1" t="s">
        <v>6</v>
      </c>
      <c r="C2293" s="8" t="s">
        <v>7</v>
      </c>
      <c r="D2293" s="10" t="s">
        <v>8</v>
      </c>
      <c r="E2293" s="3" t="s">
        <v>79</v>
      </c>
      <c r="F2293" s="83">
        <f>VLOOKUP(B2293,'HSD UPAH,BAHAN,ALAT'!$C$6:F2220,4,FALSE)</f>
        <v>100000</v>
      </c>
      <c r="G2293" s="84">
        <f t="shared" si="287"/>
        <v>10000</v>
      </c>
    </row>
    <row r="2294" spans="1:7">
      <c r="A2294" s="8">
        <v>3</v>
      </c>
      <c r="B2294" s="1" t="s">
        <v>10</v>
      </c>
      <c r="C2294" s="8" t="s">
        <v>11</v>
      </c>
      <c r="D2294" s="10" t="s">
        <v>8</v>
      </c>
      <c r="E2294" s="3" t="s">
        <v>80</v>
      </c>
      <c r="F2294" s="83">
        <f>VLOOKUP(B2294,'HSD UPAH,BAHAN,ALAT'!$C$6:F2221,4,FALSE)</f>
        <v>120000</v>
      </c>
      <c r="G2294" s="84">
        <f t="shared" si="287"/>
        <v>6000</v>
      </c>
    </row>
    <row r="2295" spans="1:7">
      <c r="A2295" s="100">
        <v>4</v>
      </c>
      <c r="B2295" s="101" t="s">
        <v>13</v>
      </c>
      <c r="C2295" s="100" t="s">
        <v>14</v>
      </c>
      <c r="D2295" s="103" t="s">
        <v>8</v>
      </c>
      <c r="E2295" s="105" t="s">
        <v>81</v>
      </c>
      <c r="F2295" s="104">
        <f>VLOOKUP(B2295,'HSD UPAH,BAHAN,ALAT'!$C$6:F2222,4,FALSE)</f>
        <v>100000</v>
      </c>
      <c r="G2295" s="84">
        <f t="shared" si="287"/>
        <v>1670</v>
      </c>
    </row>
    <row r="2296" spans="1:7">
      <c r="A2296" s="267" t="s">
        <v>420</v>
      </c>
      <c r="B2296" s="267"/>
      <c r="C2296" s="267"/>
      <c r="D2296" s="267"/>
      <c r="E2296" s="267"/>
      <c r="F2296" s="267"/>
      <c r="G2296" s="85">
        <f>SUM(G2292:G2295)</f>
        <v>27670</v>
      </c>
    </row>
    <row r="2297" spans="1:7">
      <c r="A2297" s="106" t="s">
        <v>16</v>
      </c>
      <c r="B2297" s="107" t="s">
        <v>17</v>
      </c>
      <c r="C2297" s="106"/>
      <c r="D2297" s="108"/>
      <c r="E2297" s="109"/>
      <c r="F2297" s="110"/>
      <c r="G2297" s="2"/>
    </row>
    <row r="2298" spans="1:7" ht="30">
      <c r="A2298" s="17" t="s">
        <v>208</v>
      </c>
      <c r="B2298" s="5" t="s">
        <v>310</v>
      </c>
      <c r="C2298" s="17"/>
      <c r="D2298" s="7" t="s">
        <v>86</v>
      </c>
      <c r="E2298" s="6" t="s">
        <v>87</v>
      </c>
      <c r="F2298" s="83">
        <f>VLOOKUP(B2298,'HSD UPAH,BAHAN,ALAT'!$C$6:F2225,4,FALSE)</f>
        <v>10000</v>
      </c>
      <c r="G2298" s="84">
        <f t="shared" ref="G2298:G2306" si="288">E2298*F2298</f>
        <v>10500</v>
      </c>
    </row>
    <row r="2299" spans="1:7">
      <c r="A2299" s="8">
        <v>2</v>
      </c>
      <c r="B2299" s="1" t="s">
        <v>18</v>
      </c>
      <c r="C2299" s="8"/>
      <c r="D2299" s="10" t="s">
        <v>19</v>
      </c>
      <c r="E2299" s="3" t="s">
        <v>64</v>
      </c>
      <c r="F2299" s="83">
        <f>VLOOKUP(B2299,'HSD UPAH,BAHAN,ALAT'!$C$6:F2226,4,FALSE)</f>
        <v>10000</v>
      </c>
      <c r="G2299" s="84">
        <f t="shared" si="288"/>
        <v>200</v>
      </c>
    </row>
    <row r="2300" spans="1:7">
      <c r="A2300" s="8">
        <v>3</v>
      </c>
      <c r="B2300" s="1" t="s">
        <v>21</v>
      </c>
      <c r="C2300" s="8"/>
      <c r="D2300" s="19"/>
      <c r="E2300" s="2"/>
      <c r="F2300" s="83"/>
      <c r="G2300" s="84">
        <f t="shared" si="288"/>
        <v>0</v>
      </c>
    </row>
    <row r="2301" spans="1:7">
      <c r="A2301" s="8" t="s">
        <v>22</v>
      </c>
      <c r="B2301" s="1" t="s">
        <v>82</v>
      </c>
      <c r="C2301" s="8"/>
      <c r="D2301" s="10" t="s">
        <v>24</v>
      </c>
      <c r="E2301" s="3" t="s">
        <v>67</v>
      </c>
      <c r="F2301" s="83">
        <f>VLOOKUP(B2301,'HSD UPAH,BAHAN,ALAT'!$C$6:F2228,4,FALSE)</f>
        <v>10000</v>
      </c>
      <c r="G2301" s="84">
        <f t="shared" si="288"/>
        <v>180000</v>
      </c>
    </row>
    <row r="2302" spans="1:7">
      <c r="A2302" s="8" t="s">
        <v>30</v>
      </c>
      <c r="B2302" s="1" t="s">
        <v>56</v>
      </c>
      <c r="C2302" s="8"/>
      <c r="D2302" s="10" t="s">
        <v>24</v>
      </c>
      <c r="E2302" s="3" t="s">
        <v>57</v>
      </c>
      <c r="F2302" s="83">
        <f>VLOOKUP(B2302,'HSD UPAH,BAHAN,ALAT'!$C$6:F2229,4,FALSE)</f>
        <v>10000</v>
      </c>
      <c r="G2302" s="84">
        <f t="shared" si="288"/>
        <v>100000</v>
      </c>
    </row>
    <row r="2303" spans="1:7">
      <c r="A2303" s="8">
        <v>4</v>
      </c>
      <c r="B2303" s="1" t="s">
        <v>26</v>
      </c>
      <c r="C2303" s="8"/>
      <c r="D2303" s="19"/>
      <c r="E2303" s="2"/>
      <c r="F2303" s="83"/>
      <c r="G2303" s="84">
        <f t="shared" si="288"/>
        <v>0</v>
      </c>
    </row>
    <row r="2304" spans="1:7">
      <c r="A2304" s="8" t="s">
        <v>22</v>
      </c>
      <c r="B2304" s="1" t="s">
        <v>27</v>
      </c>
      <c r="C2304" s="8"/>
      <c r="D2304" s="10" t="s">
        <v>28</v>
      </c>
      <c r="E2304" s="3" t="s">
        <v>83</v>
      </c>
      <c r="F2304" s="83">
        <f>VLOOKUP(B2304,'HSD UPAH,BAHAN,ALAT'!$C$6:F2231,4,FALSE)</f>
        <v>10000</v>
      </c>
      <c r="G2304" s="84">
        <f t="shared" si="288"/>
        <v>1950</v>
      </c>
    </row>
    <row r="2305" spans="1:7">
      <c r="A2305" s="8" t="s">
        <v>30</v>
      </c>
      <c r="B2305" s="1" t="s">
        <v>31</v>
      </c>
      <c r="C2305" s="8"/>
      <c r="D2305" s="10" t="s">
        <v>28</v>
      </c>
      <c r="E2305" s="3" t="s">
        <v>84</v>
      </c>
      <c r="F2305" s="83">
        <f>VLOOKUP(B2305,'HSD UPAH,BAHAN,ALAT'!$C$6:F2232,4,FALSE)</f>
        <v>10000</v>
      </c>
      <c r="G2305" s="84">
        <f t="shared" si="288"/>
        <v>520</v>
      </c>
    </row>
    <row r="2306" spans="1:7">
      <c r="A2306" s="8" t="s">
        <v>33</v>
      </c>
      <c r="B2306" s="1" t="s">
        <v>34</v>
      </c>
      <c r="C2306" s="8"/>
      <c r="D2306" s="10" t="s">
        <v>28</v>
      </c>
      <c r="E2306" s="3" t="s">
        <v>51</v>
      </c>
      <c r="F2306" s="83">
        <f>VLOOKUP(B2306,'HSD UPAH,BAHAN,ALAT'!$C$6:F2233,4,FALSE)</f>
        <v>10000</v>
      </c>
      <c r="G2306" s="84">
        <f t="shared" si="288"/>
        <v>130</v>
      </c>
    </row>
    <row r="2307" spans="1:7">
      <c r="A2307" s="261" t="s">
        <v>421</v>
      </c>
      <c r="B2307" s="261"/>
      <c r="C2307" s="261"/>
      <c r="D2307" s="261"/>
      <c r="E2307" s="261"/>
      <c r="F2307" s="261"/>
      <c r="G2307" s="85">
        <f>SUM(G2298:G2306)</f>
        <v>293300</v>
      </c>
    </row>
    <row r="2308" spans="1:7">
      <c r="A2308" s="8" t="s">
        <v>36</v>
      </c>
      <c r="B2308" s="1" t="s">
        <v>37</v>
      </c>
      <c r="C2308" s="8"/>
      <c r="D2308" s="19"/>
      <c r="E2308" s="2"/>
      <c r="G2308" s="2"/>
    </row>
    <row r="2309" spans="1:7">
      <c r="A2309" s="8">
        <v>1</v>
      </c>
      <c r="B2309" s="1" t="s">
        <v>71</v>
      </c>
      <c r="C2309" s="8"/>
      <c r="D2309" s="10" t="s">
        <v>72</v>
      </c>
      <c r="E2309" s="10" t="s">
        <v>85</v>
      </c>
      <c r="F2309" s="83">
        <f>VLOOKUP(B2309,'HSD UPAH,BAHAN,ALAT'!$C$6:F2236,4,FALSE)</f>
        <v>10000</v>
      </c>
      <c r="G2309" s="84">
        <f t="shared" ref="G2309" si="289">E2309*F2309</f>
        <v>5600.0000000000009</v>
      </c>
    </row>
    <row r="2310" spans="1:7">
      <c r="A2310" s="263" t="s">
        <v>419</v>
      </c>
      <c r="B2310" s="263"/>
      <c r="C2310" s="263"/>
      <c r="D2310" s="263"/>
      <c r="E2310" s="263"/>
      <c r="F2310" s="263"/>
      <c r="G2310" s="80">
        <f>SUM(G2309)</f>
        <v>5600.0000000000009</v>
      </c>
    </row>
    <row r="2311" spans="1:7">
      <c r="A2311" s="81" t="s">
        <v>38</v>
      </c>
      <c r="B2311" s="262" t="s">
        <v>39</v>
      </c>
      <c r="C2311" s="262"/>
      <c r="D2311" s="262"/>
      <c r="E2311" s="262"/>
      <c r="F2311" s="262"/>
      <c r="G2311" s="80">
        <f>SUM(G2292:G2310)/2</f>
        <v>326570</v>
      </c>
    </row>
    <row r="2312" spans="1:7">
      <c r="A2312" s="81" t="s">
        <v>40</v>
      </c>
      <c r="B2312" s="262" t="s">
        <v>180</v>
      </c>
      <c r="C2312" s="262"/>
      <c r="D2312" s="262"/>
      <c r="E2312" s="262"/>
      <c r="F2312" s="82">
        <v>0.1</v>
      </c>
      <c r="G2312" s="80">
        <f>G2311*F2312</f>
        <v>32657</v>
      </c>
    </row>
    <row r="2313" spans="1:7">
      <c r="A2313" s="81" t="s">
        <v>41</v>
      </c>
      <c r="B2313" s="262" t="s">
        <v>42</v>
      </c>
      <c r="C2313" s="262"/>
      <c r="D2313" s="262"/>
      <c r="E2313" s="262"/>
      <c r="F2313" s="262"/>
      <c r="G2313" s="80">
        <f>G2311+G2312</f>
        <v>359227</v>
      </c>
    </row>
    <row r="2314" spans="1:7">
      <c r="A2314" s="90"/>
      <c r="B2314" s="91"/>
      <c r="C2314" s="91"/>
      <c r="D2314" s="91"/>
      <c r="E2314" s="91"/>
      <c r="F2314" s="91"/>
      <c r="G2314" s="92"/>
    </row>
    <row r="2315" spans="1:7">
      <c r="A2315" s="96" t="s">
        <v>575</v>
      </c>
      <c r="B2315" s="91"/>
      <c r="C2315" s="91"/>
      <c r="D2315" s="91"/>
      <c r="E2315" s="91"/>
      <c r="F2315" s="91"/>
      <c r="G2315" s="92"/>
    </row>
    <row r="2316" spans="1:7" ht="30">
      <c r="A2316" s="79" t="s">
        <v>0</v>
      </c>
      <c r="B2316" s="79" t="s">
        <v>1</v>
      </c>
      <c r="C2316" s="79" t="s">
        <v>207</v>
      </c>
      <c r="D2316" s="79" t="s">
        <v>3</v>
      </c>
      <c r="E2316" s="79" t="s">
        <v>2</v>
      </c>
      <c r="F2316" s="79" t="s">
        <v>417</v>
      </c>
      <c r="G2316" s="79" t="s">
        <v>418</v>
      </c>
    </row>
    <row r="2317" spans="1:7">
      <c r="A2317" s="8" t="s">
        <v>4</v>
      </c>
      <c r="B2317" s="1" t="s">
        <v>5</v>
      </c>
      <c r="C2317" s="8"/>
      <c r="D2317" s="9"/>
      <c r="E2317" s="19"/>
      <c r="F2317" s="2"/>
      <c r="G2317" s="2"/>
    </row>
    <row r="2318" spans="1:7">
      <c r="A2318" s="8">
        <v>1</v>
      </c>
      <c r="B2318" s="1" t="s">
        <v>48</v>
      </c>
      <c r="C2318" s="8" t="s">
        <v>49</v>
      </c>
      <c r="D2318" s="10" t="s">
        <v>8</v>
      </c>
      <c r="E2318" s="3" t="s">
        <v>79</v>
      </c>
      <c r="F2318" s="83">
        <f>VLOOKUP(B2318,'HSD UPAH,BAHAN,ALAT'!$C$6:F2243,4,FALSE)</f>
        <v>100000</v>
      </c>
      <c r="G2318" s="84">
        <f t="shared" ref="G2318:G2321" si="290">E2318*F2318</f>
        <v>10000</v>
      </c>
    </row>
    <row r="2319" spans="1:7">
      <c r="A2319" s="8">
        <v>2</v>
      </c>
      <c r="B2319" s="1" t="s">
        <v>6</v>
      </c>
      <c r="C2319" s="8" t="s">
        <v>7</v>
      </c>
      <c r="D2319" s="10" t="s">
        <v>8</v>
      </c>
      <c r="E2319" s="3" t="s">
        <v>79</v>
      </c>
      <c r="F2319" s="83">
        <f>VLOOKUP(B2319,'HSD UPAH,BAHAN,ALAT'!$C$6:F2244,4,FALSE)</f>
        <v>100000</v>
      </c>
      <c r="G2319" s="84">
        <f t="shared" si="290"/>
        <v>10000</v>
      </c>
    </row>
    <row r="2320" spans="1:7">
      <c r="A2320" s="8">
        <v>3</v>
      </c>
      <c r="B2320" s="1" t="s">
        <v>10</v>
      </c>
      <c r="C2320" s="8" t="s">
        <v>11</v>
      </c>
      <c r="D2320" s="10" t="s">
        <v>8</v>
      </c>
      <c r="E2320" s="3" t="s">
        <v>80</v>
      </c>
      <c r="F2320" s="83">
        <f>VLOOKUP(B2320,'HSD UPAH,BAHAN,ALAT'!$C$6:F2245,4,FALSE)</f>
        <v>120000</v>
      </c>
      <c r="G2320" s="84">
        <f t="shared" si="290"/>
        <v>6000</v>
      </c>
    </row>
    <row r="2321" spans="1:7">
      <c r="A2321" s="100">
        <v>4</v>
      </c>
      <c r="B2321" s="101" t="s">
        <v>13</v>
      </c>
      <c r="C2321" s="100" t="s">
        <v>14</v>
      </c>
      <c r="D2321" s="103" t="s">
        <v>8</v>
      </c>
      <c r="E2321" s="105" t="s">
        <v>81</v>
      </c>
      <c r="F2321" s="104">
        <f>VLOOKUP(B2321,'HSD UPAH,BAHAN,ALAT'!$C$6:F2246,4,FALSE)</f>
        <v>100000</v>
      </c>
      <c r="G2321" s="84">
        <f t="shared" si="290"/>
        <v>1670</v>
      </c>
    </row>
    <row r="2322" spans="1:7">
      <c r="A2322" s="267" t="s">
        <v>420</v>
      </c>
      <c r="B2322" s="267"/>
      <c r="C2322" s="267"/>
      <c r="D2322" s="267"/>
      <c r="E2322" s="267"/>
      <c r="F2322" s="267"/>
      <c r="G2322" s="85">
        <f>SUM(G2318:G2321)</f>
        <v>27670</v>
      </c>
    </row>
    <row r="2323" spans="1:7">
      <c r="A2323" s="106" t="s">
        <v>16</v>
      </c>
      <c r="B2323" s="107" t="s">
        <v>17</v>
      </c>
      <c r="C2323" s="106"/>
      <c r="D2323" s="108"/>
      <c r="E2323" s="109"/>
      <c r="F2323" s="110"/>
      <c r="G2323" s="2"/>
    </row>
    <row r="2324" spans="1:7">
      <c r="A2324" s="8">
        <v>1</v>
      </c>
      <c r="B2324" s="1" t="s">
        <v>311</v>
      </c>
      <c r="C2324" s="8"/>
      <c r="D2324" s="10" t="s">
        <v>86</v>
      </c>
      <c r="E2324" s="10" t="s">
        <v>87</v>
      </c>
      <c r="F2324" s="83">
        <f>VLOOKUP(B2324,'HSD UPAH,BAHAN,ALAT'!$C$6:F2249,4,FALSE)</f>
        <v>10000</v>
      </c>
      <c r="G2324" s="84">
        <f t="shared" ref="G2324:G2332" si="291">E2324*F2324</f>
        <v>10500</v>
      </c>
    </row>
    <row r="2325" spans="1:7">
      <c r="A2325" s="8">
        <v>2</v>
      </c>
      <c r="B2325" s="1" t="s">
        <v>18</v>
      </c>
      <c r="C2325" s="8"/>
      <c r="D2325" s="10" t="s">
        <v>19</v>
      </c>
      <c r="E2325" s="3" t="s">
        <v>64</v>
      </c>
      <c r="F2325" s="83">
        <f>VLOOKUP(B2325,'HSD UPAH,BAHAN,ALAT'!$C$6:F2250,4,FALSE)</f>
        <v>10000</v>
      </c>
      <c r="G2325" s="84">
        <f t="shared" si="291"/>
        <v>200</v>
      </c>
    </row>
    <row r="2326" spans="1:7">
      <c r="A2326" s="8">
        <v>3</v>
      </c>
      <c r="B2326" s="1" t="s">
        <v>21</v>
      </c>
      <c r="C2326" s="8"/>
      <c r="D2326" s="19"/>
      <c r="E2326" s="2"/>
      <c r="F2326" s="83"/>
      <c r="G2326" s="84">
        <f t="shared" si="291"/>
        <v>0</v>
      </c>
    </row>
    <row r="2327" spans="1:7">
      <c r="A2327" s="8" t="s">
        <v>22</v>
      </c>
      <c r="B2327" s="1" t="s">
        <v>82</v>
      </c>
      <c r="C2327" s="8"/>
      <c r="D2327" s="10" t="s">
        <v>24</v>
      </c>
      <c r="E2327" s="3" t="s">
        <v>67</v>
      </c>
      <c r="F2327" s="83">
        <f>VLOOKUP(B2327,'HSD UPAH,BAHAN,ALAT'!$C$6:F2252,4,FALSE)</f>
        <v>10000</v>
      </c>
      <c r="G2327" s="84">
        <f t="shared" si="291"/>
        <v>180000</v>
      </c>
    </row>
    <row r="2328" spans="1:7">
      <c r="A2328" s="8" t="s">
        <v>30</v>
      </c>
      <c r="B2328" s="1" t="s">
        <v>56</v>
      </c>
      <c r="C2328" s="8"/>
      <c r="D2328" s="10" t="s">
        <v>24</v>
      </c>
      <c r="E2328" s="3" t="s">
        <v>57</v>
      </c>
      <c r="F2328" s="83">
        <f>VLOOKUP(B2328,'HSD UPAH,BAHAN,ALAT'!$C$6:F2253,4,FALSE)</f>
        <v>10000</v>
      </c>
      <c r="G2328" s="84">
        <f t="shared" si="291"/>
        <v>100000</v>
      </c>
    </row>
    <row r="2329" spans="1:7">
      <c r="A2329" s="8">
        <v>4</v>
      </c>
      <c r="B2329" s="1" t="s">
        <v>26</v>
      </c>
      <c r="C2329" s="8"/>
      <c r="D2329" s="19"/>
      <c r="E2329" s="2"/>
      <c r="F2329" s="83"/>
      <c r="G2329" s="84">
        <f t="shared" si="291"/>
        <v>0</v>
      </c>
    </row>
    <row r="2330" spans="1:7">
      <c r="A2330" s="8" t="s">
        <v>22</v>
      </c>
      <c r="B2330" s="1" t="s">
        <v>27</v>
      </c>
      <c r="C2330" s="8"/>
      <c r="D2330" s="10" t="s">
        <v>28</v>
      </c>
      <c r="E2330" s="3" t="s">
        <v>83</v>
      </c>
      <c r="F2330" s="83">
        <f>VLOOKUP(B2330,'HSD UPAH,BAHAN,ALAT'!$C$6:F2255,4,FALSE)</f>
        <v>10000</v>
      </c>
      <c r="G2330" s="84">
        <f t="shared" si="291"/>
        <v>1950</v>
      </c>
    </row>
    <row r="2331" spans="1:7">
      <c r="A2331" s="8" t="s">
        <v>30</v>
      </c>
      <c r="B2331" s="1" t="s">
        <v>31</v>
      </c>
      <c r="C2331" s="8"/>
      <c r="D2331" s="10" t="s">
        <v>28</v>
      </c>
      <c r="E2331" s="3" t="s">
        <v>84</v>
      </c>
      <c r="F2331" s="83">
        <f>VLOOKUP(B2331,'HSD UPAH,BAHAN,ALAT'!$C$6:F2256,4,FALSE)</f>
        <v>10000</v>
      </c>
      <c r="G2331" s="84">
        <f t="shared" si="291"/>
        <v>520</v>
      </c>
    </row>
    <row r="2332" spans="1:7">
      <c r="A2332" s="100" t="s">
        <v>33</v>
      </c>
      <c r="B2332" s="101" t="s">
        <v>34</v>
      </c>
      <c r="C2332" s="100"/>
      <c r="D2332" s="103" t="s">
        <v>28</v>
      </c>
      <c r="E2332" s="105" t="s">
        <v>51</v>
      </c>
      <c r="F2332" s="104">
        <f>VLOOKUP(B2332,'HSD UPAH,BAHAN,ALAT'!$C$6:F2257,4,FALSE)</f>
        <v>10000</v>
      </c>
      <c r="G2332" s="84">
        <f t="shared" si="291"/>
        <v>130</v>
      </c>
    </row>
    <row r="2333" spans="1:7">
      <c r="A2333" s="267" t="s">
        <v>421</v>
      </c>
      <c r="B2333" s="267"/>
      <c r="C2333" s="267"/>
      <c r="D2333" s="267"/>
      <c r="E2333" s="267"/>
      <c r="F2333" s="267"/>
      <c r="G2333" s="85">
        <f>SUM(G2324:G2332)</f>
        <v>293300</v>
      </c>
    </row>
    <row r="2334" spans="1:7">
      <c r="A2334" s="106" t="s">
        <v>36</v>
      </c>
      <c r="B2334" s="107" t="s">
        <v>37</v>
      </c>
      <c r="C2334" s="106"/>
      <c r="D2334" s="108"/>
      <c r="E2334" s="109"/>
      <c r="F2334" s="110"/>
      <c r="G2334" s="2"/>
    </row>
    <row r="2335" spans="1:7">
      <c r="A2335" s="8">
        <v>1</v>
      </c>
      <c r="B2335" s="1" t="s">
        <v>71</v>
      </c>
      <c r="C2335" s="8"/>
      <c r="D2335" s="10" t="s">
        <v>72</v>
      </c>
      <c r="E2335" s="10" t="s">
        <v>85</v>
      </c>
      <c r="F2335" s="83">
        <f>VLOOKUP(B2335,'HSD UPAH,BAHAN,ALAT'!$C$6:F2260,4,FALSE)</f>
        <v>10000</v>
      </c>
      <c r="G2335" s="84">
        <f t="shared" ref="G2335" si="292">E2335*F2335</f>
        <v>5600.0000000000009</v>
      </c>
    </row>
    <row r="2336" spans="1:7">
      <c r="A2336" s="263" t="s">
        <v>419</v>
      </c>
      <c r="B2336" s="263"/>
      <c r="C2336" s="263"/>
      <c r="D2336" s="263"/>
      <c r="E2336" s="263"/>
      <c r="F2336" s="263"/>
      <c r="G2336" s="80">
        <f>SUM(G2335)</f>
        <v>5600.0000000000009</v>
      </c>
    </row>
    <row r="2337" spans="1:7">
      <c r="A2337" s="81" t="s">
        <v>38</v>
      </c>
      <c r="B2337" s="262" t="s">
        <v>39</v>
      </c>
      <c r="C2337" s="262"/>
      <c r="D2337" s="262"/>
      <c r="E2337" s="262"/>
      <c r="F2337" s="262"/>
      <c r="G2337" s="80">
        <f>SUM(G2318:G2336)/2</f>
        <v>326570</v>
      </c>
    </row>
    <row r="2338" spans="1:7">
      <c r="A2338" s="81" t="s">
        <v>40</v>
      </c>
      <c r="B2338" s="262" t="s">
        <v>180</v>
      </c>
      <c r="C2338" s="262"/>
      <c r="D2338" s="262"/>
      <c r="E2338" s="262"/>
      <c r="F2338" s="82">
        <v>0.1</v>
      </c>
      <c r="G2338" s="80">
        <f>G2337*F2338</f>
        <v>32657</v>
      </c>
    </row>
    <row r="2339" spans="1:7">
      <c r="A2339" s="81" t="s">
        <v>41</v>
      </c>
      <c r="B2339" s="262" t="s">
        <v>42</v>
      </c>
      <c r="C2339" s="262"/>
      <c r="D2339" s="262"/>
      <c r="E2339" s="262"/>
      <c r="F2339" s="262"/>
      <c r="G2339" s="80">
        <f>G2337+G2338</f>
        <v>359227</v>
      </c>
    </row>
    <row r="2340" spans="1:7">
      <c r="A2340" s="90"/>
      <c r="B2340" s="91"/>
      <c r="C2340" s="91"/>
      <c r="D2340" s="91"/>
      <c r="E2340" s="91"/>
      <c r="F2340" s="91"/>
      <c r="G2340" s="92"/>
    </row>
    <row r="2341" spans="1:7">
      <c r="A2341" s="96" t="s">
        <v>576</v>
      </c>
      <c r="B2341" s="91"/>
      <c r="C2341" s="91"/>
      <c r="D2341" s="91"/>
      <c r="E2341" s="91"/>
      <c r="F2341" s="91"/>
      <c r="G2341" s="92"/>
    </row>
    <row r="2342" spans="1:7" ht="30">
      <c r="A2342" s="79" t="s">
        <v>0</v>
      </c>
      <c r="B2342" s="79" t="s">
        <v>1</v>
      </c>
      <c r="C2342" s="79" t="s">
        <v>207</v>
      </c>
      <c r="D2342" s="79" t="s">
        <v>3</v>
      </c>
      <c r="E2342" s="79" t="s">
        <v>2</v>
      </c>
      <c r="F2342" s="79" t="s">
        <v>417</v>
      </c>
      <c r="G2342" s="79" t="s">
        <v>418</v>
      </c>
    </row>
    <row r="2343" spans="1:7">
      <c r="A2343" s="8" t="s">
        <v>4</v>
      </c>
      <c r="B2343" s="1" t="s">
        <v>5</v>
      </c>
      <c r="C2343" s="8"/>
      <c r="D2343" s="9"/>
      <c r="E2343" s="19"/>
      <c r="F2343" s="2"/>
      <c r="G2343" s="2"/>
    </row>
    <row r="2344" spans="1:7">
      <c r="A2344" s="8">
        <v>1</v>
      </c>
      <c r="B2344" s="1" t="s">
        <v>48</v>
      </c>
      <c r="C2344" s="8" t="s">
        <v>49</v>
      </c>
      <c r="D2344" s="10" t="s">
        <v>8</v>
      </c>
      <c r="E2344" s="3" t="s">
        <v>79</v>
      </c>
      <c r="F2344" s="83">
        <f>VLOOKUP(B2344,'HSD UPAH,BAHAN,ALAT'!$C$6:F2267,4,FALSE)</f>
        <v>100000</v>
      </c>
      <c r="G2344" s="84">
        <f t="shared" ref="G2344:G2347" si="293">E2344*F2344</f>
        <v>10000</v>
      </c>
    </row>
    <row r="2345" spans="1:7">
      <c r="A2345" s="8">
        <v>2</v>
      </c>
      <c r="B2345" s="1" t="s">
        <v>6</v>
      </c>
      <c r="C2345" s="8" t="s">
        <v>7</v>
      </c>
      <c r="D2345" s="10" t="s">
        <v>8</v>
      </c>
      <c r="E2345" s="3" t="s">
        <v>79</v>
      </c>
      <c r="F2345" s="83">
        <f>VLOOKUP(B2345,'HSD UPAH,BAHAN,ALAT'!$C$6:F2268,4,FALSE)</f>
        <v>100000</v>
      </c>
      <c r="G2345" s="84">
        <f t="shared" si="293"/>
        <v>10000</v>
      </c>
    </row>
    <row r="2346" spans="1:7">
      <c r="A2346" s="8">
        <v>3</v>
      </c>
      <c r="B2346" s="1" t="s">
        <v>10</v>
      </c>
      <c r="C2346" s="8" t="s">
        <v>11</v>
      </c>
      <c r="D2346" s="10" t="s">
        <v>8</v>
      </c>
      <c r="E2346" s="3" t="s">
        <v>80</v>
      </c>
      <c r="F2346" s="83">
        <f>VLOOKUP(B2346,'HSD UPAH,BAHAN,ALAT'!$C$6:F2269,4,FALSE)</f>
        <v>120000</v>
      </c>
      <c r="G2346" s="84">
        <f t="shared" si="293"/>
        <v>6000</v>
      </c>
    </row>
    <row r="2347" spans="1:7">
      <c r="A2347" s="100">
        <v>4</v>
      </c>
      <c r="B2347" s="101" t="s">
        <v>13</v>
      </c>
      <c r="C2347" s="100" t="s">
        <v>14</v>
      </c>
      <c r="D2347" s="103" t="s">
        <v>8</v>
      </c>
      <c r="E2347" s="105" t="s">
        <v>81</v>
      </c>
      <c r="F2347" s="104">
        <f>VLOOKUP(B2347,'HSD UPAH,BAHAN,ALAT'!$C$6:F2270,4,FALSE)</f>
        <v>100000</v>
      </c>
      <c r="G2347" s="84">
        <f t="shared" si="293"/>
        <v>1670</v>
      </c>
    </row>
    <row r="2348" spans="1:7">
      <c r="A2348" s="267" t="s">
        <v>420</v>
      </c>
      <c r="B2348" s="267"/>
      <c r="C2348" s="267"/>
      <c r="D2348" s="267"/>
      <c r="E2348" s="267"/>
      <c r="F2348" s="267"/>
      <c r="G2348" s="85">
        <f>SUM(G2344:G2347)</f>
        <v>27670</v>
      </c>
    </row>
    <row r="2349" spans="1:7">
      <c r="A2349" s="106" t="s">
        <v>16</v>
      </c>
      <c r="B2349" s="107" t="s">
        <v>17</v>
      </c>
      <c r="C2349" s="106"/>
      <c r="D2349" s="108"/>
      <c r="E2349" s="109"/>
      <c r="F2349" s="110"/>
      <c r="G2349" s="2"/>
    </row>
    <row r="2350" spans="1:7" ht="30">
      <c r="A2350" s="17" t="s">
        <v>208</v>
      </c>
      <c r="B2350" s="5" t="s">
        <v>312</v>
      </c>
      <c r="C2350" s="17"/>
      <c r="D2350" s="7" t="s">
        <v>86</v>
      </c>
      <c r="E2350" s="6" t="s">
        <v>87</v>
      </c>
      <c r="F2350" s="83">
        <f>VLOOKUP(B2350,'HSD UPAH,BAHAN,ALAT'!$C$6:F2273,4,FALSE)</f>
        <v>10000</v>
      </c>
      <c r="G2350" s="84">
        <f t="shared" ref="G2350:G2358" si="294">E2350*F2350</f>
        <v>10500</v>
      </c>
    </row>
    <row r="2351" spans="1:7">
      <c r="A2351" s="8">
        <v>2</v>
      </c>
      <c r="B2351" s="1" t="s">
        <v>18</v>
      </c>
      <c r="C2351" s="8"/>
      <c r="D2351" s="10" t="s">
        <v>19</v>
      </c>
      <c r="E2351" s="3" t="s">
        <v>64</v>
      </c>
      <c r="F2351" s="83">
        <f>VLOOKUP(B2351,'HSD UPAH,BAHAN,ALAT'!$C$6:F2274,4,FALSE)</f>
        <v>10000</v>
      </c>
      <c r="G2351" s="84">
        <f t="shared" si="294"/>
        <v>200</v>
      </c>
    </row>
    <row r="2352" spans="1:7">
      <c r="A2352" s="8">
        <v>3</v>
      </c>
      <c r="B2352" s="1" t="s">
        <v>21</v>
      </c>
      <c r="C2352" s="8"/>
      <c r="D2352" s="19"/>
      <c r="E2352" s="2"/>
      <c r="F2352" s="83"/>
      <c r="G2352" s="84">
        <f t="shared" si="294"/>
        <v>0</v>
      </c>
    </row>
    <row r="2353" spans="1:7">
      <c r="A2353" s="8" t="s">
        <v>22</v>
      </c>
      <c r="B2353" s="1" t="s">
        <v>82</v>
      </c>
      <c r="C2353" s="8"/>
      <c r="D2353" s="10" t="s">
        <v>24</v>
      </c>
      <c r="E2353" s="3" t="s">
        <v>67</v>
      </c>
      <c r="F2353" s="83">
        <f>VLOOKUP(B2353,'HSD UPAH,BAHAN,ALAT'!$C$6:F2276,4,FALSE)</f>
        <v>10000</v>
      </c>
      <c r="G2353" s="84">
        <f t="shared" si="294"/>
        <v>180000</v>
      </c>
    </row>
    <row r="2354" spans="1:7">
      <c r="A2354" s="8" t="s">
        <v>30</v>
      </c>
      <c r="B2354" s="1" t="s">
        <v>56</v>
      </c>
      <c r="C2354" s="8"/>
      <c r="D2354" s="10" t="s">
        <v>24</v>
      </c>
      <c r="E2354" s="3" t="s">
        <v>57</v>
      </c>
      <c r="F2354" s="83">
        <f>VLOOKUP(B2354,'HSD UPAH,BAHAN,ALAT'!$C$6:F2277,4,FALSE)</f>
        <v>10000</v>
      </c>
      <c r="G2354" s="84">
        <f t="shared" si="294"/>
        <v>100000</v>
      </c>
    </row>
    <row r="2355" spans="1:7">
      <c r="A2355" s="8">
        <v>4</v>
      </c>
      <c r="B2355" s="1" t="s">
        <v>26</v>
      </c>
      <c r="C2355" s="8"/>
      <c r="D2355" s="19"/>
      <c r="E2355" s="2"/>
      <c r="F2355" s="83"/>
      <c r="G2355" s="84">
        <f t="shared" si="294"/>
        <v>0</v>
      </c>
    </row>
    <row r="2356" spans="1:7">
      <c r="A2356" s="8" t="s">
        <v>22</v>
      </c>
      <c r="B2356" s="1" t="s">
        <v>27</v>
      </c>
      <c r="C2356" s="8"/>
      <c r="D2356" s="10" t="s">
        <v>28</v>
      </c>
      <c r="E2356" s="3" t="s">
        <v>83</v>
      </c>
      <c r="F2356" s="83">
        <f>VLOOKUP(B2356,'HSD UPAH,BAHAN,ALAT'!$C$6:F2279,4,FALSE)</f>
        <v>10000</v>
      </c>
      <c r="G2356" s="84">
        <f t="shared" si="294"/>
        <v>1950</v>
      </c>
    </row>
    <row r="2357" spans="1:7">
      <c r="A2357" s="8" t="s">
        <v>30</v>
      </c>
      <c r="B2357" s="1" t="s">
        <v>31</v>
      </c>
      <c r="C2357" s="8"/>
      <c r="D2357" s="10" t="s">
        <v>28</v>
      </c>
      <c r="E2357" s="3" t="s">
        <v>84</v>
      </c>
      <c r="F2357" s="83">
        <f>VLOOKUP(B2357,'HSD UPAH,BAHAN,ALAT'!$C$6:F2280,4,FALSE)</f>
        <v>10000</v>
      </c>
      <c r="G2357" s="84">
        <f t="shared" si="294"/>
        <v>520</v>
      </c>
    </row>
    <row r="2358" spans="1:7">
      <c r="A2358" s="100" t="s">
        <v>33</v>
      </c>
      <c r="B2358" s="101" t="s">
        <v>34</v>
      </c>
      <c r="C2358" s="100"/>
      <c r="D2358" s="103" t="s">
        <v>28</v>
      </c>
      <c r="E2358" s="105" t="s">
        <v>51</v>
      </c>
      <c r="F2358" s="104">
        <f>VLOOKUP(B2358,'HSD UPAH,BAHAN,ALAT'!$C$6:F2281,4,FALSE)</f>
        <v>10000</v>
      </c>
      <c r="G2358" s="84">
        <f t="shared" si="294"/>
        <v>130</v>
      </c>
    </row>
    <row r="2359" spans="1:7">
      <c r="A2359" s="267" t="s">
        <v>421</v>
      </c>
      <c r="B2359" s="267"/>
      <c r="C2359" s="267"/>
      <c r="D2359" s="267"/>
      <c r="E2359" s="267"/>
      <c r="F2359" s="267"/>
      <c r="G2359" s="85">
        <f>SUM(G2350:G2358)</f>
        <v>293300</v>
      </c>
    </row>
    <row r="2360" spans="1:7">
      <c r="A2360" s="106" t="s">
        <v>36</v>
      </c>
      <c r="B2360" s="107" t="s">
        <v>37</v>
      </c>
      <c r="C2360" s="106"/>
      <c r="D2360" s="108"/>
      <c r="E2360" s="109"/>
      <c r="F2360" s="110"/>
      <c r="G2360" s="2"/>
    </row>
    <row r="2361" spans="1:7">
      <c r="A2361" s="8">
        <v>1</v>
      </c>
      <c r="B2361" s="1" t="s">
        <v>71</v>
      </c>
      <c r="C2361" s="8"/>
      <c r="D2361" s="10" t="s">
        <v>72</v>
      </c>
      <c r="E2361" s="10" t="s">
        <v>85</v>
      </c>
      <c r="F2361" s="83">
        <f>VLOOKUP(B2361,'HSD UPAH,BAHAN,ALAT'!$C$6:F2284,4,FALSE)</f>
        <v>10000</v>
      </c>
      <c r="G2361" s="84">
        <f t="shared" ref="G2361" si="295">E2361*F2361</f>
        <v>5600.0000000000009</v>
      </c>
    </row>
    <row r="2362" spans="1:7">
      <c r="A2362" s="263" t="s">
        <v>419</v>
      </c>
      <c r="B2362" s="263"/>
      <c r="C2362" s="263"/>
      <c r="D2362" s="263"/>
      <c r="E2362" s="263"/>
      <c r="F2362" s="263"/>
      <c r="G2362" s="80">
        <f>SUM(G2361)</f>
        <v>5600.0000000000009</v>
      </c>
    </row>
    <row r="2363" spans="1:7">
      <c r="A2363" s="81" t="s">
        <v>38</v>
      </c>
      <c r="B2363" s="262" t="s">
        <v>39</v>
      </c>
      <c r="C2363" s="262"/>
      <c r="D2363" s="262"/>
      <c r="E2363" s="262"/>
      <c r="F2363" s="262"/>
      <c r="G2363" s="80">
        <f>SUM(G2344:G2362)/2</f>
        <v>326570</v>
      </c>
    </row>
    <row r="2364" spans="1:7">
      <c r="A2364" s="81" t="s">
        <v>40</v>
      </c>
      <c r="B2364" s="262" t="s">
        <v>180</v>
      </c>
      <c r="C2364" s="262"/>
      <c r="D2364" s="262"/>
      <c r="E2364" s="262"/>
      <c r="F2364" s="82">
        <v>0.1</v>
      </c>
      <c r="G2364" s="80">
        <f>G2363*F2364</f>
        <v>32657</v>
      </c>
    </row>
    <row r="2365" spans="1:7">
      <c r="A2365" s="81" t="s">
        <v>41</v>
      </c>
      <c r="B2365" s="262" t="s">
        <v>42</v>
      </c>
      <c r="C2365" s="262"/>
      <c r="D2365" s="262"/>
      <c r="E2365" s="262"/>
      <c r="F2365" s="262"/>
      <c r="G2365" s="80">
        <f>G2363+G2364</f>
        <v>359227</v>
      </c>
    </row>
    <row r="2366" spans="1:7">
      <c r="A2366" s="90"/>
      <c r="B2366" s="91"/>
      <c r="C2366" s="91"/>
      <c r="D2366" s="91"/>
      <c r="E2366" s="91"/>
      <c r="F2366" s="91"/>
      <c r="G2366" s="92"/>
    </row>
    <row r="2367" spans="1:7">
      <c r="A2367" s="4" t="s">
        <v>464</v>
      </c>
      <c r="B2367" s="91"/>
      <c r="C2367" s="91"/>
      <c r="D2367" s="91"/>
      <c r="E2367" s="91"/>
      <c r="F2367" s="91"/>
      <c r="G2367" s="92"/>
    </row>
    <row r="2368" spans="1:7">
      <c r="A2368" s="97" t="s">
        <v>465</v>
      </c>
      <c r="B2368" s="91"/>
      <c r="C2368" s="91"/>
      <c r="D2368" s="91"/>
      <c r="E2368" s="91"/>
      <c r="F2368" s="91"/>
      <c r="G2368" s="92"/>
    </row>
    <row r="2369" spans="1:7" ht="30">
      <c r="A2369" s="79" t="s">
        <v>0</v>
      </c>
      <c r="B2369" s="79" t="s">
        <v>1</v>
      </c>
      <c r="C2369" s="79" t="s">
        <v>207</v>
      </c>
      <c r="D2369" s="79" t="s">
        <v>3</v>
      </c>
      <c r="E2369" s="79" t="s">
        <v>2</v>
      </c>
      <c r="F2369" s="79" t="s">
        <v>417</v>
      </c>
      <c r="G2369" s="79" t="s">
        <v>418</v>
      </c>
    </row>
    <row r="2370" spans="1:7">
      <c r="A2370" s="8" t="s">
        <v>4</v>
      </c>
      <c r="B2370" s="1" t="s">
        <v>5</v>
      </c>
      <c r="C2370" s="8"/>
      <c r="D2370" s="9"/>
      <c r="E2370" s="10"/>
      <c r="F2370" s="3"/>
      <c r="G2370" s="3"/>
    </row>
    <row r="2371" spans="1:7">
      <c r="A2371" s="8">
        <v>1</v>
      </c>
      <c r="B2371" s="1" t="s">
        <v>48</v>
      </c>
      <c r="C2371" s="8" t="s">
        <v>49</v>
      </c>
      <c r="D2371" s="9" t="s">
        <v>8</v>
      </c>
      <c r="E2371" s="10" t="s">
        <v>79</v>
      </c>
      <c r="F2371" s="83">
        <f>VLOOKUP(B2371,'HSD UPAH,BAHAN,ALAT'!$C$6:F2291,4,FALSE)</f>
        <v>100000</v>
      </c>
      <c r="G2371" s="84">
        <f t="shared" ref="G2371:G2374" si="296">E2371*F2371</f>
        <v>10000</v>
      </c>
    </row>
    <row r="2372" spans="1:7">
      <c r="A2372" s="8">
        <v>2</v>
      </c>
      <c r="B2372" s="1" t="s">
        <v>6</v>
      </c>
      <c r="C2372" s="8" t="s">
        <v>7</v>
      </c>
      <c r="D2372" s="9" t="s">
        <v>8</v>
      </c>
      <c r="E2372" s="10" t="s">
        <v>79</v>
      </c>
      <c r="F2372" s="83">
        <f>VLOOKUP(B2372,'HSD UPAH,BAHAN,ALAT'!$C$6:F2292,4,FALSE)</f>
        <v>100000</v>
      </c>
      <c r="G2372" s="84">
        <f t="shared" si="296"/>
        <v>10000</v>
      </c>
    </row>
    <row r="2373" spans="1:7">
      <c r="A2373" s="8">
        <v>3</v>
      </c>
      <c r="B2373" s="1" t="s">
        <v>10</v>
      </c>
      <c r="C2373" s="8" t="s">
        <v>11</v>
      </c>
      <c r="D2373" s="9" t="s">
        <v>8</v>
      </c>
      <c r="E2373" s="10" t="s">
        <v>80</v>
      </c>
      <c r="F2373" s="83">
        <f>VLOOKUP(B2373,'HSD UPAH,BAHAN,ALAT'!$C$6:F2293,4,FALSE)</f>
        <v>120000</v>
      </c>
      <c r="G2373" s="84">
        <f t="shared" si="296"/>
        <v>6000</v>
      </c>
    </row>
    <row r="2374" spans="1:7">
      <c r="A2374" s="8">
        <v>4</v>
      </c>
      <c r="B2374" s="1" t="s">
        <v>13</v>
      </c>
      <c r="C2374" s="8" t="s">
        <v>14</v>
      </c>
      <c r="D2374" s="9" t="s">
        <v>8</v>
      </c>
      <c r="E2374" s="10" t="s">
        <v>81</v>
      </c>
      <c r="F2374" s="83">
        <f>VLOOKUP(B2374,'HSD UPAH,BAHAN,ALAT'!$C$6:F2294,4,FALSE)</f>
        <v>100000</v>
      </c>
      <c r="G2374" s="84">
        <f t="shared" si="296"/>
        <v>1670</v>
      </c>
    </row>
    <row r="2375" spans="1:7">
      <c r="A2375" s="261" t="s">
        <v>420</v>
      </c>
      <c r="B2375" s="261"/>
      <c r="C2375" s="261"/>
      <c r="D2375" s="261"/>
      <c r="E2375" s="261"/>
      <c r="F2375" s="261"/>
      <c r="G2375" s="85">
        <f>SUM(G2371:G2374)</f>
        <v>27670</v>
      </c>
    </row>
    <row r="2376" spans="1:7">
      <c r="A2376" s="8" t="s">
        <v>16</v>
      </c>
      <c r="B2376" s="1" t="s">
        <v>17</v>
      </c>
      <c r="C2376" s="8"/>
      <c r="D2376" s="9"/>
      <c r="E2376" s="10"/>
      <c r="F2376" s="3"/>
      <c r="G2376" s="3"/>
    </row>
    <row r="2377" spans="1:7" ht="30">
      <c r="A2377" s="17" t="s">
        <v>208</v>
      </c>
      <c r="B2377" s="5" t="s">
        <v>313</v>
      </c>
      <c r="C2377" s="8"/>
      <c r="D2377" s="12" t="s">
        <v>86</v>
      </c>
      <c r="E2377" s="7" t="s">
        <v>87</v>
      </c>
      <c r="F2377" s="83">
        <f>VLOOKUP(B2377,'HSD UPAH,BAHAN,ALAT'!$C$6:F2297,4,FALSE)</f>
        <v>10000</v>
      </c>
      <c r="G2377" s="84">
        <f t="shared" ref="G2377:G2385" si="297">E2377*F2377</f>
        <v>10500</v>
      </c>
    </row>
    <row r="2378" spans="1:7">
      <c r="A2378" s="8">
        <v>2</v>
      </c>
      <c r="B2378" s="1" t="s">
        <v>18</v>
      </c>
      <c r="C2378" s="8"/>
      <c r="D2378" s="9" t="s">
        <v>19</v>
      </c>
      <c r="E2378" s="10" t="s">
        <v>64</v>
      </c>
      <c r="F2378" s="83">
        <f>VLOOKUP(B2378,'HSD UPAH,BAHAN,ALAT'!$C$6:F2298,4,FALSE)</f>
        <v>10000</v>
      </c>
      <c r="G2378" s="84">
        <f t="shared" si="297"/>
        <v>200</v>
      </c>
    </row>
    <row r="2379" spans="1:7">
      <c r="A2379" s="8">
        <v>3</v>
      </c>
      <c r="B2379" s="1" t="s">
        <v>21</v>
      </c>
      <c r="C2379" s="8"/>
      <c r="D2379" s="9"/>
      <c r="E2379" s="10"/>
      <c r="F2379" s="83"/>
      <c r="G2379" s="84">
        <f t="shared" si="297"/>
        <v>0</v>
      </c>
    </row>
    <row r="2380" spans="1:7">
      <c r="A2380" s="8" t="s">
        <v>22</v>
      </c>
      <c r="B2380" s="1" t="s">
        <v>82</v>
      </c>
      <c r="C2380" s="8"/>
      <c r="D2380" s="9" t="s">
        <v>24</v>
      </c>
      <c r="E2380" s="10" t="s">
        <v>67</v>
      </c>
      <c r="F2380" s="83">
        <f>VLOOKUP(B2380,'HSD UPAH,BAHAN,ALAT'!$C$6:F2300,4,FALSE)</f>
        <v>10000</v>
      </c>
      <c r="G2380" s="84">
        <f t="shared" si="297"/>
        <v>180000</v>
      </c>
    </row>
    <row r="2381" spans="1:7">
      <c r="A2381" s="8" t="s">
        <v>30</v>
      </c>
      <c r="B2381" s="1" t="s">
        <v>56</v>
      </c>
      <c r="C2381" s="8"/>
      <c r="D2381" s="9" t="s">
        <v>24</v>
      </c>
      <c r="E2381" s="10" t="s">
        <v>57</v>
      </c>
      <c r="F2381" s="83">
        <f>VLOOKUP(B2381,'HSD UPAH,BAHAN,ALAT'!$C$6:F2301,4,FALSE)</f>
        <v>10000</v>
      </c>
      <c r="G2381" s="84">
        <f t="shared" si="297"/>
        <v>100000</v>
      </c>
    </row>
    <row r="2382" spans="1:7">
      <c r="A2382" s="8">
        <v>4</v>
      </c>
      <c r="B2382" s="1" t="s">
        <v>26</v>
      </c>
      <c r="C2382" s="8"/>
      <c r="D2382" s="9"/>
      <c r="E2382" s="10"/>
      <c r="F2382" s="83"/>
      <c r="G2382" s="84">
        <f t="shared" si="297"/>
        <v>0</v>
      </c>
    </row>
    <row r="2383" spans="1:7">
      <c r="A2383" s="8" t="s">
        <v>22</v>
      </c>
      <c r="B2383" s="1" t="s">
        <v>27</v>
      </c>
      <c r="C2383" s="8"/>
      <c r="D2383" s="9" t="s">
        <v>28</v>
      </c>
      <c r="E2383" s="10" t="s">
        <v>88</v>
      </c>
      <c r="F2383" s="83">
        <f>VLOOKUP(B2383,'HSD UPAH,BAHAN,ALAT'!$C$6:F2303,4,FALSE)</f>
        <v>10000</v>
      </c>
      <c r="G2383" s="84">
        <f t="shared" si="297"/>
        <v>2440</v>
      </c>
    </row>
    <row r="2384" spans="1:7">
      <c r="A2384" s="8" t="s">
        <v>30</v>
      </c>
      <c r="B2384" s="1" t="s">
        <v>31</v>
      </c>
      <c r="C2384" s="8"/>
      <c r="D2384" s="9" t="s">
        <v>28</v>
      </c>
      <c r="E2384" s="10" t="s">
        <v>89</v>
      </c>
      <c r="F2384" s="83">
        <f>VLOOKUP(B2384,'HSD UPAH,BAHAN,ALAT'!$C$6:F2304,4,FALSE)</f>
        <v>10000</v>
      </c>
      <c r="G2384" s="84">
        <f t="shared" si="297"/>
        <v>650</v>
      </c>
    </row>
    <row r="2385" spans="1:7">
      <c r="A2385" s="8" t="s">
        <v>33</v>
      </c>
      <c r="B2385" s="1" t="s">
        <v>34</v>
      </c>
      <c r="C2385" s="8"/>
      <c r="D2385" s="9" t="s">
        <v>28</v>
      </c>
      <c r="E2385" s="10" t="s">
        <v>90</v>
      </c>
      <c r="F2385" s="83">
        <f>VLOOKUP(B2385,'HSD UPAH,BAHAN,ALAT'!$C$6:F2305,4,FALSE)</f>
        <v>10000</v>
      </c>
      <c r="G2385" s="84">
        <f t="shared" si="297"/>
        <v>160</v>
      </c>
    </row>
    <row r="2386" spans="1:7">
      <c r="A2386" s="261" t="s">
        <v>421</v>
      </c>
      <c r="B2386" s="261"/>
      <c r="C2386" s="261"/>
      <c r="D2386" s="261"/>
      <c r="E2386" s="261"/>
      <c r="F2386" s="261"/>
      <c r="G2386" s="85">
        <f>SUM(G2377:G2385)</f>
        <v>293950</v>
      </c>
    </row>
    <row r="2387" spans="1:7">
      <c r="A2387" s="8" t="s">
        <v>36</v>
      </c>
      <c r="B2387" s="1" t="s">
        <v>37</v>
      </c>
      <c r="C2387" s="8"/>
      <c r="D2387" s="9"/>
      <c r="E2387" s="10"/>
      <c r="F2387" s="3"/>
      <c r="G2387" s="3"/>
    </row>
    <row r="2388" spans="1:7">
      <c r="A2388" s="8">
        <v>1</v>
      </c>
      <c r="B2388" s="1" t="s">
        <v>71</v>
      </c>
      <c r="C2388" s="8"/>
      <c r="D2388" s="9" t="s">
        <v>72</v>
      </c>
      <c r="E2388" s="10" t="s">
        <v>91</v>
      </c>
      <c r="F2388" s="83">
        <f>VLOOKUP(B2388,'HSD UPAH,BAHAN,ALAT'!$C$6:F2308,4,FALSE)</f>
        <v>10000</v>
      </c>
      <c r="G2388" s="84">
        <f t="shared" ref="G2388" si="298">E2388*F2388</f>
        <v>7000</v>
      </c>
    </row>
    <row r="2389" spans="1:7">
      <c r="A2389" s="263" t="s">
        <v>419</v>
      </c>
      <c r="B2389" s="263"/>
      <c r="C2389" s="263"/>
      <c r="D2389" s="263"/>
      <c r="E2389" s="263"/>
      <c r="F2389" s="263"/>
      <c r="G2389" s="80">
        <f>SUM(G2388)</f>
        <v>7000</v>
      </c>
    </row>
    <row r="2390" spans="1:7">
      <c r="A2390" s="81" t="s">
        <v>38</v>
      </c>
      <c r="B2390" s="262" t="s">
        <v>39</v>
      </c>
      <c r="C2390" s="262"/>
      <c r="D2390" s="262"/>
      <c r="E2390" s="262"/>
      <c r="F2390" s="262"/>
      <c r="G2390" s="80">
        <f>SUM(G2371:G2389)/2</f>
        <v>328620</v>
      </c>
    </row>
    <row r="2391" spans="1:7">
      <c r="A2391" s="81" t="s">
        <v>40</v>
      </c>
      <c r="B2391" s="262" t="s">
        <v>180</v>
      </c>
      <c r="C2391" s="262"/>
      <c r="D2391" s="262"/>
      <c r="E2391" s="262"/>
      <c r="F2391" s="82">
        <v>0.1</v>
      </c>
      <c r="G2391" s="80">
        <f>G2390*F2391</f>
        <v>32862</v>
      </c>
    </row>
    <row r="2392" spans="1:7">
      <c r="A2392" s="81" t="s">
        <v>41</v>
      </c>
      <c r="B2392" s="262" t="s">
        <v>42</v>
      </c>
      <c r="C2392" s="262"/>
      <c r="D2392" s="262"/>
      <c r="E2392" s="262"/>
      <c r="F2392" s="262"/>
      <c r="G2392" s="80">
        <f>G2390+G2391</f>
        <v>361482</v>
      </c>
    </row>
    <row r="2393" spans="1:7">
      <c r="A2393" s="90"/>
      <c r="B2393" s="91"/>
      <c r="C2393" s="91"/>
      <c r="D2393" s="91"/>
      <c r="E2393" s="91"/>
      <c r="F2393" s="91"/>
      <c r="G2393" s="92"/>
    </row>
    <row r="2394" spans="1:7">
      <c r="A2394" s="4" t="s">
        <v>577</v>
      </c>
      <c r="B2394" s="91"/>
      <c r="C2394" s="91"/>
      <c r="D2394" s="91"/>
      <c r="E2394" s="91"/>
      <c r="F2394" s="91"/>
      <c r="G2394" s="92"/>
    </row>
    <row r="2395" spans="1:7" ht="30">
      <c r="A2395" s="79" t="s">
        <v>0</v>
      </c>
      <c r="B2395" s="79" t="s">
        <v>1</v>
      </c>
      <c r="C2395" s="79" t="s">
        <v>207</v>
      </c>
      <c r="D2395" s="79" t="s">
        <v>3</v>
      </c>
      <c r="E2395" s="79" t="s">
        <v>2</v>
      </c>
      <c r="F2395" s="79" t="s">
        <v>417</v>
      </c>
      <c r="G2395" s="79" t="s">
        <v>418</v>
      </c>
    </row>
    <row r="2396" spans="1:7">
      <c r="A2396" s="8" t="s">
        <v>4</v>
      </c>
      <c r="B2396" s="1" t="s">
        <v>5</v>
      </c>
      <c r="C2396" s="8"/>
      <c r="D2396" s="9"/>
      <c r="E2396" s="10"/>
      <c r="F2396" s="3"/>
      <c r="G2396" s="3"/>
    </row>
    <row r="2397" spans="1:7">
      <c r="A2397" s="8">
        <v>1</v>
      </c>
      <c r="B2397" s="1" t="s">
        <v>48</v>
      </c>
      <c r="C2397" s="8" t="s">
        <v>49</v>
      </c>
      <c r="D2397" s="9" t="s">
        <v>8</v>
      </c>
      <c r="E2397" s="10" t="s">
        <v>79</v>
      </c>
      <c r="F2397" s="83">
        <f>VLOOKUP(B2397,'HSD UPAH,BAHAN,ALAT'!$C$6:F2315,4,FALSE)</f>
        <v>100000</v>
      </c>
      <c r="G2397" s="84">
        <f t="shared" ref="G2397:G2400" si="299">E2397*F2397</f>
        <v>10000</v>
      </c>
    </row>
    <row r="2398" spans="1:7">
      <c r="A2398" s="8">
        <v>2</v>
      </c>
      <c r="B2398" s="1" t="s">
        <v>6</v>
      </c>
      <c r="C2398" s="8" t="s">
        <v>7</v>
      </c>
      <c r="D2398" s="9" t="s">
        <v>8</v>
      </c>
      <c r="E2398" s="10" t="s">
        <v>79</v>
      </c>
      <c r="F2398" s="83">
        <f>VLOOKUP(B2398,'HSD UPAH,BAHAN,ALAT'!$C$6:F2316,4,FALSE)</f>
        <v>100000</v>
      </c>
      <c r="G2398" s="84">
        <f t="shared" si="299"/>
        <v>10000</v>
      </c>
    </row>
    <row r="2399" spans="1:7">
      <c r="A2399" s="8">
        <v>3</v>
      </c>
      <c r="B2399" s="1" t="s">
        <v>10</v>
      </c>
      <c r="C2399" s="8" t="s">
        <v>11</v>
      </c>
      <c r="D2399" s="9" t="s">
        <v>8</v>
      </c>
      <c r="E2399" s="10" t="s">
        <v>80</v>
      </c>
      <c r="F2399" s="83">
        <f>VLOOKUP(B2399,'HSD UPAH,BAHAN,ALAT'!$C$6:F2317,4,FALSE)</f>
        <v>120000</v>
      </c>
      <c r="G2399" s="84">
        <f t="shared" si="299"/>
        <v>6000</v>
      </c>
    </row>
    <row r="2400" spans="1:7">
      <c r="A2400" s="8">
        <v>4</v>
      </c>
      <c r="B2400" s="1" t="s">
        <v>13</v>
      </c>
      <c r="C2400" s="8" t="s">
        <v>14</v>
      </c>
      <c r="D2400" s="9" t="s">
        <v>8</v>
      </c>
      <c r="E2400" s="10" t="s">
        <v>81</v>
      </c>
      <c r="F2400" s="83">
        <f>VLOOKUP(B2400,'HSD UPAH,BAHAN,ALAT'!$C$6:F2318,4,FALSE)</f>
        <v>100000</v>
      </c>
      <c r="G2400" s="84">
        <f t="shared" si="299"/>
        <v>1670</v>
      </c>
    </row>
    <row r="2401" spans="1:7">
      <c r="A2401" s="261" t="s">
        <v>420</v>
      </c>
      <c r="B2401" s="261"/>
      <c r="C2401" s="261"/>
      <c r="D2401" s="261"/>
      <c r="E2401" s="261"/>
      <c r="F2401" s="261"/>
      <c r="G2401" s="85">
        <f>SUM(G2397:G2400)</f>
        <v>27670</v>
      </c>
    </row>
    <row r="2402" spans="1:7">
      <c r="A2402" s="8" t="s">
        <v>16</v>
      </c>
      <c r="B2402" s="1" t="s">
        <v>17</v>
      </c>
      <c r="C2402" s="8"/>
      <c r="D2402" s="9"/>
      <c r="E2402" s="10"/>
      <c r="F2402" s="3"/>
      <c r="G2402" s="3"/>
    </row>
    <row r="2403" spans="1:7" ht="30">
      <c r="A2403" s="17" t="s">
        <v>208</v>
      </c>
      <c r="B2403" s="5" t="s">
        <v>314</v>
      </c>
      <c r="C2403" s="8"/>
      <c r="D2403" s="12" t="s">
        <v>86</v>
      </c>
      <c r="E2403" s="7" t="s">
        <v>87</v>
      </c>
      <c r="F2403" s="83">
        <f>VLOOKUP(B2403,'HSD UPAH,BAHAN,ALAT'!$C$6:F2321,4,FALSE)</f>
        <v>10000</v>
      </c>
      <c r="G2403" s="84">
        <f t="shared" ref="G2403:G2411" si="300">E2403*F2403</f>
        <v>10500</v>
      </c>
    </row>
    <row r="2404" spans="1:7">
      <c r="A2404" s="8">
        <v>2</v>
      </c>
      <c r="B2404" s="1" t="s">
        <v>18</v>
      </c>
      <c r="C2404" s="8"/>
      <c r="D2404" s="9" t="s">
        <v>19</v>
      </c>
      <c r="E2404" s="10" t="s">
        <v>64</v>
      </c>
      <c r="F2404" s="83">
        <f>VLOOKUP(B2404,'HSD UPAH,BAHAN,ALAT'!$C$6:F2322,4,FALSE)</f>
        <v>10000</v>
      </c>
      <c r="G2404" s="84">
        <f t="shared" si="300"/>
        <v>200</v>
      </c>
    </row>
    <row r="2405" spans="1:7">
      <c r="A2405" s="8">
        <v>3</v>
      </c>
      <c r="B2405" s="1" t="s">
        <v>21</v>
      </c>
      <c r="C2405" s="8"/>
      <c r="D2405" s="9"/>
      <c r="E2405" s="10"/>
      <c r="F2405" s="83"/>
      <c r="G2405" s="84">
        <f t="shared" si="300"/>
        <v>0</v>
      </c>
    </row>
    <row r="2406" spans="1:7">
      <c r="A2406" s="8" t="s">
        <v>22</v>
      </c>
      <c r="B2406" s="1" t="s">
        <v>82</v>
      </c>
      <c r="C2406" s="8"/>
      <c r="D2406" s="9" t="s">
        <v>24</v>
      </c>
      <c r="E2406" s="10" t="s">
        <v>67</v>
      </c>
      <c r="F2406" s="83">
        <f>VLOOKUP(B2406,'HSD UPAH,BAHAN,ALAT'!$C$6:F2324,4,FALSE)</f>
        <v>10000</v>
      </c>
      <c r="G2406" s="84">
        <f t="shared" si="300"/>
        <v>180000</v>
      </c>
    </row>
    <row r="2407" spans="1:7">
      <c r="A2407" s="8" t="s">
        <v>30</v>
      </c>
      <c r="B2407" s="1" t="s">
        <v>56</v>
      </c>
      <c r="C2407" s="8"/>
      <c r="D2407" s="9" t="s">
        <v>24</v>
      </c>
      <c r="E2407" s="10" t="s">
        <v>57</v>
      </c>
      <c r="F2407" s="83">
        <f>VLOOKUP(B2407,'HSD UPAH,BAHAN,ALAT'!$C$6:F2325,4,FALSE)</f>
        <v>10000</v>
      </c>
      <c r="G2407" s="84">
        <f t="shared" si="300"/>
        <v>100000</v>
      </c>
    </row>
    <row r="2408" spans="1:7">
      <c r="A2408" s="8">
        <v>4</v>
      </c>
      <c r="B2408" s="1" t="s">
        <v>26</v>
      </c>
      <c r="C2408" s="8"/>
      <c r="D2408" s="9"/>
      <c r="E2408" s="10"/>
      <c r="F2408" s="83"/>
      <c r="G2408" s="84">
        <f t="shared" si="300"/>
        <v>0</v>
      </c>
    </row>
    <row r="2409" spans="1:7">
      <c r="A2409" s="8" t="s">
        <v>22</v>
      </c>
      <c r="B2409" s="1" t="s">
        <v>27</v>
      </c>
      <c r="C2409" s="8"/>
      <c r="D2409" s="9" t="s">
        <v>28</v>
      </c>
      <c r="E2409" s="10" t="s">
        <v>88</v>
      </c>
      <c r="F2409" s="83">
        <f>VLOOKUP(B2409,'HSD UPAH,BAHAN,ALAT'!$C$6:F2327,4,FALSE)</f>
        <v>10000</v>
      </c>
      <c r="G2409" s="84">
        <f t="shared" si="300"/>
        <v>2440</v>
      </c>
    </row>
    <row r="2410" spans="1:7">
      <c r="A2410" s="8" t="s">
        <v>30</v>
      </c>
      <c r="B2410" s="1" t="s">
        <v>31</v>
      </c>
      <c r="C2410" s="8"/>
      <c r="D2410" s="9" t="s">
        <v>28</v>
      </c>
      <c r="E2410" s="10" t="s">
        <v>89</v>
      </c>
      <c r="F2410" s="83">
        <f>VLOOKUP(B2410,'HSD UPAH,BAHAN,ALAT'!$C$6:F2328,4,FALSE)</f>
        <v>10000</v>
      </c>
      <c r="G2410" s="84">
        <f t="shared" si="300"/>
        <v>650</v>
      </c>
    </row>
    <row r="2411" spans="1:7">
      <c r="A2411" s="8" t="s">
        <v>33</v>
      </c>
      <c r="B2411" s="1" t="s">
        <v>34</v>
      </c>
      <c r="C2411" s="8"/>
      <c r="D2411" s="9" t="s">
        <v>28</v>
      </c>
      <c r="E2411" s="10" t="s">
        <v>90</v>
      </c>
      <c r="F2411" s="83">
        <f>VLOOKUP(B2411,'HSD UPAH,BAHAN,ALAT'!$C$6:F2329,4,FALSE)</f>
        <v>10000</v>
      </c>
      <c r="G2411" s="84">
        <f t="shared" si="300"/>
        <v>160</v>
      </c>
    </row>
    <row r="2412" spans="1:7">
      <c r="A2412" s="261" t="s">
        <v>421</v>
      </c>
      <c r="B2412" s="261"/>
      <c r="C2412" s="261"/>
      <c r="D2412" s="261"/>
      <c r="E2412" s="261"/>
      <c r="F2412" s="261"/>
      <c r="G2412" s="85">
        <f>SUM(G2403:G2411)</f>
        <v>293950</v>
      </c>
    </row>
    <row r="2413" spans="1:7">
      <c r="A2413" s="8" t="s">
        <v>36</v>
      </c>
      <c r="B2413" s="1" t="s">
        <v>37</v>
      </c>
      <c r="C2413" s="8"/>
      <c r="D2413" s="9"/>
      <c r="E2413" s="10"/>
      <c r="F2413" s="3"/>
      <c r="G2413" s="3"/>
    </row>
    <row r="2414" spans="1:7">
      <c r="A2414" s="8">
        <v>1</v>
      </c>
      <c r="B2414" s="1" t="s">
        <v>71</v>
      </c>
      <c r="C2414" s="8"/>
      <c r="D2414" s="9" t="s">
        <v>72</v>
      </c>
      <c r="E2414" s="10" t="s">
        <v>91</v>
      </c>
      <c r="F2414" s="83">
        <f>VLOOKUP(B2414,'HSD UPAH,BAHAN,ALAT'!$C$6:F2332,4,FALSE)</f>
        <v>10000</v>
      </c>
      <c r="G2414" s="84">
        <f t="shared" ref="G2414" si="301">E2414*F2414</f>
        <v>7000</v>
      </c>
    </row>
    <row r="2415" spans="1:7">
      <c r="A2415" s="263" t="s">
        <v>419</v>
      </c>
      <c r="B2415" s="263"/>
      <c r="C2415" s="263"/>
      <c r="D2415" s="263"/>
      <c r="E2415" s="263"/>
      <c r="F2415" s="263"/>
      <c r="G2415" s="80">
        <f>SUM(G2414)</f>
        <v>7000</v>
      </c>
    </row>
    <row r="2416" spans="1:7">
      <c r="A2416" s="81" t="s">
        <v>38</v>
      </c>
      <c r="B2416" s="262" t="s">
        <v>39</v>
      </c>
      <c r="C2416" s="262"/>
      <c r="D2416" s="262"/>
      <c r="E2416" s="262"/>
      <c r="F2416" s="262"/>
      <c r="G2416" s="80">
        <f>SUM(G2397:G2415)/2</f>
        <v>328620</v>
      </c>
    </row>
    <row r="2417" spans="1:7">
      <c r="A2417" s="81" t="s">
        <v>40</v>
      </c>
      <c r="B2417" s="262" t="s">
        <v>180</v>
      </c>
      <c r="C2417" s="262"/>
      <c r="D2417" s="262"/>
      <c r="E2417" s="262"/>
      <c r="F2417" s="82">
        <v>0.1</v>
      </c>
      <c r="G2417" s="80">
        <f>G2416*F2417</f>
        <v>32862</v>
      </c>
    </row>
    <row r="2418" spans="1:7">
      <c r="A2418" s="81" t="s">
        <v>41</v>
      </c>
      <c r="B2418" s="262" t="s">
        <v>42</v>
      </c>
      <c r="C2418" s="262"/>
      <c r="D2418" s="262"/>
      <c r="E2418" s="262"/>
      <c r="F2418" s="262"/>
      <c r="G2418" s="80">
        <f>G2416+G2417</f>
        <v>361482</v>
      </c>
    </row>
    <row r="2419" spans="1:7">
      <c r="A2419" s="90"/>
      <c r="B2419" s="91"/>
      <c r="C2419" s="91"/>
      <c r="D2419" s="91"/>
      <c r="E2419" s="91"/>
      <c r="F2419" s="91"/>
      <c r="G2419" s="92"/>
    </row>
    <row r="2420" spans="1:7">
      <c r="A2420" s="4" t="s">
        <v>578</v>
      </c>
      <c r="B2420" s="91"/>
      <c r="C2420" s="91"/>
      <c r="D2420" s="91"/>
      <c r="E2420" s="91"/>
      <c r="F2420" s="91"/>
      <c r="G2420" s="92"/>
    </row>
    <row r="2421" spans="1:7" ht="30">
      <c r="A2421" s="79" t="s">
        <v>0</v>
      </c>
      <c r="B2421" s="79" t="s">
        <v>1</v>
      </c>
      <c r="C2421" s="79" t="s">
        <v>207</v>
      </c>
      <c r="D2421" s="79" t="s">
        <v>3</v>
      </c>
      <c r="E2421" s="79" t="s">
        <v>2</v>
      </c>
      <c r="F2421" s="79" t="s">
        <v>417</v>
      </c>
      <c r="G2421" s="79" t="s">
        <v>418</v>
      </c>
    </row>
    <row r="2422" spans="1:7">
      <c r="A2422" s="8" t="s">
        <v>4</v>
      </c>
      <c r="B2422" s="1" t="s">
        <v>5</v>
      </c>
      <c r="C2422" s="8"/>
      <c r="D2422" s="9"/>
      <c r="E2422" s="10"/>
      <c r="F2422" s="3"/>
      <c r="G2422" s="3"/>
    </row>
    <row r="2423" spans="1:7">
      <c r="A2423" s="8">
        <v>1</v>
      </c>
      <c r="B2423" s="1" t="s">
        <v>48</v>
      </c>
      <c r="C2423" s="8" t="s">
        <v>49</v>
      </c>
      <c r="D2423" s="9" t="s">
        <v>8</v>
      </c>
      <c r="E2423" s="10" t="s">
        <v>79</v>
      </c>
      <c r="F2423" s="83">
        <f>VLOOKUP(B2423,'HSD UPAH,BAHAN,ALAT'!$C$6:F2339,4,FALSE)</f>
        <v>100000</v>
      </c>
      <c r="G2423" s="84">
        <f t="shared" ref="G2423:G2426" si="302">E2423*F2423</f>
        <v>10000</v>
      </c>
    </row>
    <row r="2424" spans="1:7">
      <c r="A2424" s="8">
        <v>2</v>
      </c>
      <c r="B2424" s="1" t="s">
        <v>6</v>
      </c>
      <c r="C2424" s="8" t="s">
        <v>7</v>
      </c>
      <c r="D2424" s="9" t="s">
        <v>8</v>
      </c>
      <c r="E2424" s="10" t="s">
        <v>79</v>
      </c>
      <c r="F2424" s="83">
        <f>VLOOKUP(B2424,'HSD UPAH,BAHAN,ALAT'!$C$6:F2340,4,FALSE)</f>
        <v>100000</v>
      </c>
      <c r="G2424" s="84">
        <f t="shared" si="302"/>
        <v>10000</v>
      </c>
    </row>
    <row r="2425" spans="1:7">
      <c r="A2425" s="8">
        <v>3</v>
      </c>
      <c r="B2425" s="1" t="s">
        <v>10</v>
      </c>
      <c r="C2425" s="8" t="s">
        <v>11</v>
      </c>
      <c r="D2425" s="9" t="s">
        <v>8</v>
      </c>
      <c r="E2425" s="10" t="s">
        <v>80</v>
      </c>
      <c r="F2425" s="83">
        <f>VLOOKUP(B2425,'HSD UPAH,BAHAN,ALAT'!$C$6:F2341,4,FALSE)</f>
        <v>120000</v>
      </c>
      <c r="G2425" s="84">
        <f t="shared" si="302"/>
        <v>6000</v>
      </c>
    </row>
    <row r="2426" spans="1:7">
      <c r="A2426" s="8">
        <v>4</v>
      </c>
      <c r="B2426" s="1" t="s">
        <v>13</v>
      </c>
      <c r="C2426" s="8" t="s">
        <v>14</v>
      </c>
      <c r="D2426" s="9" t="s">
        <v>8</v>
      </c>
      <c r="E2426" s="10" t="s">
        <v>81</v>
      </c>
      <c r="F2426" s="83">
        <f>VLOOKUP(B2426,'HSD UPAH,BAHAN,ALAT'!$C$6:F2342,4,FALSE)</f>
        <v>100000</v>
      </c>
      <c r="G2426" s="84">
        <f t="shared" si="302"/>
        <v>1670</v>
      </c>
    </row>
    <row r="2427" spans="1:7">
      <c r="A2427" s="261" t="s">
        <v>420</v>
      </c>
      <c r="B2427" s="261"/>
      <c r="C2427" s="261"/>
      <c r="D2427" s="261"/>
      <c r="E2427" s="261"/>
      <c r="F2427" s="261"/>
      <c r="G2427" s="85">
        <f>SUM(G2423:G2426)</f>
        <v>27670</v>
      </c>
    </row>
    <row r="2428" spans="1:7">
      <c r="A2428" s="8" t="s">
        <v>16</v>
      </c>
      <c r="B2428" s="1" t="s">
        <v>17</v>
      </c>
      <c r="C2428" s="8"/>
      <c r="D2428" s="9"/>
      <c r="E2428" s="10"/>
      <c r="F2428" s="3"/>
      <c r="G2428" s="3"/>
    </row>
    <row r="2429" spans="1:7" ht="30">
      <c r="A2429" s="17" t="s">
        <v>208</v>
      </c>
      <c r="B2429" s="5" t="s">
        <v>315</v>
      </c>
      <c r="C2429" s="8"/>
      <c r="D2429" s="12" t="s">
        <v>86</v>
      </c>
      <c r="E2429" s="7" t="s">
        <v>87</v>
      </c>
      <c r="F2429" s="83">
        <f>VLOOKUP(B2429,'HSD UPAH,BAHAN,ALAT'!$C$6:F2345,4,FALSE)</f>
        <v>10000</v>
      </c>
      <c r="G2429" s="84">
        <f t="shared" ref="G2429:G2437" si="303">E2429*F2429</f>
        <v>10500</v>
      </c>
    </row>
    <row r="2430" spans="1:7">
      <c r="A2430" s="8">
        <v>2</v>
      </c>
      <c r="B2430" s="1" t="s">
        <v>18</v>
      </c>
      <c r="C2430" s="8"/>
      <c r="D2430" s="9" t="s">
        <v>19</v>
      </c>
      <c r="E2430" s="10" t="s">
        <v>64</v>
      </c>
      <c r="F2430" s="83">
        <f>VLOOKUP(B2430,'HSD UPAH,BAHAN,ALAT'!$C$6:F2346,4,FALSE)</f>
        <v>10000</v>
      </c>
      <c r="G2430" s="84">
        <f t="shared" si="303"/>
        <v>200</v>
      </c>
    </row>
    <row r="2431" spans="1:7">
      <c r="A2431" s="8">
        <v>3</v>
      </c>
      <c r="B2431" s="1" t="s">
        <v>21</v>
      </c>
      <c r="C2431" s="8"/>
      <c r="D2431" s="9"/>
      <c r="E2431" s="10"/>
      <c r="F2431" s="83"/>
      <c r="G2431" s="84">
        <f t="shared" si="303"/>
        <v>0</v>
      </c>
    </row>
    <row r="2432" spans="1:7">
      <c r="A2432" s="8" t="s">
        <v>22</v>
      </c>
      <c r="B2432" s="1" t="s">
        <v>82</v>
      </c>
      <c r="C2432" s="8"/>
      <c r="D2432" s="9" t="s">
        <v>24</v>
      </c>
      <c r="E2432" s="10" t="s">
        <v>67</v>
      </c>
      <c r="F2432" s="83">
        <f>VLOOKUP(B2432,'HSD UPAH,BAHAN,ALAT'!$C$6:F2348,4,FALSE)</f>
        <v>10000</v>
      </c>
      <c r="G2432" s="84">
        <f t="shared" si="303"/>
        <v>180000</v>
      </c>
    </row>
    <row r="2433" spans="1:7">
      <c r="A2433" s="8" t="s">
        <v>30</v>
      </c>
      <c r="B2433" s="1" t="s">
        <v>56</v>
      </c>
      <c r="C2433" s="8"/>
      <c r="D2433" s="9" t="s">
        <v>24</v>
      </c>
      <c r="E2433" s="10" t="s">
        <v>57</v>
      </c>
      <c r="F2433" s="83">
        <f>VLOOKUP(B2433,'HSD UPAH,BAHAN,ALAT'!$C$6:F2349,4,FALSE)</f>
        <v>10000</v>
      </c>
      <c r="G2433" s="84">
        <f t="shared" si="303"/>
        <v>100000</v>
      </c>
    </row>
    <row r="2434" spans="1:7">
      <c r="A2434" s="8">
        <v>4</v>
      </c>
      <c r="B2434" s="1" t="s">
        <v>26</v>
      </c>
      <c r="C2434" s="8"/>
      <c r="D2434" s="9"/>
      <c r="E2434" s="10"/>
      <c r="F2434" s="83"/>
      <c r="G2434" s="84">
        <f t="shared" si="303"/>
        <v>0</v>
      </c>
    </row>
    <row r="2435" spans="1:7">
      <c r="A2435" s="8" t="s">
        <v>22</v>
      </c>
      <c r="B2435" s="1" t="s">
        <v>27</v>
      </c>
      <c r="C2435" s="8"/>
      <c r="D2435" s="9" t="s">
        <v>28</v>
      </c>
      <c r="E2435" s="10" t="s">
        <v>88</v>
      </c>
      <c r="F2435" s="83">
        <f>VLOOKUP(B2435,'HSD UPAH,BAHAN,ALAT'!$C$6:F2351,4,FALSE)</f>
        <v>10000</v>
      </c>
      <c r="G2435" s="84">
        <f t="shared" si="303"/>
        <v>2440</v>
      </c>
    </row>
    <row r="2436" spans="1:7">
      <c r="A2436" s="8" t="s">
        <v>30</v>
      </c>
      <c r="B2436" s="1" t="s">
        <v>31</v>
      </c>
      <c r="C2436" s="8"/>
      <c r="D2436" s="9" t="s">
        <v>28</v>
      </c>
      <c r="E2436" s="10" t="s">
        <v>89</v>
      </c>
      <c r="F2436" s="83">
        <f>VLOOKUP(B2436,'HSD UPAH,BAHAN,ALAT'!$C$6:F2352,4,FALSE)</f>
        <v>10000</v>
      </c>
      <c r="G2436" s="84">
        <f t="shared" si="303"/>
        <v>650</v>
      </c>
    </row>
    <row r="2437" spans="1:7">
      <c r="A2437" s="8" t="s">
        <v>33</v>
      </c>
      <c r="B2437" s="1" t="s">
        <v>34</v>
      </c>
      <c r="C2437" s="8"/>
      <c r="D2437" s="9" t="s">
        <v>28</v>
      </c>
      <c r="E2437" s="10" t="s">
        <v>90</v>
      </c>
      <c r="F2437" s="83">
        <f>VLOOKUP(B2437,'HSD UPAH,BAHAN,ALAT'!$C$6:F2353,4,FALSE)</f>
        <v>10000</v>
      </c>
      <c r="G2437" s="84">
        <f t="shared" si="303"/>
        <v>160</v>
      </c>
    </row>
    <row r="2438" spans="1:7">
      <c r="A2438" s="261" t="s">
        <v>421</v>
      </c>
      <c r="B2438" s="261"/>
      <c r="C2438" s="261"/>
      <c r="D2438" s="261"/>
      <c r="E2438" s="261"/>
      <c r="F2438" s="261"/>
      <c r="G2438" s="85">
        <f>SUM(G2429:G2437)</f>
        <v>293950</v>
      </c>
    </row>
    <row r="2439" spans="1:7">
      <c r="A2439" s="8" t="s">
        <v>36</v>
      </c>
      <c r="B2439" s="1" t="s">
        <v>37</v>
      </c>
      <c r="C2439" s="8"/>
      <c r="D2439" s="9"/>
      <c r="E2439" s="10"/>
      <c r="F2439" s="3"/>
      <c r="G2439" s="3"/>
    </row>
    <row r="2440" spans="1:7">
      <c r="A2440" s="8">
        <v>1</v>
      </c>
      <c r="B2440" s="1" t="s">
        <v>71</v>
      </c>
      <c r="C2440" s="8"/>
      <c r="D2440" s="9" t="s">
        <v>72</v>
      </c>
      <c r="E2440" s="10" t="s">
        <v>91</v>
      </c>
      <c r="F2440" s="83">
        <f>VLOOKUP(B2440,'HSD UPAH,BAHAN,ALAT'!$C$6:F2356,4,FALSE)</f>
        <v>10000</v>
      </c>
      <c r="G2440" s="84">
        <f t="shared" ref="G2440" si="304">E2440*F2440</f>
        <v>7000</v>
      </c>
    </row>
    <row r="2441" spans="1:7">
      <c r="A2441" s="263" t="s">
        <v>419</v>
      </c>
      <c r="B2441" s="263"/>
      <c r="C2441" s="263"/>
      <c r="D2441" s="263"/>
      <c r="E2441" s="263"/>
      <c r="F2441" s="263"/>
      <c r="G2441" s="80">
        <f>SUM(G2440)</f>
        <v>7000</v>
      </c>
    </row>
    <row r="2442" spans="1:7">
      <c r="A2442" s="81" t="s">
        <v>38</v>
      </c>
      <c r="B2442" s="262" t="s">
        <v>39</v>
      </c>
      <c r="C2442" s="262"/>
      <c r="D2442" s="262"/>
      <c r="E2442" s="262"/>
      <c r="F2442" s="262"/>
      <c r="G2442" s="80">
        <f>SUM(G2423:G2441)/2</f>
        <v>328620</v>
      </c>
    </row>
    <row r="2443" spans="1:7">
      <c r="A2443" s="81" t="s">
        <v>40</v>
      </c>
      <c r="B2443" s="262" t="s">
        <v>180</v>
      </c>
      <c r="C2443" s="262"/>
      <c r="D2443" s="262"/>
      <c r="E2443" s="262"/>
      <c r="F2443" s="82">
        <v>0.1</v>
      </c>
      <c r="G2443" s="80">
        <f>G2442*F2443</f>
        <v>32862</v>
      </c>
    </row>
    <row r="2444" spans="1:7">
      <c r="A2444" s="81" t="s">
        <v>41</v>
      </c>
      <c r="B2444" s="262" t="s">
        <v>42</v>
      </c>
      <c r="C2444" s="262"/>
      <c r="D2444" s="262"/>
      <c r="E2444" s="262"/>
      <c r="F2444" s="262"/>
      <c r="G2444" s="80">
        <f>G2442+G2443</f>
        <v>361482</v>
      </c>
    </row>
    <row r="2445" spans="1:7">
      <c r="A2445" s="90"/>
      <c r="B2445" s="91"/>
      <c r="C2445" s="91"/>
      <c r="D2445" s="91"/>
      <c r="E2445" s="91"/>
      <c r="F2445" s="91"/>
      <c r="G2445" s="92"/>
    </row>
    <row r="2446" spans="1:7">
      <c r="A2446" s="4" t="s">
        <v>579</v>
      </c>
      <c r="B2446" s="91"/>
      <c r="C2446" s="91"/>
      <c r="D2446" s="91"/>
      <c r="E2446" s="91"/>
      <c r="F2446" s="91"/>
      <c r="G2446" s="92"/>
    </row>
    <row r="2447" spans="1:7" ht="30">
      <c r="A2447" s="79" t="s">
        <v>0</v>
      </c>
      <c r="B2447" s="79" t="s">
        <v>1</v>
      </c>
      <c r="C2447" s="79" t="s">
        <v>207</v>
      </c>
      <c r="D2447" s="79" t="s">
        <v>3</v>
      </c>
      <c r="E2447" s="79" t="s">
        <v>2</v>
      </c>
      <c r="F2447" s="79" t="s">
        <v>417</v>
      </c>
      <c r="G2447" s="79" t="s">
        <v>418</v>
      </c>
    </row>
    <row r="2448" spans="1:7">
      <c r="A2448" s="8" t="s">
        <v>4</v>
      </c>
      <c r="B2448" s="1" t="s">
        <v>5</v>
      </c>
      <c r="C2448" s="8"/>
      <c r="D2448" s="9"/>
      <c r="E2448" s="10"/>
      <c r="F2448" s="3"/>
      <c r="G2448" s="3"/>
    </row>
    <row r="2449" spans="1:7">
      <c r="A2449" s="8">
        <v>1</v>
      </c>
      <c r="B2449" s="1" t="s">
        <v>48</v>
      </c>
      <c r="C2449" s="8" t="s">
        <v>49</v>
      </c>
      <c r="D2449" s="9" t="s">
        <v>8</v>
      </c>
      <c r="E2449" s="10" t="s">
        <v>79</v>
      </c>
      <c r="F2449" s="83">
        <f>VLOOKUP(B2449,'HSD UPAH,BAHAN,ALAT'!$C$6:F2363,4,FALSE)</f>
        <v>100000</v>
      </c>
      <c r="G2449" s="84">
        <f t="shared" ref="G2449:G2452" si="305">E2449*F2449</f>
        <v>10000</v>
      </c>
    </row>
    <row r="2450" spans="1:7">
      <c r="A2450" s="8">
        <v>2</v>
      </c>
      <c r="B2450" s="1" t="s">
        <v>6</v>
      </c>
      <c r="C2450" s="8" t="s">
        <v>7</v>
      </c>
      <c r="D2450" s="9" t="s">
        <v>8</v>
      </c>
      <c r="E2450" s="10" t="s">
        <v>79</v>
      </c>
      <c r="F2450" s="83">
        <f>VLOOKUP(B2450,'HSD UPAH,BAHAN,ALAT'!$C$6:F2364,4,FALSE)</f>
        <v>100000</v>
      </c>
      <c r="G2450" s="84">
        <f t="shared" si="305"/>
        <v>10000</v>
      </c>
    </row>
    <row r="2451" spans="1:7">
      <c r="A2451" s="8">
        <v>3</v>
      </c>
      <c r="B2451" s="1" t="s">
        <v>10</v>
      </c>
      <c r="C2451" s="8" t="s">
        <v>11</v>
      </c>
      <c r="D2451" s="9" t="s">
        <v>8</v>
      </c>
      <c r="E2451" s="10" t="s">
        <v>80</v>
      </c>
      <c r="F2451" s="83">
        <f>VLOOKUP(B2451,'HSD UPAH,BAHAN,ALAT'!$C$6:F2365,4,FALSE)</f>
        <v>120000</v>
      </c>
      <c r="G2451" s="84">
        <f t="shared" si="305"/>
        <v>6000</v>
      </c>
    </row>
    <row r="2452" spans="1:7">
      <c r="A2452" s="8">
        <v>4</v>
      </c>
      <c r="B2452" s="1" t="s">
        <v>13</v>
      </c>
      <c r="C2452" s="8" t="s">
        <v>14</v>
      </c>
      <c r="D2452" s="9" t="s">
        <v>8</v>
      </c>
      <c r="E2452" s="10" t="s">
        <v>81</v>
      </c>
      <c r="F2452" s="83">
        <f>VLOOKUP(B2452,'HSD UPAH,BAHAN,ALAT'!$C$6:F2366,4,FALSE)</f>
        <v>100000</v>
      </c>
      <c r="G2452" s="84">
        <f t="shared" si="305"/>
        <v>1670</v>
      </c>
    </row>
    <row r="2453" spans="1:7">
      <c r="A2453" s="261" t="s">
        <v>420</v>
      </c>
      <c r="B2453" s="261"/>
      <c r="C2453" s="261"/>
      <c r="D2453" s="261"/>
      <c r="E2453" s="261"/>
      <c r="F2453" s="261"/>
      <c r="G2453" s="85">
        <f>SUM(G2449:G2452)</f>
        <v>27670</v>
      </c>
    </row>
    <row r="2454" spans="1:7">
      <c r="A2454" s="8" t="s">
        <v>16</v>
      </c>
      <c r="B2454" s="1" t="s">
        <v>17</v>
      </c>
      <c r="C2454" s="8"/>
      <c r="D2454" s="9"/>
      <c r="E2454" s="10"/>
      <c r="F2454" s="3"/>
      <c r="G2454" s="3"/>
    </row>
    <row r="2455" spans="1:7" ht="30">
      <c r="A2455" s="17" t="s">
        <v>208</v>
      </c>
      <c r="B2455" s="5" t="s">
        <v>316</v>
      </c>
      <c r="C2455" s="8"/>
      <c r="D2455" s="12" t="s">
        <v>86</v>
      </c>
      <c r="E2455" s="7" t="s">
        <v>87</v>
      </c>
      <c r="F2455" s="83">
        <f>VLOOKUP(B2455,'HSD UPAH,BAHAN,ALAT'!$C$6:F2369,4,FALSE)</f>
        <v>10000</v>
      </c>
      <c r="G2455" s="84">
        <f t="shared" ref="G2455:G2463" si="306">E2455*F2455</f>
        <v>10500</v>
      </c>
    </row>
    <row r="2456" spans="1:7">
      <c r="A2456" s="8">
        <v>2</v>
      </c>
      <c r="B2456" s="1" t="s">
        <v>18</v>
      </c>
      <c r="C2456" s="8"/>
      <c r="D2456" s="9" t="s">
        <v>19</v>
      </c>
      <c r="E2456" s="10" t="s">
        <v>64</v>
      </c>
      <c r="F2456" s="83">
        <f>VLOOKUP(B2456,'HSD UPAH,BAHAN,ALAT'!$C$6:F2370,4,FALSE)</f>
        <v>10000</v>
      </c>
      <c r="G2456" s="84">
        <f t="shared" si="306"/>
        <v>200</v>
      </c>
    </row>
    <row r="2457" spans="1:7">
      <c r="A2457" s="8">
        <v>3</v>
      </c>
      <c r="B2457" s="1" t="s">
        <v>21</v>
      </c>
      <c r="C2457" s="8"/>
      <c r="D2457" s="9"/>
      <c r="E2457" s="10"/>
      <c r="F2457" s="83"/>
      <c r="G2457" s="84">
        <f t="shared" si="306"/>
        <v>0</v>
      </c>
    </row>
    <row r="2458" spans="1:7">
      <c r="A2458" s="8" t="s">
        <v>22</v>
      </c>
      <c r="B2458" s="1" t="s">
        <v>82</v>
      </c>
      <c r="C2458" s="8"/>
      <c r="D2458" s="9" t="s">
        <v>24</v>
      </c>
      <c r="E2458" s="10" t="s">
        <v>67</v>
      </c>
      <c r="F2458" s="83">
        <f>VLOOKUP(B2458,'HSD UPAH,BAHAN,ALAT'!$C$6:F2372,4,FALSE)</f>
        <v>10000</v>
      </c>
      <c r="G2458" s="84">
        <f t="shared" si="306"/>
        <v>180000</v>
      </c>
    </row>
    <row r="2459" spans="1:7">
      <c r="A2459" s="8" t="s">
        <v>30</v>
      </c>
      <c r="B2459" s="1" t="s">
        <v>56</v>
      </c>
      <c r="C2459" s="8"/>
      <c r="D2459" s="9" t="s">
        <v>24</v>
      </c>
      <c r="E2459" s="10" t="s">
        <v>57</v>
      </c>
      <c r="F2459" s="83">
        <f>VLOOKUP(B2459,'HSD UPAH,BAHAN,ALAT'!$C$6:F2373,4,FALSE)</f>
        <v>10000</v>
      </c>
      <c r="G2459" s="84">
        <f t="shared" si="306"/>
        <v>100000</v>
      </c>
    </row>
    <row r="2460" spans="1:7">
      <c r="A2460" s="8">
        <v>4</v>
      </c>
      <c r="B2460" s="1" t="s">
        <v>26</v>
      </c>
      <c r="C2460" s="8"/>
      <c r="D2460" s="9"/>
      <c r="E2460" s="10"/>
      <c r="F2460" s="83"/>
      <c r="G2460" s="84">
        <f t="shared" si="306"/>
        <v>0</v>
      </c>
    </row>
    <row r="2461" spans="1:7">
      <c r="A2461" s="8" t="s">
        <v>22</v>
      </c>
      <c r="B2461" s="1" t="s">
        <v>27</v>
      </c>
      <c r="C2461" s="8"/>
      <c r="D2461" s="9" t="s">
        <v>28</v>
      </c>
      <c r="E2461" s="10" t="s">
        <v>88</v>
      </c>
      <c r="F2461" s="83">
        <f>VLOOKUP(B2461,'HSD UPAH,BAHAN,ALAT'!$C$6:F2375,4,FALSE)</f>
        <v>10000</v>
      </c>
      <c r="G2461" s="84">
        <f t="shared" si="306"/>
        <v>2440</v>
      </c>
    </row>
    <row r="2462" spans="1:7">
      <c r="A2462" s="8" t="s">
        <v>30</v>
      </c>
      <c r="B2462" s="1" t="s">
        <v>31</v>
      </c>
      <c r="C2462" s="8"/>
      <c r="D2462" s="9" t="s">
        <v>28</v>
      </c>
      <c r="E2462" s="10" t="s">
        <v>89</v>
      </c>
      <c r="F2462" s="83">
        <f>VLOOKUP(B2462,'HSD UPAH,BAHAN,ALAT'!$C$6:F2376,4,FALSE)</f>
        <v>10000</v>
      </c>
      <c r="G2462" s="84">
        <f t="shared" si="306"/>
        <v>650</v>
      </c>
    </row>
    <row r="2463" spans="1:7">
      <c r="A2463" s="8" t="s">
        <v>33</v>
      </c>
      <c r="B2463" s="1" t="s">
        <v>34</v>
      </c>
      <c r="C2463" s="8"/>
      <c r="D2463" s="9" t="s">
        <v>28</v>
      </c>
      <c r="E2463" s="10" t="s">
        <v>90</v>
      </c>
      <c r="F2463" s="83">
        <f>VLOOKUP(B2463,'HSD UPAH,BAHAN,ALAT'!$C$6:F2377,4,FALSE)</f>
        <v>10000</v>
      </c>
      <c r="G2463" s="84">
        <f t="shared" si="306"/>
        <v>160</v>
      </c>
    </row>
    <row r="2464" spans="1:7">
      <c r="A2464" s="261" t="s">
        <v>421</v>
      </c>
      <c r="B2464" s="261"/>
      <c r="C2464" s="261"/>
      <c r="D2464" s="261"/>
      <c r="E2464" s="261"/>
      <c r="F2464" s="261"/>
      <c r="G2464" s="85">
        <f>SUM(G2455:G2463)</f>
        <v>293950</v>
      </c>
    </row>
    <row r="2465" spans="1:7">
      <c r="A2465" s="8" t="s">
        <v>36</v>
      </c>
      <c r="B2465" s="1" t="s">
        <v>37</v>
      </c>
      <c r="C2465" s="8"/>
      <c r="D2465" s="9"/>
      <c r="E2465" s="10"/>
      <c r="F2465" s="3"/>
      <c r="G2465" s="3"/>
    </row>
    <row r="2466" spans="1:7">
      <c r="A2466" s="8">
        <v>1</v>
      </c>
      <c r="B2466" s="1" t="s">
        <v>71</v>
      </c>
      <c r="C2466" s="8"/>
      <c r="D2466" s="9" t="s">
        <v>72</v>
      </c>
      <c r="E2466" s="10" t="s">
        <v>91</v>
      </c>
      <c r="F2466" s="83">
        <f>VLOOKUP(B2466,'HSD UPAH,BAHAN,ALAT'!$C$6:F2380,4,FALSE)</f>
        <v>10000</v>
      </c>
      <c r="G2466" s="84">
        <f t="shared" ref="G2466" si="307">E2466*F2466</f>
        <v>7000</v>
      </c>
    </row>
    <row r="2467" spans="1:7">
      <c r="A2467" s="263" t="s">
        <v>419</v>
      </c>
      <c r="B2467" s="263"/>
      <c r="C2467" s="263"/>
      <c r="D2467" s="263"/>
      <c r="E2467" s="263"/>
      <c r="F2467" s="263"/>
      <c r="G2467" s="80">
        <f>SUM(G2466)</f>
        <v>7000</v>
      </c>
    </row>
    <row r="2468" spans="1:7">
      <c r="A2468" s="81" t="s">
        <v>38</v>
      </c>
      <c r="B2468" s="262" t="s">
        <v>39</v>
      </c>
      <c r="C2468" s="262"/>
      <c r="D2468" s="262"/>
      <c r="E2468" s="262"/>
      <c r="F2468" s="262"/>
      <c r="G2468" s="80">
        <f>SUM(G2449:G2467)/2</f>
        <v>328620</v>
      </c>
    </row>
    <row r="2469" spans="1:7">
      <c r="A2469" s="81" t="s">
        <v>40</v>
      </c>
      <c r="B2469" s="262" t="s">
        <v>180</v>
      </c>
      <c r="C2469" s="262"/>
      <c r="D2469" s="262"/>
      <c r="E2469" s="262"/>
      <c r="F2469" s="82">
        <v>0.1</v>
      </c>
      <c r="G2469" s="80">
        <f>G2468*F2469</f>
        <v>32862</v>
      </c>
    </row>
    <row r="2470" spans="1:7">
      <c r="A2470" s="81" t="s">
        <v>41</v>
      </c>
      <c r="B2470" s="262" t="s">
        <v>42</v>
      </c>
      <c r="C2470" s="262"/>
      <c r="D2470" s="262"/>
      <c r="E2470" s="262"/>
      <c r="F2470" s="262"/>
      <c r="G2470" s="80">
        <f>G2468+G2469</f>
        <v>361482</v>
      </c>
    </row>
    <row r="2471" spans="1:7">
      <c r="A2471" s="90"/>
      <c r="B2471" s="91"/>
      <c r="C2471" s="91"/>
      <c r="D2471" s="91"/>
      <c r="E2471" s="91"/>
      <c r="F2471" s="91"/>
      <c r="G2471" s="92"/>
    </row>
    <row r="2472" spans="1:7">
      <c r="A2472" s="4" t="s">
        <v>580</v>
      </c>
      <c r="B2472" s="91"/>
      <c r="C2472" s="91"/>
      <c r="D2472" s="91"/>
      <c r="E2472" s="91"/>
      <c r="F2472" s="91"/>
      <c r="G2472" s="92"/>
    </row>
    <row r="2473" spans="1:7" ht="30">
      <c r="A2473" s="79" t="s">
        <v>0</v>
      </c>
      <c r="B2473" s="79" t="s">
        <v>1</v>
      </c>
      <c r="C2473" s="79" t="s">
        <v>207</v>
      </c>
      <c r="D2473" s="79" t="s">
        <v>3</v>
      </c>
      <c r="E2473" s="79" t="s">
        <v>2</v>
      </c>
      <c r="F2473" s="79" t="s">
        <v>417</v>
      </c>
      <c r="G2473" s="79" t="s">
        <v>418</v>
      </c>
    </row>
    <row r="2474" spans="1:7">
      <c r="A2474" s="8" t="s">
        <v>4</v>
      </c>
      <c r="B2474" s="1" t="s">
        <v>5</v>
      </c>
      <c r="C2474" s="8"/>
      <c r="D2474" s="9"/>
      <c r="E2474" s="10"/>
      <c r="F2474" s="3"/>
      <c r="G2474" s="3"/>
    </row>
    <row r="2475" spans="1:7">
      <c r="A2475" s="8">
        <v>1</v>
      </c>
      <c r="B2475" s="1" t="s">
        <v>48</v>
      </c>
      <c r="C2475" s="8" t="s">
        <v>49</v>
      </c>
      <c r="D2475" s="9" t="s">
        <v>8</v>
      </c>
      <c r="E2475" s="10" t="s">
        <v>79</v>
      </c>
      <c r="F2475" s="83">
        <f>VLOOKUP(B2475,'HSD UPAH,BAHAN,ALAT'!$C$6:F2387,4,FALSE)</f>
        <v>100000</v>
      </c>
      <c r="G2475" s="84">
        <f t="shared" ref="G2475:G2478" si="308">E2475*F2475</f>
        <v>10000</v>
      </c>
    </row>
    <row r="2476" spans="1:7">
      <c r="A2476" s="8">
        <v>2</v>
      </c>
      <c r="B2476" s="1" t="s">
        <v>6</v>
      </c>
      <c r="C2476" s="8" t="s">
        <v>7</v>
      </c>
      <c r="D2476" s="9" t="s">
        <v>8</v>
      </c>
      <c r="E2476" s="10" t="s">
        <v>79</v>
      </c>
      <c r="F2476" s="83">
        <f>VLOOKUP(B2476,'HSD UPAH,BAHAN,ALAT'!$C$6:F2388,4,FALSE)</f>
        <v>100000</v>
      </c>
      <c r="G2476" s="84">
        <f t="shared" si="308"/>
        <v>10000</v>
      </c>
    </row>
    <row r="2477" spans="1:7">
      <c r="A2477" s="8">
        <v>3</v>
      </c>
      <c r="B2477" s="1" t="s">
        <v>10</v>
      </c>
      <c r="C2477" s="8" t="s">
        <v>11</v>
      </c>
      <c r="D2477" s="9" t="s">
        <v>8</v>
      </c>
      <c r="E2477" s="10" t="s">
        <v>80</v>
      </c>
      <c r="F2477" s="83">
        <f>VLOOKUP(B2477,'HSD UPAH,BAHAN,ALAT'!$C$6:F2389,4,FALSE)</f>
        <v>120000</v>
      </c>
      <c r="G2477" s="84">
        <f t="shared" si="308"/>
        <v>6000</v>
      </c>
    </row>
    <row r="2478" spans="1:7">
      <c r="A2478" s="8">
        <v>4</v>
      </c>
      <c r="B2478" s="1" t="s">
        <v>13</v>
      </c>
      <c r="C2478" s="8" t="s">
        <v>14</v>
      </c>
      <c r="D2478" s="9" t="s">
        <v>8</v>
      </c>
      <c r="E2478" s="10" t="s">
        <v>81</v>
      </c>
      <c r="F2478" s="83">
        <f>VLOOKUP(B2478,'HSD UPAH,BAHAN,ALAT'!$C$6:F2390,4,FALSE)</f>
        <v>100000</v>
      </c>
      <c r="G2478" s="84">
        <f t="shared" si="308"/>
        <v>1670</v>
      </c>
    </row>
    <row r="2479" spans="1:7">
      <c r="A2479" s="261" t="s">
        <v>420</v>
      </c>
      <c r="B2479" s="261"/>
      <c r="C2479" s="261"/>
      <c r="D2479" s="261"/>
      <c r="E2479" s="261"/>
      <c r="F2479" s="261"/>
      <c r="G2479" s="85">
        <f>SUM(G2475:G2478)</f>
        <v>27670</v>
      </c>
    </row>
    <row r="2480" spans="1:7">
      <c r="A2480" s="8" t="s">
        <v>16</v>
      </c>
      <c r="B2480" s="1" t="s">
        <v>17</v>
      </c>
      <c r="C2480" s="8"/>
      <c r="D2480" s="9"/>
      <c r="E2480" s="10"/>
      <c r="F2480" s="3"/>
      <c r="G2480" s="3"/>
    </row>
    <row r="2481" spans="1:7" ht="30">
      <c r="A2481" s="17" t="s">
        <v>208</v>
      </c>
      <c r="B2481" s="5" t="s">
        <v>317</v>
      </c>
      <c r="C2481" s="8"/>
      <c r="D2481" s="12" t="s">
        <v>86</v>
      </c>
      <c r="E2481" s="7" t="s">
        <v>87</v>
      </c>
      <c r="F2481" s="83">
        <f>VLOOKUP(B2481,'HSD UPAH,BAHAN,ALAT'!$C$6:F2393,4,FALSE)</f>
        <v>10000</v>
      </c>
      <c r="G2481" s="84">
        <f t="shared" ref="G2481:G2489" si="309">E2481*F2481</f>
        <v>10500</v>
      </c>
    </row>
    <row r="2482" spans="1:7">
      <c r="A2482" s="8">
        <v>2</v>
      </c>
      <c r="B2482" s="1" t="s">
        <v>18</v>
      </c>
      <c r="C2482" s="8"/>
      <c r="D2482" s="9" t="s">
        <v>19</v>
      </c>
      <c r="E2482" s="10" t="s">
        <v>64</v>
      </c>
      <c r="F2482" s="83">
        <f>VLOOKUP(B2482,'HSD UPAH,BAHAN,ALAT'!$C$6:F2394,4,FALSE)</f>
        <v>10000</v>
      </c>
      <c r="G2482" s="84">
        <f t="shared" si="309"/>
        <v>200</v>
      </c>
    </row>
    <row r="2483" spans="1:7">
      <c r="A2483" s="8">
        <v>3</v>
      </c>
      <c r="B2483" s="1" t="s">
        <v>21</v>
      </c>
      <c r="C2483" s="8"/>
      <c r="D2483" s="9"/>
      <c r="E2483" s="10"/>
      <c r="F2483" s="83"/>
      <c r="G2483" s="84">
        <f t="shared" si="309"/>
        <v>0</v>
      </c>
    </row>
    <row r="2484" spans="1:7">
      <c r="A2484" s="8" t="s">
        <v>22</v>
      </c>
      <c r="B2484" s="1" t="s">
        <v>82</v>
      </c>
      <c r="C2484" s="8"/>
      <c r="D2484" s="9" t="s">
        <v>24</v>
      </c>
      <c r="E2484" s="10" t="s">
        <v>67</v>
      </c>
      <c r="F2484" s="83">
        <f>VLOOKUP(B2484,'HSD UPAH,BAHAN,ALAT'!$C$6:F2396,4,FALSE)</f>
        <v>10000</v>
      </c>
      <c r="G2484" s="84">
        <f t="shared" si="309"/>
        <v>180000</v>
      </c>
    </row>
    <row r="2485" spans="1:7">
      <c r="A2485" s="8" t="s">
        <v>30</v>
      </c>
      <c r="B2485" s="1" t="s">
        <v>56</v>
      </c>
      <c r="C2485" s="8"/>
      <c r="D2485" s="9" t="s">
        <v>24</v>
      </c>
      <c r="E2485" s="10" t="s">
        <v>57</v>
      </c>
      <c r="F2485" s="83">
        <f>VLOOKUP(B2485,'HSD UPAH,BAHAN,ALAT'!$C$6:F2397,4,FALSE)</f>
        <v>10000</v>
      </c>
      <c r="G2485" s="84">
        <f t="shared" si="309"/>
        <v>100000</v>
      </c>
    </row>
    <row r="2486" spans="1:7">
      <c r="A2486" s="8">
        <v>4</v>
      </c>
      <c r="B2486" s="1" t="s">
        <v>26</v>
      </c>
      <c r="C2486" s="8"/>
      <c r="D2486" s="9"/>
      <c r="E2486" s="10"/>
      <c r="F2486" s="83"/>
      <c r="G2486" s="84">
        <f t="shared" si="309"/>
        <v>0</v>
      </c>
    </row>
    <row r="2487" spans="1:7">
      <c r="A2487" s="8" t="s">
        <v>22</v>
      </c>
      <c r="B2487" s="1" t="s">
        <v>27</v>
      </c>
      <c r="C2487" s="8"/>
      <c r="D2487" s="9" t="s">
        <v>28</v>
      </c>
      <c r="E2487" s="10" t="s">
        <v>88</v>
      </c>
      <c r="F2487" s="83">
        <f>VLOOKUP(B2487,'HSD UPAH,BAHAN,ALAT'!$C$6:F2399,4,FALSE)</f>
        <v>10000</v>
      </c>
      <c r="G2487" s="84">
        <f t="shared" si="309"/>
        <v>2440</v>
      </c>
    </row>
    <row r="2488" spans="1:7">
      <c r="A2488" s="8" t="s">
        <v>30</v>
      </c>
      <c r="B2488" s="1" t="s">
        <v>31</v>
      </c>
      <c r="C2488" s="8"/>
      <c r="D2488" s="9" t="s">
        <v>28</v>
      </c>
      <c r="E2488" s="10" t="s">
        <v>89</v>
      </c>
      <c r="F2488" s="83">
        <f>VLOOKUP(B2488,'HSD UPAH,BAHAN,ALAT'!$C$6:F2400,4,FALSE)</f>
        <v>10000</v>
      </c>
      <c r="G2488" s="84">
        <f t="shared" si="309"/>
        <v>650</v>
      </c>
    </row>
    <row r="2489" spans="1:7">
      <c r="A2489" s="8" t="s">
        <v>33</v>
      </c>
      <c r="B2489" s="1" t="s">
        <v>34</v>
      </c>
      <c r="C2489" s="8"/>
      <c r="D2489" s="9" t="s">
        <v>28</v>
      </c>
      <c r="E2489" s="10" t="s">
        <v>90</v>
      </c>
      <c r="F2489" s="83">
        <f>VLOOKUP(B2489,'HSD UPAH,BAHAN,ALAT'!$C$6:F2401,4,FALSE)</f>
        <v>10000</v>
      </c>
      <c r="G2489" s="84">
        <f t="shared" si="309"/>
        <v>160</v>
      </c>
    </row>
    <row r="2490" spans="1:7">
      <c r="A2490" s="261" t="s">
        <v>421</v>
      </c>
      <c r="B2490" s="261"/>
      <c r="C2490" s="261"/>
      <c r="D2490" s="261"/>
      <c r="E2490" s="261"/>
      <c r="F2490" s="261"/>
      <c r="G2490" s="85">
        <f>SUM(G2481:G2489)</f>
        <v>293950</v>
      </c>
    </row>
    <row r="2491" spans="1:7">
      <c r="A2491" s="8" t="s">
        <v>36</v>
      </c>
      <c r="B2491" s="1" t="s">
        <v>37</v>
      </c>
      <c r="C2491" s="8"/>
      <c r="D2491" s="9"/>
      <c r="E2491" s="10"/>
      <c r="F2491" s="3"/>
      <c r="G2491" s="3"/>
    </row>
    <row r="2492" spans="1:7">
      <c r="A2492" s="8">
        <v>1</v>
      </c>
      <c r="B2492" s="1" t="s">
        <v>71</v>
      </c>
      <c r="C2492" s="8"/>
      <c r="D2492" s="9" t="s">
        <v>72</v>
      </c>
      <c r="E2492" s="10" t="s">
        <v>91</v>
      </c>
      <c r="F2492" s="83">
        <f>VLOOKUP(B2492,'HSD UPAH,BAHAN,ALAT'!$C$6:F2404,4,FALSE)</f>
        <v>10000</v>
      </c>
      <c r="G2492" s="84">
        <f t="shared" ref="G2492" si="310">E2492*F2492</f>
        <v>7000</v>
      </c>
    </row>
    <row r="2493" spans="1:7">
      <c r="A2493" s="263" t="s">
        <v>419</v>
      </c>
      <c r="B2493" s="263"/>
      <c r="C2493" s="263"/>
      <c r="D2493" s="263"/>
      <c r="E2493" s="263"/>
      <c r="F2493" s="263"/>
      <c r="G2493" s="80">
        <f>SUM(G2492)</f>
        <v>7000</v>
      </c>
    </row>
    <row r="2494" spans="1:7">
      <c r="A2494" s="81" t="s">
        <v>38</v>
      </c>
      <c r="B2494" s="262" t="s">
        <v>39</v>
      </c>
      <c r="C2494" s="262"/>
      <c r="D2494" s="262"/>
      <c r="E2494" s="262"/>
      <c r="F2494" s="262"/>
      <c r="G2494" s="80">
        <f>SUM(G2475:G2493)/2</f>
        <v>328620</v>
      </c>
    </row>
    <row r="2495" spans="1:7">
      <c r="A2495" s="81" t="s">
        <v>40</v>
      </c>
      <c r="B2495" s="262" t="s">
        <v>180</v>
      </c>
      <c r="C2495" s="262"/>
      <c r="D2495" s="262"/>
      <c r="E2495" s="262"/>
      <c r="F2495" s="82">
        <v>0.1</v>
      </c>
      <c r="G2495" s="80">
        <f>G2494*F2495</f>
        <v>32862</v>
      </c>
    </row>
    <row r="2496" spans="1:7">
      <c r="A2496" s="81" t="s">
        <v>41</v>
      </c>
      <c r="B2496" s="262" t="s">
        <v>42</v>
      </c>
      <c r="C2496" s="262"/>
      <c r="D2496" s="262"/>
      <c r="E2496" s="262"/>
      <c r="F2496" s="262"/>
      <c r="G2496" s="80">
        <f>G2494+G2495</f>
        <v>361482</v>
      </c>
    </row>
    <row r="2497" spans="1:7">
      <c r="A2497" s="90"/>
      <c r="B2497" s="91"/>
      <c r="C2497" s="91"/>
      <c r="D2497" s="91"/>
      <c r="E2497" s="91"/>
      <c r="F2497" s="91"/>
      <c r="G2497" s="92"/>
    </row>
    <row r="2498" spans="1:7">
      <c r="A2498" s="4" t="s">
        <v>581</v>
      </c>
      <c r="B2498" s="91"/>
      <c r="C2498" s="91"/>
      <c r="D2498" s="91"/>
      <c r="E2498" s="91"/>
      <c r="F2498" s="91"/>
      <c r="G2498" s="92"/>
    </row>
    <row r="2499" spans="1:7" ht="30">
      <c r="A2499" s="79" t="s">
        <v>0</v>
      </c>
      <c r="B2499" s="79" t="s">
        <v>1</v>
      </c>
      <c r="C2499" s="79" t="s">
        <v>207</v>
      </c>
      <c r="D2499" s="79" t="s">
        <v>3</v>
      </c>
      <c r="E2499" s="79" t="s">
        <v>2</v>
      </c>
      <c r="F2499" s="79" t="s">
        <v>417</v>
      </c>
      <c r="G2499" s="79" t="s">
        <v>418</v>
      </c>
    </row>
    <row r="2500" spans="1:7">
      <c r="A2500" s="8" t="s">
        <v>4</v>
      </c>
      <c r="B2500" s="1" t="s">
        <v>5</v>
      </c>
      <c r="C2500" s="8"/>
      <c r="D2500" s="9"/>
      <c r="E2500" s="10"/>
      <c r="F2500" s="3"/>
      <c r="G2500" s="3"/>
    </row>
    <row r="2501" spans="1:7">
      <c r="A2501" s="8">
        <v>1</v>
      </c>
      <c r="B2501" s="1" t="s">
        <v>48</v>
      </c>
      <c r="C2501" s="8" t="s">
        <v>49</v>
      </c>
      <c r="D2501" s="9" t="s">
        <v>8</v>
      </c>
      <c r="E2501" s="10" t="s">
        <v>79</v>
      </c>
      <c r="F2501" s="83">
        <f>VLOOKUP(B2501,'HSD UPAH,BAHAN,ALAT'!$C$6:F2411,4,FALSE)</f>
        <v>100000</v>
      </c>
      <c r="G2501" s="84">
        <f t="shared" ref="G2501:G2504" si="311">E2501*F2501</f>
        <v>10000</v>
      </c>
    </row>
    <row r="2502" spans="1:7">
      <c r="A2502" s="8">
        <v>2</v>
      </c>
      <c r="B2502" s="1" t="s">
        <v>6</v>
      </c>
      <c r="C2502" s="8" t="s">
        <v>7</v>
      </c>
      <c r="D2502" s="9" t="s">
        <v>8</v>
      </c>
      <c r="E2502" s="10" t="s">
        <v>79</v>
      </c>
      <c r="F2502" s="83">
        <f>VLOOKUP(B2502,'HSD UPAH,BAHAN,ALAT'!$C$6:F2412,4,FALSE)</f>
        <v>100000</v>
      </c>
      <c r="G2502" s="84">
        <f t="shared" si="311"/>
        <v>10000</v>
      </c>
    </row>
    <row r="2503" spans="1:7">
      <c r="A2503" s="8">
        <v>3</v>
      </c>
      <c r="B2503" s="1" t="s">
        <v>10</v>
      </c>
      <c r="C2503" s="8" t="s">
        <v>11</v>
      </c>
      <c r="D2503" s="9" t="s">
        <v>8</v>
      </c>
      <c r="E2503" s="10" t="s">
        <v>80</v>
      </c>
      <c r="F2503" s="83">
        <f>VLOOKUP(B2503,'HSD UPAH,BAHAN,ALAT'!$C$6:F2413,4,FALSE)</f>
        <v>120000</v>
      </c>
      <c r="G2503" s="84">
        <f t="shared" si="311"/>
        <v>6000</v>
      </c>
    </row>
    <row r="2504" spans="1:7">
      <c r="A2504" s="8">
        <v>4</v>
      </c>
      <c r="B2504" s="1" t="s">
        <v>13</v>
      </c>
      <c r="C2504" s="8" t="s">
        <v>14</v>
      </c>
      <c r="D2504" s="9" t="s">
        <v>8</v>
      </c>
      <c r="E2504" s="10" t="s">
        <v>81</v>
      </c>
      <c r="F2504" s="83">
        <f>VLOOKUP(B2504,'HSD UPAH,BAHAN,ALAT'!$C$6:F2414,4,FALSE)</f>
        <v>100000</v>
      </c>
      <c r="G2504" s="84">
        <f t="shared" si="311"/>
        <v>1670</v>
      </c>
    </row>
    <row r="2505" spans="1:7">
      <c r="A2505" s="261" t="s">
        <v>420</v>
      </c>
      <c r="B2505" s="261"/>
      <c r="C2505" s="261"/>
      <c r="D2505" s="261"/>
      <c r="E2505" s="261"/>
      <c r="F2505" s="261"/>
      <c r="G2505" s="85">
        <f>SUM(G2501:G2504)</f>
        <v>27670</v>
      </c>
    </row>
    <row r="2506" spans="1:7">
      <c r="A2506" s="8" t="s">
        <v>16</v>
      </c>
      <c r="B2506" s="1" t="s">
        <v>17</v>
      </c>
      <c r="C2506" s="8"/>
      <c r="D2506" s="9"/>
      <c r="E2506" s="10"/>
      <c r="F2506" s="3"/>
      <c r="G2506" s="3"/>
    </row>
    <row r="2507" spans="1:7" ht="30">
      <c r="A2507" s="17" t="s">
        <v>208</v>
      </c>
      <c r="B2507" s="5" t="s">
        <v>318</v>
      </c>
      <c r="C2507" s="8"/>
      <c r="D2507" s="12" t="s">
        <v>86</v>
      </c>
      <c r="E2507" s="7" t="s">
        <v>87</v>
      </c>
      <c r="F2507" s="83">
        <f>VLOOKUP(B2507,'HSD UPAH,BAHAN,ALAT'!$C$6:F2417,4,FALSE)</f>
        <v>10000</v>
      </c>
      <c r="G2507" s="84">
        <f t="shared" ref="G2507:G2515" si="312">E2507*F2507</f>
        <v>10500</v>
      </c>
    </row>
    <row r="2508" spans="1:7">
      <c r="A2508" s="8">
        <v>2</v>
      </c>
      <c r="B2508" s="1" t="s">
        <v>18</v>
      </c>
      <c r="C2508" s="8"/>
      <c r="D2508" s="9" t="s">
        <v>19</v>
      </c>
      <c r="E2508" s="10" t="s">
        <v>64</v>
      </c>
      <c r="F2508" s="83">
        <f>VLOOKUP(B2508,'HSD UPAH,BAHAN,ALAT'!$C$6:F2418,4,FALSE)</f>
        <v>10000</v>
      </c>
      <c r="G2508" s="84">
        <f t="shared" si="312"/>
        <v>200</v>
      </c>
    </row>
    <row r="2509" spans="1:7">
      <c r="A2509" s="8">
        <v>3</v>
      </c>
      <c r="B2509" s="1" t="s">
        <v>21</v>
      </c>
      <c r="C2509" s="8"/>
      <c r="D2509" s="9"/>
      <c r="E2509" s="10"/>
      <c r="F2509" s="83"/>
      <c r="G2509" s="84">
        <f t="shared" si="312"/>
        <v>0</v>
      </c>
    </row>
    <row r="2510" spans="1:7">
      <c r="A2510" s="8" t="s">
        <v>22</v>
      </c>
      <c r="B2510" s="1" t="s">
        <v>82</v>
      </c>
      <c r="C2510" s="8"/>
      <c r="D2510" s="9" t="s">
        <v>24</v>
      </c>
      <c r="E2510" s="10" t="s">
        <v>67</v>
      </c>
      <c r="F2510" s="83">
        <f>VLOOKUP(B2510,'HSD UPAH,BAHAN,ALAT'!$C$6:F2420,4,FALSE)</f>
        <v>10000</v>
      </c>
      <c r="G2510" s="84">
        <f t="shared" si="312"/>
        <v>180000</v>
      </c>
    </row>
    <row r="2511" spans="1:7">
      <c r="A2511" s="8" t="s">
        <v>30</v>
      </c>
      <c r="B2511" s="1" t="s">
        <v>56</v>
      </c>
      <c r="C2511" s="8"/>
      <c r="D2511" s="9" t="s">
        <v>24</v>
      </c>
      <c r="E2511" s="10" t="s">
        <v>57</v>
      </c>
      <c r="F2511" s="83">
        <f>VLOOKUP(B2511,'HSD UPAH,BAHAN,ALAT'!$C$6:F2421,4,FALSE)</f>
        <v>10000</v>
      </c>
      <c r="G2511" s="84">
        <f t="shared" si="312"/>
        <v>100000</v>
      </c>
    </row>
    <row r="2512" spans="1:7">
      <c r="A2512" s="8">
        <v>4</v>
      </c>
      <c r="B2512" s="1" t="s">
        <v>26</v>
      </c>
      <c r="C2512" s="8"/>
      <c r="D2512" s="9"/>
      <c r="E2512" s="10"/>
      <c r="F2512" s="83"/>
      <c r="G2512" s="84">
        <f t="shared" si="312"/>
        <v>0</v>
      </c>
    </row>
    <row r="2513" spans="1:7">
      <c r="A2513" s="8" t="s">
        <v>22</v>
      </c>
      <c r="B2513" s="1" t="s">
        <v>27</v>
      </c>
      <c r="C2513" s="8"/>
      <c r="D2513" s="9" t="s">
        <v>28</v>
      </c>
      <c r="E2513" s="10" t="s">
        <v>88</v>
      </c>
      <c r="F2513" s="83">
        <f>VLOOKUP(B2513,'HSD UPAH,BAHAN,ALAT'!$C$6:F2423,4,FALSE)</f>
        <v>10000</v>
      </c>
      <c r="G2513" s="84">
        <f t="shared" si="312"/>
        <v>2440</v>
      </c>
    </row>
    <row r="2514" spans="1:7">
      <c r="A2514" s="8" t="s">
        <v>30</v>
      </c>
      <c r="B2514" s="1" t="s">
        <v>31</v>
      </c>
      <c r="C2514" s="8"/>
      <c r="D2514" s="9" t="s">
        <v>28</v>
      </c>
      <c r="E2514" s="10" t="s">
        <v>89</v>
      </c>
      <c r="F2514" s="83">
        <f>VLOOKUP(B2514,'HSD UPAH,BAHAN,ALAT'!$C$6:F2424,4,FALSE)</f>
        <v>10000</v>
      </c>
      <c r="G2514" s="84">
        <f t="shared" si="312"/>
        <v>650</v>
      </c>
    </row>
    <row r="2515" spans="1:7">
      <c r="A2515" s="8" t="s">
        <v>33</v>
      </c>
      <c r="B2515" s="1" t="s">
        <v>34</v>
      </c>
      <c r="C2515" s="8"/>
      <c r="D2515" s="9" t="s">
        <v>28</v>
      </c>
      <c r="E2515" s="10" t="s">
        <v>90</v>
      </c>
      <c r="F2515" s="83">
        <f>VLOOKUP(B2515,'HSD UPAH,BAHAN,ALAT'!$C$6:F2425,4,FALSE)</f>
        <v>10000</v>
      </c>
      <c r="G2515" s="84">
        <f t="shared" si="312"/>
        <v>160</v>
      </c>
    </row>
    <row r="2516" spans="1:7">
      <c r="A2516" s="261" t="s">
        <v>421</v>
      </c>
      <c r="B2516" s="261"/>
      <c r="C2516" s="261"/>
      <c r="D2516" s="261"/>
      <c r="E2516" s="261"/>
      <c r="F2516" s="261"/>
      <c r="G2516" s="85">
        <f>SUM(G2507:G2515)</f>
        <v>293950</v>
      </c>
    </row>
    <row r="2517" spans="1:7">
      <c r="A2517" s="8" t="s">
        <v>36</v>
      </c>
      <c r="B2517" s="1" t="s">
        <v>37</v>
      </c>
      <c r="C2517" s="8"/>
      <c r="D2517" s="9"/>
      <c r="E2517" s="10"/>
      <c r="F2517" s="3"/>
      <c r="G2517" s="3"/>
    </row>
    <row r="2518" spans="1:7">
      <c r="A2518" s="8">
        <v>1</v>
      </c>
      <c r="B2518" s="1" t="s">
        <v>71</v>
      </c>
      <c r="C2518" s="8"/>
      <c r="D2518" s="9" t="s">
        <v>72</v>
      </c>
      <c r="E2518" s="10" t="s">
        <v>91</v>
      </c>
      <c r="F2518" s="83">
        <f>VLOOKUP(B2518,'HSD UPAH,BAHAN,ALAT'!$C$6:F2428,4,FALSE)</f>
        <v>10000</v>
      </c>
      <c r="G2518" s="84">
        <f t="shared" ref="G2518" si="313">E2518*F2518</f>
        <v>7000</v>
      </c>
    </row>
    <row r="2519" spans="1:7">
      <c r="A2519" s="263" t="s">
        <v>419</v>
      </c>
      <c r="B2519" s="263"/>
      <c r="C2519" s="263"/>
      <c r="D2519" s="263"/>
      <c r="E2519" s="263"/>
      <c r="F2519" s="263"/>
      <c r="G2519" s="80">
        <f>SUM(G2518)</f>
        <v>7000</v>
      </c>
    </row>
    <row r="2520" spans="1:7">
      <c r="A2520" s="81" t="s">
        <v>38</v>
      </c>
      <c r="B2520" s="262" t="s">
        <v>39</v>
      </c>
      <c r="C2520" s="262"/>
      <c r="D2520" s="262"/>
      <c r="E2520" s="262"/>
      <c r="F2520" s="262"/>
      <c r="G2520" s="80">
        <f>SUM(G2501:G2519)/2</f>
        <v>328620</v>
      </c>
    </row>
    <row r="2521" spans="1:7">
      <c r="A2521" s="81" t="s">
        <v>40</v>
      </c>
      <c r="B2521" s="262" t="s">
        <v>180</v>
      </c>
      <c r="C2521" s="262"/>
      <c r="D2521" s="262"/>
      <c r="E2521" s="262"/>
      <c r="F2521" s="82">
        <v>0.1</v>
      </c>
      <c r="G2521" s="80">
        <f>G2520*F2521</f>
        <v>32862</v>
      </c>
    </row>
    <row r="2522" spans="1:7">
      <c r="A2522" s="81" t="s">
        <v>41</v>
      </c>
      <c r="B2522" s="262" t="s">
        <v>42</v>
      </c>
      <c r="C2522" s="262"/>
      <c r="D2522" s="262"/>
      <c r="E2522" s="262"/>
      <c r="F2522" s="262"/>
      <c r="G2522" s="80">
        <f>G2520+G2521</f>
        <v>361482</v>
      </c>
    </row>
    <row r="2523" spans="1:7">
      <c r="A2523" s="90"/>
      <c r="B2523" s="91"/>
      <c r="C2523" s="91"/>
      <c r="D2523" s="91"/>
      <c r="E2523" s="91"/>
      <c r="F2523" s="91"/>
      <c r="G2523" s="92"/>
    </row>
    <row r="2524" spans="1:7">
      <c r="A2524" s="4" t="s">
        <v>582</v>
      </c>
      <c r="B2524" s="91"/>
      <c r="C2524" s="91"/>
      <c r="D2524" s="91"/>
      <c r="E2524" s="91"/>
      <c r="F2524" s="91"/>
      <c r="G2524" s="92"/>
    </row>
    <row r="2525" spans="1:7" ht="30">
      <c r="A2525" s="79" t="s">
        <v>0</v>
      </c>
      <c r="B2525" s="79" t="s">
        <v>1</v>
      </c>
      <c r="C2525" s="79" t="s">
        <v>207</v>
      </c>
      <c r="D2525" s="79" t="s">
        <v>3</v>
      </c>
      <c r="E2525" s="79" t="s">
        <v>2</v>
      </c>
      <c r="F2525" s="79" t="s">
        <v>417</v>
      </c>
      <c r="G2525" s="79" t="s">
        <v>418</v>
      </c>
    </row>
    <row r="2526" spans="1:7">
      <c r="A2526" s="8" t="s">
        <v>4</v>
      </c>
      <c r="B2526" s="1" t="s">
        <v>5</v>
      </c>
      <c r="C2526" s="8"/>
      <c r="D2526" s="9"/>
      <c r="E2526" s="10"/>
      <c r="F2526" s="3"/>
      <c r="G2526" s="3"/>
    </row>
    <row r="2527" spans="1:7">
      <c r="A2527" s="8">
        <v>1</v>
      </c>
      <c r="B2527" s="1" t="s">
        <v>48</v>
      </c>
      <c r="C2527" s="8" t="s">
        <v>49</v>
      </c>
      <c r="D2527" s="9" t="s">
        <v>8</v>
      </c>
      <c r="E2527" s="10" t="s">
        <v>79</v>
      </c>
      <c r="F2527" s="83">
        <f>VLOOKUP(B2527,'HSD UPAH,BAHAN,ALAT'!$C$6:F2435,4,FALSE)</f>
        <v>100000</v>
      </c>
      <c r="G2527" s="84">
        <f t="shared" ref="G2527:G2530" si="314">E2527*F2527</f>
        <v>10000</v>
      </c>
    </row>
    <row r="2528" spans="1:7">
      <c r="A2528" s="8">
        <v>2</v>
      </c>
      <c r="B2528" s="1" t="s">
        <v>6</v>
      </c>
      <c r="C2528" s="8" t="s">
        <v>7</v>
      </c>
      <c r="D2528" s="9" t="s">
        <v>8</v>
      </c>
      <c r="E2528" s="10" t="s">
        <v>79</v>
      </c>
      <c r="F2528" s="83">
        <f>VLOOKUP(B2528,'HSD UPAH,BAHAN,ALAT'!$C$6:F2436,4,FALSE)</f>
        <v>100000</v>
      </c>
      <c r="G2528" s="84">
        <f t="shared" si="314"/>
        <v>10000</v>
      </c>
    </row>
    <row r="2529" spans="1:7">
      <c r="A2529" s="8">
        <v>3</v>
      </c>
      <c r="B2529" s="1" t="s">
        <v>10</v>
      </c>
      <c r="C2529" s="8" t="s">
        <v>11</v>
      </c>
      <c r="D2529" s="9" t="s">
        <v>8</v>
      </c>
      <c r="E2529" s="10" t="s">
        <v>80</v>
      </c>
      <c r="F2529" s="83">
        <f>VLOOKUP(B2529,'HSD UPAH,BAHAN,ALAT'!$C$6:F2437,4,FALSE)</f>
        <v>120000</v>
      </c>
      <c r="G2529" s="84">
        <f t="shared" si="314"/>
        <v>6000</v>
      </c>
    </row>
    <row r="2530" spans="1:7">
      <c r="A2530" s="8">
        <v>4</v>
      </c>
      <c r="B2530" s="1" t="s">
        <v>13</v>
      </c>
      <c r="C2530" s="8" t="s">
        <v>14</v>
      </c>
      <c r="D2530" s="9" t="s">
        <v>8</v>
      </c>
      <c r="E2530" s="10" t="s">
        <v>81</v>
      </c>
      <c r="F2530" s="83">
        <f>VLOOKUP(B2530,'HSD UPAH,BAHAN,ALAT'!$C$6:F2438,4,FALSE)</f>
        <v>100000</v>
      </c>
      <c r="G2530" s="84">
        <f t="shared" si="314"/>
        <v>1670</v>
      </c>
    </row>
    <row r="2531" spans="1:7">
      <c r="A2531" s="261" t="s">
        <v>420</v>
      </c>
      <c r="B2531" s="261"/>
      <c r="C2531" s="261"/>
      <c r="D2531" s="261"/>
      <c r="E2531" s="261"/>
      <c r="F2531" s="261"/>
      <c r="G2531" s="85">
        <f>SUM(G2527:G2530)</f>
        <v>27670</v>
      </c>
    </row>
    <row r="2532" spans="1:7">
      <c r="A2532" s="8" t="s">
        <v>16</v>
      </c>
      <c r="B2532" s="1" t="s">
        <v>17</v>
      </c>
      <c r="C2532" s="8"/>
      <c r="D2532" s="9"/>
      <c r="E2532" s="10"/>
      <c r="F2532" s="3"/>
      <c r="G2532" s="3"/>
    </row>
    <row r="2533" spans="1:7" ht="30">
      <c r="A2533" s="17" t="s">
        <v>208</v>
      </c>
      <c r="B2533" s="5" t="s">
        <v>319</v>
      </c>
      <c r="C2533" s="17"/>
      <c r="D2533" s="12" t="s">
        <v>86</v>
      </c>
      <c r="E2533" s="7" t="s">
        <v>87</v>
      </c>
      <c r="F2533" s="83">
        <f>VLOOKUP(B2533,'HSD UPAH,BAHAN,ALAT'!$C$6:F2441,4,FALSE)</f>
        <v>10000</v>
      </c>
      <c r="G2533" s="84">
        <f t="shared" ref="G2533:G2541" si="315">E2533*F2533</f>
        <v>10500</v>
      </c>
    </row>
    <row r="2534" spans="1:7">
      <c r="A2534" s="8">
        <v>2</v>
      </c>
      <c r="B2534" s="1" t="s">
        <v>18</v>
      </c>
      <c r="C2534" s="8"/>
      <c r="D2534" s="9" t="s">
        <v>19</v>
      </c>
      <c r="E2534" s="10" t="s">
        <v>64</v>
      </c>
      <c r="F2534" s="83">
        <f>VLOOKUP(B2534,'HSD UPAH,BAHAN,ALAT'!$C$6:F2442,4,FALSE)</f>
        <v>10000</v>
      </c>
      <c r="G2534" s="84">
        <f t="shared" si="315"/>
        <v>200</v>
      </c>
    </row>
    <row r="2535" spans="1:7">
      <c r="A2535" s="8">
        <v>3</v>
      </c>
      <c r="B2535" s="1" t="s">
        <v>21</v>
      </c>
      <c r="C2535" s="8"/>
      <c r="D2535" s="9"/>
      <c r="E2535" s="10"/>
      <c r="F2535" s="83"/>
      <c r="G2535" s="84">
        <f t="shared" si="315"/>
        <v>0</v>
      </c>
    </row>
    <row r="2536" spans="1:7">
      <c r="A2536" s="8" t="s">
        <v>22</v>
      </c>
      <c r="B2536" s="1" t="s">
        <v>82</v>
      </c>
      <c r="C2536" s="8"/>
      <c r="D2536" s="9" t="s">
        <v>24</v>
      </c>
      <c r="E2536" s="10" t="s">
        <v>67</v>
      </c>
      <c r="F2536" s="83">
        <f>VLOOKUP(B2536,'HSD UPAH,BAHAN,ALAT'!$C$6:F2444,4,FALSE)</f>
        <v>10000</v>
      </c>
      <c r="G2536" s="84">
        <f t="shared" si="315"/>
        <v>180000</v>
      </c>
    </row>
    <row r="2537" spans="1:7">
      <c r="A2537" s="8" t="s">
        <v>30</v>
      </c>
      <c r="B2537" s="1" t="s">
        <v>56</v>
      </c>
      <c r="C2537" s="8"/>
      <c r="D2537" s="9" t="s">
        <v>24</v>
      </c>
      <c r="E2537" s="10" t="s">
        <v>57</v>
      </c>
      <c r="F2537" s="83">
        <f>VLOOKUP(B2537,'HSD UPAH,BAHAN,ALAT'!$C$6:F2445,4,FALSE)</f>
        <v>10000</v>
      </c>
      <c r="G2537" s="84">
        <f t="shared" si="315"/>
        <v>100000</v>
      </c>
    </row>
    <row r="2538" spans="1:7">
      <c r="A2538" s="8">
        <v>4</v>
      </c>
      <c r="B2538" s="1" t="s">
        <v>26</v>
      </c>
      <c r="C2538" s="8"/>
      <c r="D2538" s="9"/>
      <c r="E2538" s="10"/>
      <c r="F2538" s="83"/>
      <c r="G2538" s="84">
        <f t="shared" si="315"/>
        <v>0</v>
      </c>
    </row>
    <row r="2539" spans="1:7">
      <c r="A2539" s="8" t="s">
        <v>22</v>
      </c>
      <c r="B2539" s="1" t="s">
        <v>27</v>
      </c>
      <c r="C2539" s="8"/>
      <c r="D2539" s="9" t="s">
        <v>28</v>
      </c>
      <c r="E2539" s="10" t="s">
        <v>88</v>
      </c>
      <c r="F2539" s="83">
        <f>VLOOKUP(B2539,'HSD UPAH,BAHAN,ALAT'!$C$6:F2447,4,FALSE)</f>
        <v>10000</v>
      </c>
      <c r="G2539" s="84">
        <f t="shared" si="315"/>
        <v>2440</v>
      </c>
    </row>
    <row r="2540" spans="1:7">
      <c r="A2540" s="8" t="s">
        <v>30</v>
      </c>
      <c r="B2540" s="1" t="s">
        <v>31</v>
      </c>
      <c r="C2540" s="8"/>
      <c r="D2540" s="9" t="s">
        <v>28</v>
      </c>
      <c r="E2540" s="10" t="s">
        <v>89</v>
      </c>
      <c r="F2540" s="83">
        <f>VLOOKUP(B2540,'HSD UPAH,BAHAN,ALAT'!$C$6:F2448,4,FALSE)</f>
        <v>10000</v>
      </c>
      <c r="G2540" s="84">
        <f t="shared" si="315"/>
        <v>650</v>
      </c>
    </row>
    <row r="2541" spans="1:7">
      <c r="A2541" s="8" t="s">
        <v>33</v>
      </c>
      <c r="B2541" s="1" t="s">
        <v>34</v>
      </c>
      <c r="C2541" s="8"/>
      <c r="D2541" s="9" t="s">
        <v>28</v>
      </c>
      <c r="E2541" s="10" t="s">
        <v>90</v>
      </c>
      <c r="F2541" s="83">
        <f>VLOOKUP(B2541,'HSD UPAH,BAHAN,ALAT'!$C$6:F2449,4,FALSE)</f>
        <v>10000</v>
      </c>
      <c r="G2541" s="84">
        <f t="shared" si="315"/>
        <v>160</v>
      </c>
    </row>
    <row r="2542" spans="1:7">
      <c r="A2542" s="261" t="s">
        <v>421</v>
      </c>
      <c r="B2542" s="261"/>
      <c r="C2542" s="261"/>
      <c r="D2542" s="261"/>
      <c r="E2542" s="261"/>
      <c r="F2542" s="261"/>
      <c r="G2542" s="85">
        <f>SUM(G2533:G2541)</f>
        <v>293950</v>
      </c>
    </row>
    <row r="2543" spans="1:7">
      <c r="A2543" s="8" t="s">
        <v>36</v>
      </c>
      <c r="B2543" s="1" t="s">
        <v>37</v>
      </c>
      <c r="C2543" s="8"/>
      <c r="D2543" s="9"/>
      <c r="E2543" s="10"/>
      <c r="F2543" s="3"/>
      <c r="G2543" s="3"/>
    </row>
    <row r="2544" spans="1:7">
      <c r="A2544" s="8">
        <v>1</v>
      </c>
      <c r="B2544" s="1" t="s">
        <v>71</v>
      </c>
      <c r="C2544" s="8"/>
      <c r="D2544" s="9" t="s">
        <v>72</v>
      </c>
      <c r="E2544" s="10" t="s">
        <v>91</v>
      </c>
      <c r="F2544" s="83">
        <f>VLOOKUP(B2544,'HSD UPAH,BAHAN,ALAT'!$C$6:F2452,4,FALSE)</f>
        <v>10000</v>
      </c>
      <c r="G2544" s="84">
        <f t="shared" ref="G2544" si="316">E2544*F2544</f>
        <v>7000</v>
      </c>
    </row>
    <row r="2545" spans="1:7">
      <c r="A2545" s="263" t="s">
        <v>419</v>
      </c>
      <c r="B2545" s="263"/>
      <c r="C2545" s="263"/>
      <c r="D2545" s="263"/>
      <c r="E2545" s="263"/>
      <c r="F2545" s="263"/>
      <c r="G2545" s="80">
        <f>SUM(G2544)</f>
        <v>7000</v>
      </c>
    </row>
    <row r="2546" spans="1:7">
      <c r="A2546" s="81" t="s">
        <v>38</v>
      </c>
      <c r="B2546" s="262" t="s">
        <v>39</v>
      </c>
      <c r="C2546" s="262"/>
      <c r="D2546" s="262"/>
      <c r="E2546" s="262"/>
      <c r="F2546" s="262"/>
      <c r="G2546" s="80">
        <f>SUM(G2527:G2545)/2</f>
        <v>328620</v>
      </c>
    </row>
    <row r="2547" spans="1:7">
      <c r="A2547" s="81" t="s">
        <v>40</v>
      </c>
      <c r="B2547" s="262" t="s">
        <v>180</v>
      </c>
      <c r="C2547" s="262"/>
      <c r="D2547" s="262"/>
      <c r="E2547" s="262"/>
      <c r="F2547" s="82">
        <v>0.1</v>
      </c>
      <c r="G2547" s="80">
        <f>G2546*F2547</f>
        <v>32862</v>
      </c>
    </row>
    <row r="2548" spans="1:7">
      <c r="A2548" s="81" t="s">
        <v>41</v>
      </c>
      <c r="B2548" s="262" t="s">
        <v>42</v>
      </c>
      <c r="C2548" s="262"/>
      <c r="D2548" s="262"/>
      <c r="E2548" s="262"/>
      <c r="F2548" s="262"/>
      <c r="G2548" s="80">
        <f>G2546+G2547</f>
        <v>361482</v>
      </c>
    </row>
    <row r="2549" spans="1:7">
      <c r="A2549" s="90"/>
      <c r="B2549" s="91"/>
      <c r="C2549" s="91"/>
      <c r="D2549" s="91"/>
      <c r="E2549" s="91"/>
      <c r="F2549" s="91"/>
      <c r="G2549" s="92"/>
    </row>
    <row r="2550" spans="1:7" s="185" customFormat="1">
      <c r="A2550" s="214" t="s">
        <v>428</v>
      </c>
      <c r="B2550" s="215"/>
      <c r="C2550" s="215"/>
      <c r="D2550" s="215"/>
      <c r="E2550" s="215"/>
      <c r="F2550" s="215"/>
      <c r="G2550" s="216"/>
    </row>
    <row r="2551" spans="1:7" s="183" customFormat="1">
      <c r="A2551" s="213" t="s">
        <v>757</v>
      </c>
      <c r="B2551" s="211"/>
      <c r="C2551" s="211"/>
      <c r="D2551" s="211"/>
      <c r="E2551" s="211"/>
      <c r="F2551" s="211"/>
      <c r="G2551" s="212"/>
    </row>
    <row r="2552" spans="1:7" s="183" customFormat="1">
      <c r="A2552" s="213" t="s">
        <v>758</v>
      </c>
      <c r="B2552" s="211"/>
      <c r="C2552" s="211"/>
      <c r="D2552" s="211"/>
      <c r="E2552" s="211"/>
      <c r="F2552" s="211"/>
      <c r="G2552" s="212"/>
    </row>
    <row r="2553" spans="1:7" s="183" customFormat="1" ht="30">
      <c r="A2553" s="193" t="s">
        <v>0</v>
      </c>
      <c r="B2553" s="193" t="s">
        <v>1</v>
      </c>
      <c r="C2553" s="193" t="s">
        <v>207</v>
      </c>
      <c r="D2553" s="193" t="s">
        <v>3</v>
      </c>
      <c r="E2553" s="193" t="s">
        <v>2</v>
      </c>
      <c r="F2553" s="193" t="s">
        <v>417</v>
      </c>
      <c r="G2553" s="193" t="s">
        <v>418</v>
      </c>
    </row>
    <row r="2554" spans="1:7" s="183" customFormat="1">
      <c r="A2554" s="194" t="s">
        <v>4</v>
      </c>
      <c r="B2554" s="195" t="s">
        <v>5</v>
      </c>
      <c r="C2554" s="194"/>
      <c r="D2554" s="196"/>
      <c r="E2554" s="199"/>
      <c r="F2554" s="217"/>
      <c r="G2554" s="217"/>
    </row>
    <row r="2555" spans="1:7" s="183" customFormat="1">
      <c r="A2555" s="194">
        <v>1</v>
      </c>
      <c r="B2555" s="195" t="s">
        <v>6</v>
      </c>
      <c r="C2555" s="194" t="s">
        <v>7</v>
      </c>
      <c r="D2555" s="196" t="s">
        <v>8</v>
      </c>
      <c r="E2555" s="199">
        <v>0.01</v>
      </c>
      <c r="F2555" s="200">
        <f>VLOOKUP(B2555,'HSD UPAH,BAHAN,ALAT'!$C$6:F2460,4,FALSE)</f>
        <v>100000</v>
      </c>
      <c r="G2555" s="201">
        <f t="shared" ref="G2555:G2557" si="317">E2555*F2555</f>
        <v>1000</v>
      </c>
    </row>
    <row r="2556" spans="1:7" s="183" customFormat="1">
      <c r="A2556" s="194">
        <v>2</v>
      </c>
      <c r="B2556" s="195" t="s">
        <v>10</v>
      </c>
      <c r="C2556" s="194" t="s">
        <v>11</v>
      </c>
      <c r="D2556" s="196" t="s">
        <v>8</v>
      </c>
      <c r="E2556" s="199">
        <v>2E-3</v>
      </c>
      <c r="F2556" s="200">
        <f>VLOOKUP(B2556,'HSD UPAH,BAHAN,ALAT'!$C$6:F2461,4,FALSE)</f>
        <v>120000</v>
      </c>
      <c r="G2556" s="201">
        <f t="shared" si="317"/>
        <v>240</v>
      </c>
    </row>
    <row r="2557" spans="1:7" s="183" customFormat="1">
      <c r="A2557" s="194">
        <v>3</v>
      </c>
      <c r="B2557" s="195" t="s">
        <v>13</v>
      </c>
      <c r="C2557" s="194" t="s">
        <v>14</v>
      </c>
      <c r="D2557" s="196" t="s">
        <v>8</v>
      </c>
      <c r="E2557" s="199">
        <v>6.9999999999999999E-4</v>
      </c>
      <c r="F2557" s="200">
        <f>VLOOKUP(B2557,'HSD UPAH,BAHAN,ALAT'!$C$6:F2462,4,FALSE)</f>
        <v>100000</v>
      </c>
      <c r="G2557" s="201">
        <f t="shared" si="317"/>
        <v>70</v>
      </c>
    </row>
    <row r="2558" spans="1:7" s="183" customFormat="1">
      <c r="A2558" s="260" t="s">
        <v>420</v>
      </c>
      <c r="B2558" s="260"/>
      <c r="C2558" s="260"/>
      <c r="D2558" s="260"/>
      <c r="E2558" s="260"/>
      <c r="F2558" s="260"/>
      <c r="G2558" s="202">
        <f>SUM(G2555:G2557)</f>
        <v>1310</v>
      </c>
    </row>
    <row r="2559" spans="1:7" s="183" customFormat="1">
      <c r="A2559" s="194" t="s">
        <v>16</v>
      </c>
      <c r="B2559" s="195" t="s">
        <v>17</v>
      </c>
      <c r="C2559" s="194"/>
      <c r="D2559" s="196"/>
      <c r="E2559" s="199"/>
      <c r="F2559" s="217"/>
      <c r="G2559" s="217"/>
    </row>
    <row r="2560" spans="1:7" s="183" customFormat="1">
      <c r="A2560" s="194">
        <v>1</v>
      </c>
      <c r="B2560" s="195" t="s">
        <v>759</v>
      </c>
      <c r="C2560" s="194"/>
      <c r="D2560" s="196" t="s">
        <v>86</v>
      </c>
      <c r="E2560" s="199" t="s">
        <v>87</v>
      </c>
      <c r="F2560" s="200">
        <f>VLOOKUP(B2560,'HSD UPAH,BAHAN,ALAT'!$C$6:F2465,4,FALSE)</f>
        <v>10000</v>
      </c>
      <c r="G2560" s="201">
        <f t="shared" ref="G2560:G2565" si="318">E2560*F2560</f>
        <v>10500</v>
      </c>
    </row>
    <row r="2561" spans="1:7" s="183" customFormat="1">
      <c r="A2561" s="194">
        <v>2</v>
      </c>
      <c r="B2561" s="195" t="s">
        <v>18</v>
      </c>
      <c r="C2561" s="194"/>
      <c r="D2561" s="196" t="s">
        <v>19</v>
      </c>
      <c r="E2561" s="199" t="s">
        <v>20</v>
      </c>
      <c r="F2561" s="200">
        <f>VLOOKUP(B2561,'HSD UPAH,BAHAN,ALAT'!$C$6:F2466,4,FALSE)</f>
        <v>10000</v>
      </c>
      <c r="G2561" s="201">
        <f t="shared" si="318"/>
        <v>50</v>
      </c>
    </row>
    <row r="2562" spans="1:7" s="183" customFormat="1">
      <c r="A2562" s="194">
        <v>3</v>
      </c>
      <c r="B2562" s="195" t="s">
        <v>26</v>
      </c>
      <c r="C2562" s="194"/>
      <c r="D2562" s="196"/>
      <c r="E2562" s="199"/>
      <c r="F2562" s="200"/>
      <c r="G2562" s="201">
        <f t="shared" si="318"/>
        <v>0</v>
      </c>
    </row>
    <row r="2563" spans="1:7" s="183" customFormat="1">
      <c r="A2563" s="194" t="s">
        <v>22</v>
      </c>
      <c r="B2563" s="195" t="s">
        <v>27</v>
      </c>
      <c r="C2563" s="194"/>
      <c r="D2563" s="196" t="s">
        <v>28</v>
      </c>
      <c r="E2563" s="199">
        <v>1.0999999999999999E-2</v>
      </c>
      <c r="F2563" s="200">
        <f>VLOOKUP(B2563,'HSD UPAH,BAHAN,ALAT'!$C$6:F2471,4,FALSE)</f>
        <v>10000</v>
      </c>
      <c r="G2563" s="201">
        <f t="shared" si="318"/>
        <v>110</v>
      </c>
    </row>
    <row r="2564" spans="1:7" s="183" customFormat="1">
      <c r="A2564" s="194" t="s">
        <v>30</v>
      </c>
      <c r="B2564" s="195" t="s">
        <v>31</v>
      </c>
      <c r="C2564" s="194"/>
      <c r="D2564" s="196" t="s">
        <v>28</v>
      </c>
      <c r="E2564" s="199">
        <v>3.0000000000000001E-3</v>
      </c>
      <c r="F2564" s="200">
        <f>VLOOKUP(B2564,'HSD UPAH,BAHAN,ALAT'!$C$6:F2472,4,FALSE)</f>
        <v>10000</v>
      </c>
      <c r="G2564" s="201">
        <f t="shared" si="318"/>
        <v>30</v>
      </c>
    </row>
    <row r="2565" spans="1:7" s="183" customFormat="1">
      <c r="A2565" s="194" t="s">
        <v>33</v>
      </c>
      <c r="B2565" s="195" t="s">
        <v>34</v>
      </c>
      <c r="C2565" s="194"/>
      <c r="D2565" s="196" t="s">
        <v>28</v>
      </c>
      <c r="E2565" s="199">
        <v>1E-3</v>
      </c>
      <c r="F2565" s="200">
        <f>VLOOKUP(B2565,'HSD UPAH,BAHAN,ALAT'!$C$6:F2473,4,FALSE)</f>
        <v>10000</v>
      </c>
      <c r="G2565" s="201">
        <f t="shared" si="318"/>
        <v>10</v>
      </c>
    </row>
    <row r="2566" spans="1:7" s="183" customFormat="1">
      <c r="A2566" s="260" t="s">
        <v>421</v>
      </c>
      <c r="B2566" s="260"/>
      <c r="C2566" s="260"/>
      <c r="D2566" s="260"/>
      <c r="E2566" s="260"/>
      <c r="F2566" s="260"/>
      <c r="G2566" s="202">
        <f>SUM(G2560:G2565)</f>
        <v>10700</v>
      </c>
    </row>
    <row r="2567" spans="1:7" s="183" customFormat="1">
      <c r="A2567" s="194" t="s">
        <v>36</v>
      </c>
      <c r="B2567" s="195" t="s">
        <v>37</v>
      </c>
      <c r="C2567" s="194"/>
      <c r="D2567" s="196"/>
      <c r="E2567" s="199"/>
      <c r="F2567" s="217"/>
      <c r="G2567" s="217"/>
    </row>
    <row r="2568" spans="1:7" s="183" customFormat="1">
      <c r="A2568" s="258" t="s">
        <v>419</v>
      </c>
      <c r="B2568" s="258"/>
      <c r="C2568" s="258"/>
      <c r="D2568" s="258"/>
      <c r="E2568" s="258"/>
      <c r="F2568" s="258"/>
      <c r="G2568" s="207">
        <f>SUM(G2567)</f>
        <v>0</v>
      </c>
    </row>
    <row r="2569" spans="1:7" s="183" customFormat="1">
      <c r="A2569" s="208" t="s">
        <v>38</v>
      </c>
      <c r="B2569" s="259" t="s">
        <v>39</v>
      </c>
      <c r="C2569" s="259"/>
      <c r="D2569" s="259"/>
      <c r="E2569" s="259"/>
      <c r="F2569" s="259"/>
      <c r="G2569" s="207">
        <f>SUM(G2555:G2568)/2</f>
        <v>12010</v>
      </c>
    </row>
    <row r="2570" spans="1:7" s="183" customFormat="1">
      <c r="A2570" s="208" t="s">
        <v>40</v>
      </c>
      <c r="B2570" s="259" t="s">
        <v>180</v>
      </c>
      <c r="C2570" s="259"/>
      <c r="D2570" s="259"/>
      <c r="E2570" s="259"/>
      <c r="F2570" s="209">
        <v>0.1</v>
      </c>
      <c r="G2570" s="207">
        <f>G2569*F2570</f>
        <v>1201</v>
      </c>
    </row>
    <row r="2571" spans="1:7" s="183" customFormat="1">
      <c r="A2571" s="208" t="s">
        <v>41</v>
      </c>
      <c r="B2571" s="259" t="s">
        <v>42</v>
      </c>
      <c r="C2571" s="259"/>
      <c r="D2571" s="259"/>
      <c r="E2571" s="259"/>
      <c r="F2571" s="259"/>
      <c r="G2571" s="207">
        <f>G2569+G2570</f>
        <v>13211</v>
      </c>
    </row>
    <row r="2572" spans="1:7">
      <c r="A2572" s="90"/>
      <c r="B2572" s="91"/>
      <c r="C2572" s="91"/>
      <c r="D2572" s="91"/>
      <c r="E2572" s="91"/>
      <c r="F2572" s="91"/>
      <c r="G2572" s="92"/>
    </row>
    <row r="2573" spans="1:7" s="183" customFormat="1">
      <c r="A2573" s="213" t="s">
        <v>760</v>
      </c>
      <c r="B2573" s="211"/>
      <c r="C2573" s="211"/>
      <c r="D2573" s="211"/>
      <c r="E2573" s="211"/>
      <c r="F2573" s="211"/>
      <c r="G2573" s="212"/>
    </row>
    <row r="2574" spans="1:7" s="183" customFormat="1" ht="30">
      <c r="A2574" s="193" t="s">
        <v>0</v>
      </c>
      <c r="B2574" s="193" t="s">
        <v>1</v>
      </c>
      <c r="C2574" s="193" t="s">
        <v>207</v>
      </c>
      <c r="D2574" s="193" t="s">
        <v>3</v>
      </c>
      <c r="E2574" s="193" t="s">
        <v>2</v>
      </c>
      <c r="F2574" s="193" t="s">
        <v>417</v>
      </c>
      <c r="G2574" s="193" t="s">
        <v>418</v>
      </c>
    </row>
    <row r="2575" spans="1:7" s="183" customFormat="1">
      <c r="A2575" s="194" t="s">
        <v>4</v>
      </c>
      <c r="B2575" s="195" t="s">
        <v>5</v>
      </c>
      <c r="C2575" s="194"/>
      <c r="D2575" s="196"/>
      <c r="E2575" s="199"/>
      <c r="F2575" s="217"/>
      <c r="G2575" s="217"/>
    </row>
    <row r="2576" spans="1:7" s="183" customFormat="1">
      <c r="A2576" s="194">
        <v>1</v>
      </c>
      <c r="B2576" s="195" t="s">
        <v>6</v>
      </c>
      <c r="C2576" s="194" t="s">
        <v>7</v>
      </c>
      <c r="D2576" s="196" t="s">
        <v>8</v>
      </c>
      <c r="E2576" s="199">
        <v>0.01</v>
      </c>
      <c r="F2576" s="200">
        <f>VLOOKUP(B2576,'HSD UPAH,BAHAN,ALAT'!$C$6:F2481,4,FALSE)</f>
        <v>100000</v>
      </c>
      <c r="G2576" s="201">
        <f t="shared" ref="G2576:G2578" si="319">E2576*F2576</f>
        <v>1000</v>
      </c>
    </row>
    <row r="2577" spans="1:7" s="183" customFormat="1">
      <c r="A2577" s="194">
        <v>2</v>
      </c>
      <c r="B2577" s="195" t="s">
        <v>10</v>
      </c>
      <c r="C2577" s="194" t="s">
        <v>11</v>
      </c>
      <c r="D2577" s="196" t="s">
        <v>8</v>
      </c>
      <c r="E2577" s="199">
        <v>2E-3</v>
      </c>
      <c r="F2577" s="200">
        <f>VLOOKUP(B2577,'HSD UPAH,BAHAN,ALAT'!$C$6:F2482,4,FALSE)</f>
        <v>120000</v>
      </c>
      <c r="G2577" s="201">
        <f t="shared" si="319"/>
        <v>240</v>
      </c>
    </row>
    <row r="2578" spans="1:7" s="183" customFormat="1">
      <c r="A2578" s="194">
        <v>3</v>
      </c>
      <c r="B2578" s="195" t="s">
        <v>13</v>
      </c>
      <c r="C2578" s="194" t="s">
        <v>14</v>
      </c>
      <c r="D2578" s="196" t="s">
        <v>8</v>
      </c>
      <c r="E2578" s="199">
        <v>6.9999999999999999E-4</v>
      </c>
      <c r="F2578" s="200">
        <f>VLOOKUP(B2578,'HSD UPAH,BAHAN,ALAT'!$C$6:F2483,4,FALSE)</f>
        <v>100000</v>
      </c>
      <c r="G2578" s="201">
        <f t="shared" si="319"/>
        <v>70</v>
      </c>
    </row>
    <row r="2579" spans="1:7" s="183" customFormat="1">
      <c r="A2579" s="260" t="s">
        <v>420</v>
      </c>
      <c r="B2579" s="260"/>
      <c r="C2579" s="260"/>
      <c r="D2579" s="260"/>
      <c r="E2579" s="260"/>
      <c r="F2579" s="260"/>
      <c r="G2579" s="202">
        <f>SUM(G2576:G2578)</f>
        <v>1310</v>
      </c>
    </row>
    <row r="2580" spans="1:7" s="183" customFormat="1">
      <c r="A2580" s="194" t="s">
        <v>16</v>
      </c>
      <c r="B2580" s="195" t="s">
        <v>17</v>
      </c>
      <c r="C2580" s="194"/>
      <c r="D2580" s="196"/>
      <c r="E2580" s="199"/>
      <c r="F2580" s="217"/>
      <c r="G2580" s="217"/>
    </row>
    <row r="2581" spans="1:7" s="183" customFormat="1">
      <c r="A2581" s="194">
        <v>1</v>
      </c>
      <c r="B2581" s="195" t="s">
        <v>761</v>
      </c>
      <c r="C2581" s="194"/>
      <c r="D2581" s="196" t="s">
        <v>86</v>
      </c>
      <c r="E2581" s="199" t="s">
        <v>87</v>
      </c>
      <c r="F2581" s="200">
        <f>VLOOKUP(B2581,'HSD UPAH,BAHAN,ALAT'!$C$6:F2486,4,FALSE)</f>
        <v>10000</v>
      </c>
      <c r="G2581" s="201">
        <f t="shared" ref="G2581:G2586" si="320">E2581*F2581</f>
        <v>10500</v>
      </c>
    </row>
    <row r="2582" spans="1:7" s="183" customFormat="1">
      <c r="A2582" s="194">
        <v>2</v>
      </c>
      <c r="B2582" s="195" t="s">
        <v>18</v>
      </c>
      <c r="C2582" s="194"/>
      <c r="D2582" s="196" t="s">
        <v>19</v>
      </c>
      <c r="E2582" s="199" t="s">
        <v>20</v>
      </c>
      <c r="F2582" s="200">
        <f>VLOOKUP(B2582,'HSD UPAH,BAHAN,ALAT'!$C$6:F2487,4,FALSE)</f>
        <v>10000</v>
      </c>
      <c r="G2582" s="201">
        <f t="shared" si="320"/>
        <v>50</v>
      </c>
    </row>
    <row r="2583" spans="1:7" s="183" customFormat="1">
      <c r="A2583" s="194">
        <v>3</v>
      </c>
      <c r="B2583" s="195" t="s">
        <v>26</v>
      </c>
      <c r="C2583" s="194"/>
      <c r="D2583" s="196"/>
      <c r="E2583" s="199"/>
      <c r="F2583" s="200"/>
      <c r="G2583" s="201">
        <f t="shared" si="320"/>
        <v>0</v>
      </c>
    </row>
    <row r="2584" spans="1:7" s="183" customFormat="1">
      <c r="A2584" s="194" t="s">
        <v>22</v>
      </c>
      <c r="B2584" s="195" t="s">
        <v>27</v>
      </c>
      <c r="C2584" s="194"/>
      <c r="D2584" s="196" t="s">
        <v>28</v>
      </c>
      <c r="E2584" s="199">
        <v>1.0999999999999999E-2</v>
      </c>
      <c r="F2584" s="200">
        <f>VLOOKUP(B2584,'HSD UPAH,BAHAN,ALAT'!$C$6:F2492,4,FALSE)</f>
        <v>10000</v>
      </c>
      <c r="G2584" s="201">
        <f t="shared" si="320"/>
        <v>110</v>
      </c>
    </row>
    <row r="2585" spans="1:7" s="183" customFormat="1">
      <c r="A2585" s="194" t="s">
        <v>30</v>
      </c>
      <c r="B2585" s="195" t="s">
        <v>31</v>
      </c>
      <c r="C2585" s="194"/>
      <c r="D2585" s="196" t="s">
        <v>28</v>
      </c>
      <c r="E2585" s="199">
        <v>3.0000000000000001E-3</v>
      </c>
      <c r="F2585" s="200">
        <f>VLOOKUP(B2585,'HSD UPAH,BAHAN,ALAT'!$C$6:F2493,4,FALSE)</f>
        <v>10000</v>
      </c>
      <c r="G2585" s="201">
        <f t="shared" si="320"/>
        <v>30</v>
      </c>
    </row>
    <row r="2586" spans="1:7" s="183" customFormat="1">
      <c r="A2586" s="194" t="s">
        <v>33</v>
      </c>
      <c r="B2586" s="195" t="s">
        <v>34</v>
      </c>
      <c r="C2586" s="194"/>
      <c r="D2586" s="196" t="s">
        <v>28</v>
      </c>
      <c r="E2586" s="199">
        <v>1E-3</v>
      </c>
      <c r="F2586" s="200">
        <f>VLOOKUP(B2586,'HSD UPAH,BAHAN,ALAT'!$C$6:F2494,4,FALSE)</f>
        <v>10000</v>
      </c>
      <c r="G2586" s="201">
        <f t="shared" si="320"/>
        <v>10</v>
      </c>
    </row>
    <row r="2587" spans="1:7" s="183" customFormat="1">
      <c r="A2587" s="260" t="s">
        <v>421</v>
      </c>
      <c r="B2587" s="260"/>
      <c r="C2587" s="260"/>
      <c r="D2587" s="260"/>
      <c r="E2587" s="260"/>
      <c r="F2587" s="260"/>
      <c r="G2587" s="202">
        <f>SUM(G2581:G2586)</f>
        <v>10700</v>
      </c>
    </row>
    <row r="2588" spans="1:7" s="183" customFormat="1">
      <c r="A2588" s="194" t="s">
        <v>36</v>
      </c>
      <c r="B2588" s="195" t="s">
        <v>37</v>
      </c>
      <c r="C2588" s="194"/>
      <c r="D2588" s="196"/>
      <c r="E2588" s="199"/>
      <c r="F2588" s="217"/>
      <c r="G2588" s="217"/>
    </row>
    <row r="2589" spans="1:7" s="183" customFormat="1">
      <c r="A2589" s="258" t="s">
        <v>419</v>
      </c>
      <c r="B2589" s="258"/>
      <c r="C2589" s="258"/>
      <c r="D2589" s="258"/>
      <c r="E2589" s="258"/>
      <c r="F2589" s="258"/>
      <c r="G2589" s="207">
        <f>SUM(G2588)</f>
        <v>0</v>
      </c>
    </row>
    <row r="2590" spans="1:7" s="183" customFormat="1">
      <c r="A2590" s="208" t="s">
        <v>38</v>
      </c>
      <c r="B2590" s="259" t="s">
        <v>39</v>
      </c>
      <c r="C2590" s="259"/>
      <c r="D2590" s="259"/>
      <c r="E2590" s="259"/>
      <c r="F2590" s="259"/>
      <c r="G2590" s="207">
        <f>SUM(G2576:G2589)/2</f>
        <v>12010</v>
      </c>
    </row>
    <row r="2591" spans="1:7" s="183" customFormat="1">
      <c r="A2591" s="208" t="s">
        <v>40</v>
      </c>
      <c r="B2591" s="259" t="s">
        <v>180</v>
      </c>
      <c r="C2591" s="259"/>
      <c r="D2591" s="259"/>
      <c r="E2591" s="259"/>
      <c r="F2591" s="209">
        <v>0.1</v>
      </c>
      <c r="G2591" s="207">
        <f>G2590*F2591</f>
        <v>1201</v>
      </c>
    </row>
    <row r="2592" spans="1:7" s="183" customFormat="1">
      <c r="A2592" s="208" t="s">
        <v>41</v>
      </c>
      <c r="B2592" s="259" t="s">
        <v>42</v>
      </c>
      <c r="C2592" s="259"/>
      <c r="D2592" s="259"/>
      <c r="E2592" s="259"/>
      <c r="F2592" s="259"/>
      <c r="G2592" s="207">
        <f>G2590+G2591</f>
        <v>13211</v>
      </c>
    </row>
    <row r="2593" spans="1:7" s="183" customFormat="1">
      <c r="A2593" s="210"/>
      <c r="B2593" s="211"/>
      <c r="C2593" s="211"/>
      <c r="D2593" s="211"/>
      <c r="E2593" s="211"/>
      <c r="F2593" s="211"/>
      <c r="G2593" s="212"/>
    </row>
    <row r="2594" spans="1:7" s="183" customFormat="1">
      <c r="A2594" s="213" t="s">
        <v>762</v>
      </c>
      <c r="B2594" s="211"/>
      <c r="C2594" s="211"/>
      <c r="D2594" s="211"/>
      <c r="E2594" s="211"/>
      <c r="F2594" s="211"/>
      <c r="G2594" s="212"/>
    </row>
    <row r="2595" spans="1:7" s="183" customFormat="1" ht="30">
      <c r="A2595" s="193" t="s">
        <v>0</v>
      </c>
      <c r="B2595" s="193" t="s">
        <v>1</v>
      </c>
      <c r="C2595" s="193" t="s">
        <v>207</v>
      </c>
      <c r="D2595" s="193" t="s">
        <v>3</v>
      </c>
      <c r="E2595" s="193" t="s">
        <v>2</v>
      </c>
      <c r="F2595" s="193" t="s">
        <v>417</v>
      </c>
      <c r="G2595" s="193" t="s">
        <v>418</v>
      </c>
    </row>
    <row r="2596" spans="1:7" s="183" customFormat="1">
      <c r="A2596" s="194" t="s">
        <v>4</v>
      </c>
      <c r="B2596" s="195" t="s">
        <v>5</v>
      </c>
      <c r="C2596" s="194"/>
      <c r="D2596" s="196"/>
      <c r="E2596" s="199"/>
      <c r="F2596" s="217"/>
      <c r="G2596" s="217"/>
    </row>
    <row r="2597" spans="1:7" s="183" customFormat="1">
      <c r="A2597" s="194">
        <v>1</v>
      </c>
      <c r="B2597" s="195" t="s">
        <v>6</v>
      </c>
      <c r="C2597" s="194" t="s">
        <v>7</v>
      </c>
      <c r="D2597" s="196" t="s">
        <v>8</v>
      </c>
      <c r="E2597" s="199">
        <v>0.01</v>
      </c>
      <c r="F2597" s="200">
        <f>VLOOKUP(B2597,'HSD UPAH,BAHAN,ALAT'!$C$6:F2501,4,FALSE)</f>
        <v>100000</v>
      </c>
      <c r="G2597" s="201">
        <f t="shared" ref="G2597:G2599" si="321">E2597*F2597</f>
        <v>1000</v>
      </c>
    </row>
    <row r="2598" spans="1:7" s="183" customFormat="1">
      <c r="A2598" s="194">
        <v>2</v>
      </c>
      <c r="B2598" s="195" t="s">
        <v>10</v>
      </c>
      <c r="C2598" s="194" t="s">
        <v>11</v>
      </c>
      <c r="D2598" s="196" t="s">
        <v>8</v>
      </c>
      <c r="E2598" s="199">
        <v>2E-3</v>
      </c>
      <c r="F2598" s="200">
        <f>VLOOKUP(B2598,'HSD UPAH,BAHAN,ALAT'!$C$6:F2502,4,FALSE)</f>
        <v>120000</v>
      </c>
      <c r="G2598" s="201">
        <f t="shared" si="321"/>
        <v>240</v>
      </c>
    </row>
    <row r="2599" spans="1:7" s="183" customFormat="1">
      <c r="A2599" s="194">
        <v>3</v>
      </c>
      <c r="B2599" s="195" t="s">
        <v>13</v>
      </c>
      <c r="C2599" s="194" t="s">
        <v>14</v>
      </c>
      <c r="D2599" s="196" t="s">
        <v>8</v>
      </c>
      <c r="E2599" s="199">
        <v>6.9999999999999999E-4</v>
      </c>
      <c r="F2599" s="200">
        <f>VLOOKUP(B2599,'HSD UPAH,BAHAN,ALAT'!$C$6:F2503,4,FALSE)</f>
        <v>100000</v>
      </c>
      <c r="G2599" s="201">
        <f t="shared" si="321"/>
        <v>70</v>
      </c>
    </row>
    <row r="2600" spans="1:7" s="183" customFormat="1">
      <c r="A2600" s="260" t="s">
        <v>420</v>
      </c>
      <c r="B2600" s="260"/>
      <c r="C2600" s="260"/>
      <c r="D2600" s="260"/>
      <c r="E2600" s="260"/>
      <c r="F2600" s="260"/>
      <c r="G2600" s="202">
        <f>SUM(G2597:G2599)</f>
        <v>1310</v>
      </c>
    </row>
    <row r="2601" spans="1:7" s="183" customFormat="1">
      <c r="A2601" s="194" t="s">
        <v>16</v>
      </c>
      <c r="B2601" s="195" t="s">
        <v>17</v>
      </c>
      <c r="C2601" s="194"/>
      <c r="D2601" s="196"/>
      <c r="E2601" s="199"/>
      <c r="F2601" s="217"/>
      <c r="G2601" s="217"/>
    </row>
    <row r="2602" spans="1:7" s="183" customFormat="1" ht="45">
      <c r="A2602" s="194">
        <v>1</v>
      </c>
      <c r="B2602" s="204" t="s">
        <v>763</v>
      </c>
      <c r="C2602" s="194"/>
      <c r="D2602" s="196" t="s">
        <v>86</v>
      </c>
      <c r="E2602" s="199" t="s">
        <v>87</v>
      </c>
      <c r="F2602" s="200">
        <f>VLOOKUP(B2602,'HSD UPAH,BAHAN,ALAT'!$C$6:F2506,4,FALSE)</f>
        <v>10000</v>
      </c>
      <c r="G2602" s="201">
        <f t="shared" ref="G2602:G2607" si="322">E2602*F2602</f>
        <v>10500</v>
      </c>
    </row>
    <row r="2603" spans="1:7" s="183" customFormat="1">
      <c r="A2603" s="194">
        <v>2</v>
      </c>
      <c r="B2603" s="195" t="s">
        <v>18</v>
      </c>
      <c r="C2603" s="194"/>
      <c r="D2603" s="196" t="s">
        <v>19</v>
      </c>
      <c r="E2603" s="199" t="s">
        <v>20</v>
      </c>
      <c r="F2603" s="200">
        <f>VLOOKUP(B2603,'HSD UPAH,BAHAN,ALAT'!$C$6:F2507,4,FALSE)</f>
        <v>10000</v>
      </c>
      <c r="G2603" s="201">
        <f t="shared" si="322"/>
        <v>50</v>
      </c>
    </row>
    <row r="2604" spans="1:7" s="183" customFormat="1">
      <c r="A2604" s="194">
        <v>3</v>
      </c>
      <c r="B2604" s="195" t="s">
        <v>26</v>
      </c>
      <c r="C2604" s="194"/>
      <c r="D2604" s="196"/>
      <c r="E2604" s="199"/>
      <c r="F2604" s="200"/>
      <c r="G2604" s="201">
        <f t="shared" si="322"/>
        <v>0</v>
      </c>
    </row>
    <row r="2605" spans="1:7" s="183" customFormat="1">
      <c r="A2605" s="194" t="s">
        <v>22</v>
      </c>
      <c r="B2605" s="195" t="s">
        <v>27</v>
      </c>
      <c r="C2605" s="194"/>
      <c r="D2605" s="196" t="s">
        <v>28</v>
      </c>
      <c r="E2605" s="199">
        <v>1.0999999999999999E-2</v>
      </c>
      <c r="F2605" s="200">
        <f>VLOOKUP(B2605,'HSD UPAH,BAHAN,ALAT'!$C$6:F2512,4,FALSE)</f>
        <v>10000</v>
      </c>
      <c r="G2605" s="201">
        <f t="shared" si="322"/>
        <v>110</v>
      </c>
    </row>
    <row r="2606" spans="1:7" s="183" customFormat="1">
      <c r="A2606" s="194" t="s">
        <v>30</v>
      </c>
      <c r="B2606" s="195" t="s">
        <v>31</v>
      </c>
      <c r="C2606" s="194"/>
      <c r="D2606" s="196" t="s">
        <v>28</v>
      </c>
      <c r="E2606" s="199">
        <v>3.0000000000000001E-3</v>
      </c>
      <c r="F2606" s="200">
        <f>VLOOKUP(B2606,'HSD UPAH,BAHAN,ALAT'!$C$6:F2513,4,FALSE)</f>
        <v>10000</v>
      </c>
      <c r="G2606" s="201">
        <f t="shared" si="322"/>
        <v>30</v>
      </c>
    </row>
    <row r="2607" spans="1:7" s="183" customFormat="1">
      <c r="A2607" s="194" t="s">
        <v>33</v>
      </c>
      <c r="B2607" s="195" t="s">
        <v>34</v>
      </c>
      <c r="C2607" s="194"/>
      <c r="D2607" s="196" t="s">
        <v>28</v>
      </c>
      <c r="E2607" s="199">
        <v>1E-3</v>
      </c>
      <c r="F2607" s="200">
        <f>VLOOKUP(B2607,'HSD UPAH,BAHAN,ALAT'!$C$6:F2514,4,FALSE)</f>
        <v>10000</v>
      </c>
      <c r="G2607" s="201">
        <f t="shared" si="322"/>
        <v>10</v>
      </c>
    </row>
    <row r="2608" spans="1:7" s="183" customFormat="1">
      <c r="A2608" s="260" t="s">
        <v>421</v>
      </c>
      <c r="B2608" s="260"/>
      <c r="C2608" s="260"/>
      <c r="D2608" s="260"/>
      <c r="E2608" s="260"/>
      <c r="F2608" s="260"/>
      <c r="G2608" s="202">
        <f>SUM(G2602:G2607)</f>
        <v>10700</v>
      </c>
    </row>
    <row r="2609" spans="1:7" s="183" customFormat="1">
      <c r="A2609" s="194" t="s">
        <v>36</v>
      </c>
      <c r="B2609" s="195" t="s">
        <v>37</v>
      </c>
      <c r="C2609" s="194"/>
      <c r="D2609" s="196"/>
      <c r="E2609" s="199"/>
      <c r="F2609" s="217"/>
      <c r="G2609" s="217"/>
    </row>
    <row r="2610" spans="1:7" s="183" customFormat="1">
      <c r="A2610" s="258" t="s">
        <v>419</v>
      </c>
      <c r="B2610" s="258"/>
      <c r="C2610" s="258"/>
      <c r="D2610" s="258"/>
      <c r="E2610" s="258"/>
      <c r="F2610" s="258"/>
      <c r="G2610" s="207">
        <f>SUM(G2609)</f>
        <v>0</v>
      </c>
    </row>
    <row r="2611" spans="1:7" s="183" customFormat="1">
      <c r="A2611" s="208" t="s">
        <v>38</v>
      </c>
      <c r="B2611" s="259" t="s">
        <v>39</v>
      </c>
      <c r="C2611" s="259"/>
      <c r="D2611" s="259"/>
      <c r="E2611" s="259"/>
      <c r="F2611" s="259"/>
      <c r="G2611" s="207">
        <f>SUM(G2597:G2610)/2</f>
        <v>12010</v>
      </c>
    </row>
    <row r="2612" spans="1:7" s="183" customFormat="1">
      <c r="A2612" s="208" t="s">
        <v>40</v>
      </c>
      <c r="B2612" s="259" t="s">
        <v>180</v>
      </c>
      <c r="C2612" s="259"/>
      <c r="D2612" s="259"/>
      <c r="E2612" s="259"/>
      <c r="F2612" s="209">
        <v>0.1</v>
      </c>
      <c r="G2612" s="207">
        <f>G2611*F2612</f>
        <v>1201</v>
      </c>
    </row>
    <row r="2613" spans="1:7" s="183" customFormat="1">
      <c r="A2613" s="208" t="s">
        <v>41</v>
      </c>
      <c r="B2613" s="259" t="s">
        <v>42</v>
      </c>
      <c r="C2613" s="259"/>
      <c r="D2613" s="259"/>
      <c r="E2613" s="259"/>
      <c r="F2613" s="259"/>
      <c r="G2613" s="207">
        <f>G2611+G2612</f>
        <v>13211</v>
      </c>
    </row>
    <row r="2614" spans="1:7" s="183" customFormat="1">
      <c r="A2614" s="210"/>
      <c r="B2614" s="211"/>
      <c r="C2614" s="211"/>
      <c r="D2614" s="211"/>
      <c r="E2614" s="211"/>
      <c r="F2614" s="211"/>
      <c r="G2614" s="212"/>
    </row>
    <row r="2615" spans="1:7" s="183" customFormat="1">
      <c r="A2615" s="213" t="s">
        <v>764</v>
      </c>
      <c r="B2615" s="211"/>
      <c r="C2615" s="211"/>
      <c r="D2615" s="211"/>
      <c r="E2615" s="211"/>
      <c r="F2615" s="211"/>
      <c r="G2615" s="212"/>
    </row>
    <row r="2616" spans="1:7" s="183" customFormat="1">
      <c r="A2616" s="213" t="s">
        <v>769</v>
      </c>
      <c r="B2616" s="211"/>
      <c r="C2616" s="211"/>
      <c r="D2616" s="211"/>
      <c r="E2616" s="211"/>
      <c r="F2616" s="211"/>
      <c r="G2616" s="212"/>
    </row>
    <row r="2617" spans="1:7" s="183" customFormat="1" ht="30">
      <c r="A2617" s="193" t="s">
        <v>0</v>
      </c>
      <c r="B2617" s="193" t="s">
        <v>1</v>
      </c>
      <c r="C2617" s="193" t="s">
        <v>207</v>
      </c>
      <c r="D2617" s="193" t="s">
        <v>3</v>
      </c>
      <c r="E2617" s="193" t="s">
        <v>2</v>
      </c>
      <c r="F2617" s="193" t="s">
        <v>417</v>
      </c>
      <c r="G2617" s="193" t="s">
        <v>418</v>
      </c>
    </row>
    <row r="2618" spans="1:7" s="183" customFormat="1">
      <c r="A2618" s="194" t="s">
        <v>4</v>
      </c>
      <c r="B2618" s="195" t="s">
        <v>5</v>
      </c>
      <c r="C2618" s="194"/>
      <c r="D2618" s="196"/>
      <c r="E2618" s="199"/>
      <c r="F2618" s="217"/>
      <c r="G2618" s="217"/>
    </row>
    <row r="2619" spans="1:7" s="183" customFormat="1">
      <c r="A2619" s="194">
        <v>1</v>
      </c>
      <c r="B2619" s="195" t="s">
        <v>6</v>
      </c>
      <c r="C2619" s="194" t="s">
        <v>7</v>
      </c>
      <c r="D2619" s="196" t="s">
        <v>8</v>
      </c>
      <c r="E2619" s="199">
        <v>1.43E-2</v>
      </c>
      <c r="F2619" s="200">
        <f>VLOOKUP(B2619,'HSD UPAH,BAHAN,ALAT'!$C$6:F2524,4,FALSE)</f>
        <v>100000</v>
      </c>
      <c r="G2619" s="201">
        <f t="shared" ref="G2619:G2621" si="323">E2619*F2619</f>
        <v>1430</v>
      </c>
    </row>
    <row r="2620" spans="1:7" s="183" customFormat="1">
      <c r="A2620" s="194">
        <v>2</v>
      </c>
      <c r="B2620" s="195" t="s">
        <v>10</v>
      </c>
      <c r="C2620" s="194" t="s">
        <v>11</v>
      </c>
      <c r="D2620" s="196" t="s">
        <v>8</v>
      </c>
      <c r="E2620" s="199">
        <v>4.7999999999999996E-3</v>
      </c>
      <c r="F2620" s="200">
        <f>VLOOKUP(B2620,'HSD UPAH,BAHAN,ALAT'!$C$6:F2525,4,FALSE)</f>
        <v>120000</v>
      </c>
      <c r="G2620" s="201">
        <f t="shared" si="323"/>
        <v>576</v>
      </c>
    </row>
    <row r="2621" spans="1:7" s="183" customFormat="1">
      <c r="A2621" s="194">
        <v>3</v>
      </c>
      <c r="B2621" s="195" t="s">
        <v>13</v>
      </c>
      <c r="C2621" s="194" t="s">
        <v>14</v>
      </c>
      <c r="D2621" s="196" t="s">
        <v>8</v>
      </c>
      <c r="E2621" s="199">
        <v>1.6000000000000001E-3</v>
      </c>
      <c r="F2621" s="200">
        <f>VLOOKUP(B2621,'HSD UPAH,BAHAN,ALAT'!$C$6:F2526,4,FALSE)</f>
        <v>100000</v>
      </c>
      <c r="G2621" s="201">
        <f t="shared" si="323"/>
        <v>160</v>
      </c>
    </row>
    <row r="2622" spans="1:7" s="183" customFormat="1">
      <c r="A2622" s="260" t="s">
        <v>420</v>
      </c>
      <c r="B2622" s="260"/>
      <c r="C2622" s="260"/>
      <c r="D2622" s="260"/>
      <c r="E2622" s="260"/>
      <c r="F2622" s="260"/>
      <c r="G2622" s="202">
        <f>SUM(G2619:G2621)</f>
        <v>2166</v>
      </c>
    </row>
    <row r="2623" spans="1:7" s="183" customFormat="1">
      <c r="A2623" s="194" t="s">
        <v>16</v>
      </c>
      <c r="B2623" s="195" t="s">
        <v>17</v>
      </c>
      <c r="C2623" s="194"/>
      <c r="D2623" s="196"/>
      <c r="E2623" s="199"/>
      <c r="F2623" s="217"/>
      <c r="G2623" s="217"/>
    </row>
    <row r="2624" spans="1:7" s="183" customFormat="1">
      <c r="A2624" s="194">
        <v>1</v>
      </c>
      <c r="B2624" s="195" t="s">
        <v>765</v>
      </c>
      <c r="C2624" s="194"/>
      <c r="D2624" s="196" t="s">
        <v>86</v>
      </c>
      <c r="E2624" s="199" t="s">
        <v>87</v>
      </c>
      <c r="F2624" s="200">
        <f>VLOOKUP(B2624,'HSD UPAH,BAHAN,ALAT'!$C$6:F2529,4,FALSE)</f>
        <v>10000</v>
      </c>
      <c r="G2624" s="201">
        <f t="shared" ref="G2624:G2629" si="324">E2624*F2624</f>
        <v>10500</v>
      </c>
    </row>
    <row r="2625" spans="1:7" s="183" customFormat="1">
      <c r="A2625" s="194">
        <v>2</v>
      </c>
      <c r="B2625" s="195" t="s">
        <v>18</v>
      </c>
      <c r="C2625" s="194"/>
      <c r="D2625" s="196" t="s">
        <v>19</v>
      </c>
      <c r="E2625" s="199" t="s">
        <v>20</v>
      </c>
      <c r="F2625" s="200">
        <f>VLOOKUP(B2625,'HSD UPAH,BAHAN,ALAT'!$C$6:F2530,4,FALSE)</f>
        <v>10000</v>
      </c>
      <c r="G2625" s="201">
        <f t="shared" si="324"/>
        <v>50</v>
      </c>
    </row>
    <row r="2626" spans="1:7" s="183" customFormat="1">
      <c r="A2626" s="194">
        <v>3</v>
      </c>
      <c r="B2626" s="195" t="s">
        <v>26</v>
      </c>
      <c r="C2626" s="194"/>
      <c r="D2626" s="196"/>
      <c r="E2626" s="199"/>
      <c r="F2626" s="200"/>
      <c r="G2626" s="201">
        <f t="shared" si="324"/>
        <v>0</v>
      </c>
    </row>
    <row r="2627" spans="1:7" s="183" customFormat="1">
      <c r="A2627" s="194" t="s">
        <v>22</v>
      </c>
      <c r="B2627" s="195" t="s">
        <v>27</v>
      </c>
      <c r="C2627" s="194"/>
      <c r="D2627" s="196" t="s">
        <v>28</v>
      </c>
      <c r="E2627" s="199">
        <v>1.46E-2</v>
      </c>
      <c r="F2627" s="200">
        <f>VLOOKUP(B2627,'HSD UPAH,BAHAN,ALAT'!$C$6:F2535,4,FALSE)</f>
        <v>10000</v>
      </c>
      <c r="G2627" s="201">
        <f t="shared" si="324"/>
        <v>146</v>
      </c>
    </row>
    <row r="2628" spans="1:7" s="183" customFormat="1">
      <c r="A2628" s="194" t="s">
        <v>30</v>
      </c>
      <c r="B2628" s="195" t="s">
        <v>31</v>
      </c>
      <c r="C2628" s="194"/>
      <c r="D2628" s="196" t="s">
        <v>28</v>
      </c>
      <c r="E2628" s="199">
        <v>3.8999999999999998E-3</v>
      </c>
      <c r="F2628" s="200">
        <f>VLOOKUP(B2628,'HSD UPAH,BAHAN,ALAT'!$C$6:F2536,4,FALSE)</f>
        <v>10000</v>
      </c>
      <c r="G2628" s="201">
        <f t="shared" si="324"/>
        <v>39</v>
      </c>
    </row>
    <row r="2629" spans="1:7" s="183" customFormat="1">
      <c r="A2629" s="194" t="s">
        <v>33</v>
      </c>
      <c r="B2629" s="195" t="s">
        <v>34</v>
      </c>
      <c r="C2629" s="194"/>
      <c r="D2629" s="196" t="s">
        <v>28</v>
      </c>
      <c r="E2629" s="199">
        <v>1E-3</v>
      </c>
      <c r="F2629" s="200">
        <f>VLOOKUP(B2629,'HSD UPAH,BAHAN,ALAT'!$C$6:F2537,4,FALSE)</f>
        <v>10000</v>
      </c>
      <c r="G2629" s="201">
        <f t="shared" si="324"/>
        <v>10</v>
      </c>
    </row>
    <row r="2630" spans="1:7" s="183" customFormat="1">
      <c r="A2630" s="260" t="s">
        <v>421</v>
      </c>
      <c r="B2630" s="260"/>
      <c r="C2630" s="260"/>
      <c r="D2630" s="260"/>
      <c r="E2630" s="260"/>
      <c r="F2630" s="260"/>
      <c r="G2630" s="202">
        <f>SUM(G2624:G2629)</f>
        <v>10745</v>
      </c>
    </row>
    <row r="2631" spans="1:7" s="183" customFormat="1">
      <c r="A2631" s="194" t="s">
        <v>36</v>
      </c>
      <c r="B2631" s="195" t="s">
        <v>37</v>
      </c>
      <c r="C2631" s="194"/>
      <c r="D2631" s="196"/>
      <c r="E2631" s="199"/>
      <c r="F2631" s="217"/>
      <c r="G2631" s="217"/>
    </row>
    <row r="2632" spans="1:7" s="183" customFormat="1">
      <c r="A2632" s="258" t="s">
        <v>419</v>
      </c>
      <c r="B2632" s="258"/>
      <c r="C2632" s="258"/>
      <c r="D2632" s="258"/>
      <c r="E2632" s="258"/>
      <c r="F2632" s="258"/>
      <c r="G2632" s="207">
        <f>SUM(G2631)</f>
        <v>0</v>
      </c>
    </row>
    <row r="2633" spans="1:7" s="183" customFormat="1">
      <c r="A2633" s="208" t="s">
        <v>38</v>
      </c>
      <c r="B2633" s="259" t="s">
        <v>39</v>
      </c>
      <c r="C2633" s="259"/>
      <c r="D2633" s="259"/>
      <c r="E2633" s="259"/>
      <c r="F2633" s="259"/>
      <c r="G2633" s="207">
        <f>SUM(G2619:G2632)/2</f>
        <v>12911</v>
      </c>
    </row>
    <row r="2634" spans="1:7" s="183" customFormat="1">
      <c r="A2634" s="208" t="s">
        <v>40</v>
      </c>
      <c r="B2634" s="259" t="s">
        <v>180</v>
      </c>
      <c r="C2634" s="259"/>
      <c r="D2634" s="259"/>
      <c r="E2634" s="259"/>
      <c r="F2634" s="209">
        <v>0.1</v>
      </c>
      <c r="G2634" s="207">
        <f>G2633*F2634</f>
        <v>1291.1000000000001</v>
      </c>
    </row>
    <row r="2635" spans="1:7" s="183" customFormat="1">
      <c r="A2635" s="208" t="s">
        <v>41</v>
      </c>
      <c r="B2635" s="259" t="s">
        <v>42</v>
      </c>
      <c r="C2635" s="259"/>
      <c r="D2635" s="259"/>
      <c r="E2635" s="259"/>
      <c r="F2635" s="259"/>
      <c r="G2635" s="207">
        <f>G2633+G2634</f>
        <v>14202.1</v>
      </c>
    </row>
    <row r="2636" spans="1:7">
      <c r="A2636" s="90"/>
      <c r="B2636" s="91"/>
      <c r="C2636" s="91"/>
      <c r="D2636" s="91"/>
      <c r="E2636" s="91"/>
      <c r="F2636" s="91"/>
      <c r="G2636" s="92"/>
    </row>
    <row r="2637" spans="1:7" s="183" customFormat="1">
      <c r="A2637" s="213" t="s">
        <v>768</v>
      </c>
      <c r="B2637" s="211"/>
      <c r="C2637" s="211"/>
      <c r="D2637" s="211"/>
      <c r="E2637" s="211"/>
      <c r="F2637" s="211"/>
      <c r="G2637" s="212"/>
    </row>
    <row r="2638" spans="1:7" s="183" customFormat="1" ht="30">
      <c r="A2638" s="193" t="s">
        <v>0</v>
      </c>
      <c r="B2638" s="193" t="s">
        <v>1</v>
      </c>
      <c r="C2638" s="193" t="s">
        <v>207</v>
      </c>
      <c r="D2638" s="193" t="s">
        <v>3</v>
      </c>
      <c r="E2638" s="193" t="s">
        <v>2</v>
      </c>
      <c r="F2638" s="193" t="s">
        <v>417</v>
      </c>
      <c r="G2638" s="193" t="s">
        <v>418</v>
      </c>
    </row>
    <row r="2639" spans="1:7" s="183" customFormat="1">
      <c r="A2639" s="194" t="s">
        <v>4</v>
      </c>
      <c r="B2639" s="195" t="s">
        <v>5</v>
      </c>
      <c r="C2639" s="194"/>
      <c r="D2639" s="196"/>
      <c r="E2639" s="199"/>
      <c r="F2639" s="217"/>
      <c r="G2639" s="217"/>
    </row>
    <row r="2640" spans="1:7" s="183" customFormat="1">
      <c r="A2640" s="194">
        <v>1</v>
      </c>
      <c r="B2640" s="195" t="s">
        <v>6</v>
      </c>
      <c r="C2640" s="194" t="s">
        <v>7</v>
      </c>
      <c r="D2640" s="196" t="s">
        <v>8</v>
      </c>
      <c r="E2640" s="199">
        <v>1.43E-2</v>
      </c>
      <c r="F2640" s="200">
        <f>VLOOKUP(B2640,'HSD UPAH,BAHAN,ALAT'!$C$6:F2545,4,FALSE)</f>
        <v>100000</v>
      </c>
      <c r="G2640" s="201">
        <f t="shared" ref="G2640:G2642" si="325">E2640*F2640</f>
        <v>1430</v>
      </c>
    </row>
    <row r="2641" spans="1:7" s="183" customFormat="1">
      <c r="A2641" s="194">
        <v>2</v>
      </c>
      <c r="B2641" s="195" t="s">
        <v>10</v>
      </c>
      <c r="C2641" s="194" t="s">
        <v>11</v>
      </c>
      <c r="D2641" s="196" t="s">
        <v>8</v>
      </c>
      <c r="E2641" s="199">
        <v>4.7999999999999996E-3</v>
      </c>
      <c r="F2641" s="200">
        <f>VLOOKUP(B2641,'HSD UPAH,BAHAN,ALAT'!$C$6:F2546,4,FALSE)</f>
        <v>120000</v>
      </c>
      <c r="G2641" s="201">
        <f t="shared" si="325"/>
        <v>576</v>
      </c>
    </row>
    <row r="2642" spans="1:7" s="183" customFormat="1">
      <c r="A2642" s="194">
        <v>3</v>
      </c>
      <c r="B2642" s="195" t="s">
        <v>13</v>
      </c>
      <c r="C2642" s="194" t="s">
        <v>14</v>
      </c>
      <c r="D2642" s="196" t="s">
        <v>8</v>
      </c>
      <c r="E2642" s="199">
        <v>1.6000000000000001E-3</v>
      </c>
      <c r="F2642" s="200">
        <f>VLOOKUP(B2642,'HSD UPAH,BAHAN,ALAT'!$C$6:F2547,4,FALSE)</f>
        <v>100000</v>
      </c>
      <c r="G2642" s="201">
        <f t="shared" si="325"/>
        <v>160</v>
      </c>
    </row>
    <row r="2643" spans="1:7" s="183" customFormat="1">
      <c r="A2643" s="260" t="s">
        <v>420</v>
      </c>
      <c r="B2643" s="260"/>
      <c r="C2643" s="260"/>
      <c r="D2643" s="260"/>
      <c r="E2643" s="260"/>
      <c r="F2643" s="260"/>
      <c r="G2643" s="202">
        <f>SUM(G2640:G2642)</f>
        <v>2166</v>
      </c>
    </row>
    <row r="2644" spans="1:7" s="183" customFormat="1">
      <c r="A2644" s="194" t="s">
        <v>16</v>
      </c>
      <c r="B2644" s="195" t="s">
        <v>17</v>
      </c>
      <c r="C2644" s="194"/>
      <c r="D2644" s="196"/>
      <c r="E2644" s="199"/>
      <c r="F2644" s="217"/>
      <c r="G2644" s="217"/>
    </row>
    <row r="2645" spans="1:7" s="183" customFormat="1">
      <c r="A2645" s="194">
        <v>1</v>
      </c>
      <c r="B2645" s="195" t="s">
        <v>766</v>
      </c>
      <c r="C2645" s="194"/>
      <c r="D2645" s="196" t="s">
        <v>86</v>
      </c>
      <c r="E2645" s="199" t="s">
        <v>87</v>
      </c>
      <c r="F2645" s="200">
        <f>VLOOKUP(B2645,'HSD UPAH,BAHAN,ALAT'!$C$6:F2550,4,FALSE)</f>
        <v>10000</v>
      </c>
      <c r="G2645" s="201">
        <f t="shared" ref="G2645:G2650" si="326">E2645*F2645</f>
        <v>10500</v>
      </c>
    </row>
    <row r="2646" spans="1:7" s="183" customFormat="1">
      <c r="A2646" s="194">
        <v>2</v>
      </c>
      <c r="B2646" s="195" t="s">
        <v>18</v>
      </c>
      <c r="C2646" s="194"/>
      <c r="D2646" s="196" t="s">
        <v>19</v>
      </c>
      <c r="E2646" s="199" t="s">
        <v>20</v>
      </c>
      <c r="F2646" s="200">
        <f>VLOOKUP(B2646,'HSD UPAH,BAHAN,ALAT'!$C$6:F2551,4,FALSE)</f>
        <v>10000</v>
      </c>
      <c r="G2646" s="201">
        <f t="shared" si="326"/>
        <v>50</v>
      </c>
    </row>
    <row r="2647" spans="1:7" s="183" customFormat="1">
      <c r="A2647" s="194">
        <v>3</v>
      </c>
      <c r="B2647" s="195" t="s">
        <v>26</v>
      </c>
      <c r="C2647" s="194"/>
      <c r="D2647" s="196"/>
      <c r="E2647" s="199"/>
      <c r="F2647" s="200"/>
      <c r="G2647" s="201">
        <f t="shared" si="326"/>
        <v>0</v>
      </c>
    </row>
    <row r="2648" spans="1:7" s="183" customFormat="1">
      <c r="A2648" s="194" t="s">
        <v>22</v>
      </c>
      <c r="B2648" s="195" t="s">
        <v>27</v>
      </c>
      <c r="C2648" s="194"/>
      <c r="D2648" s="196" t="s">
        <v>28</v>
      </c>
      <c r="E2648" s="199">
        <v>1.46E-2</v>
      </c>
      <c r="F2648" s="200">
        <f>VLOOKUP(B2648,'HSD UPAH,BAHAN,ALAT'!$C$6:F2556,4,FALSE)</f>
        <v>10000</v>
      </c>
      <c r="G2648" s="201">
        <f t="shared" si="326"/>
        <v>146</v>
      </c>
    </row>
    <row r="2649" spans="1:7" s="183" customFormat="1">
      <c r="A2649" s="194" t="s">
        <v>30</v>
      </c>
      <c r="B2649" s="195" t="s">
        <v>31</v>
      </c>
      <c r="C2649" s="194"/>
      <c r="D2649" s="196" t="s">
        <v>28</v>
      </c>
      <c r="E2649" s="199">
        <v>3.8999999999999998E-3</v>
      </c>
      <c r="F2649" s="200">
        <f>VLOOKUP(B2649,'HSD UPAH,BAHAN,ALAT'!$C$6:F2557,4,FALSE)</f>
        <v>10000</v>
      </c>
      <c r="G2649" s="201">
        <f t="shared" si="326"/>
        <v>39</v>
      </c>
    </row>
    <row r="2650" spans="1:7" s="183" customFormat="1">
      <c r="A2650" s="194" t="s">
        <v>33</v>
      </c>
      <c r="B2650" s="195" t="s">
        <v>34</v>
      </c>
      <c r="C2650" s="194"/>
      <c r="D2650" s="196" t="s">
        <v>28</v>
      </c>
      <c r="E2650" s="199">
        <v>1E-3</v>
      </c>
      <c r="F2650" s="200">
        <f>VLOOKUP(B2650,'HSD UPAH,BAHAN,ALAT'!$C$6:F2558,4,FALSE)</f>
        <v>10000</v>
      </c>
      <c r="G2650" s="201">
        <f t="shared" si="326"/>
        <v>10</v>
      </c>
    </row>
    <row r="2651" spans="1:7" s="183" customFormat="1">
      <c r="A2651" s="260" t="s">
        <v>421</v>
      </c>
      <c r="B2651" s="260"/>
      <c r="C2651" s="260"/>
      <c r="D2651" s="260"/>
      <c r="E2651" s="260"/>
      <c r="F2651" s="260"/>
      <c r="G2651" s="202">
        <f>SUM(G2645:G2650)</f>
        <v>10745</v>
      </c>
    </row>
    <row r="2652" spans="1:7" s="183" customFormat="1">
      <c r="A2652" s="194" t="s">
        <v>36</v>
      </c>
      <c r="B2652" s="195" t="s">
        <v>37</v>
      </c>
      <c r="C2652" s="194"/>
      <c r="D2652" s="196"/>
      <c r="E2652" s="199"/>
      <c r="F2652" s="217"/>
      <c r="G2652" s="217"/>
    </row>
    <row r="2653" spans="1:7" s="183" customFormat="1">
      <c r="A2653" s="258" t="s">
        <v>419</v>
      </c>
      <c r="B2653" s="258"/>
      <c r="C2653" s="258"/>
      <c r="D2653" s="258"/>
      <c r="E2653" s="258"/>
      <c r="F2653" s="258"/>
      <c r="G2653" s="207">
        <f>SUM(G2652)</f>
        <v>0</v>
      </c>
    </row>
    <row r="2654" spans="1:7" s="183" customFormat="1">
      <c r="A2654" s="208" t="s">
        <v>38</v>
      </c>
      <c r="B2654" s="259" t="s">
        <v>39</v>
      </c>
      <c r="C2654" s="259"/>
      <c r="D2654" s="259"/>
      <c r="E2654" s="259"/>
      <c r="F2654" s="259"/>
      <c r="G2654" s="207">
        <f>SUM(G2640:G2653)/2</f>
        <v>12911</v>
      </c>
    </row>
    <row r="2655" spans="1:7" s="183" customFormat="1">
      <c r="A2655" s="208" t="s">
        <v>40</v>
      </c>
      <c r="B2655" s="259" t="s">
        <v>180</v>
      </c>
      <c r="C2655" s="259"/>
      <c r="D2655" s="259"/>
      <c r="E2655" s="259"/>
      <c r="F2655" s="209">
        <v>0.1</v>
      </c>
      <c r="G2655" s="207">
        <f>G2654*F2655</f>
        <v>1291.1000000000001</v>
      </c>
    </row>
    <row r="2656" spans="1:7" s="183" customFormat="1">
      <c r="A2656" s="208" t="s">
        <v>41</v>
      </c>
      <c r="B2656" s="259" t="s">
        <v>42</v>
      </c>
      <c r="C2656" s="259"/>
      <c r="D2656" s="259"/>
      <c r="E2656" s="259"/>
      <c r="F2656" s="259"/>
      <c r="G2656" s="207">
        <f>G2654+G2655</f>
        <v>14202.1</v>
      </c>
    </row>
    <row r="2657" spans="1:7" s="183" customFormat="1">
      <c r="A2657" s="210"/>
      <c r="B2657" s="211"/>
      <c r="C2657" s="211"/>
      <c r="D2657" s="211"/>
      <c r="E2657" s="211"/>
      <c r="F2657" s="211"/>
      <c r="G2657" s="212"/>
    </row>
    <row r="2658" spans="1:7" s="183" customFormat="1">
      <c r="A2658" s="213" t="s">
        <v>767</v>
      </c>
      <c r="B2658" s="211"/>
      <c r="C2658" s="211"/>
      <c r="D2658" s="211"/>
      <c r="E2658" s="211"/>
      <c r="F2658" s="211"/>
      <c r="G2658" s="212"/>
    </row>
    <row r="2659" spans="1:7" s="183" customFormat="1" ht="30">
      <c r="A2659" s="193" t="s">
        <v>0</v>
      </c>
      <c r="B2659" s="193" t="s">
        <v>1</v>
      </c>
      <c r="C2659" s="193" t="s">
        <v>207</v>
      </c>
      <c r="D2659" s="193" t="s">
        <v>3</v>
      </c>
      <c r="E2659" s="193" t="s">
        <v>2</v>
      </c>
      <c r="F2659" s="193" t="s">
        <v>417</v>
      </c>
      <c r="G2659" s="193" t="s">
        <v>418</v>
      </c>
    </row>
    <row r="2660" spans="1:7" s="183" customFormat="1">
      <c r="A2660" s="194" t="s">
        <v>4</v>
      </c>
      <c r="B2660" s="195" t="s">
        <v>5</v>
      </c>
      <c r="C2660" s="194"/>
      <c r="D2660" s="196"/>
      <c r="E2660" s="199"/>
      <c r="F2660" s="217"/>
      <c r="G2660" s="217"/>
    </row>
    <row r="2661" spans="1:7" s="183" customFormat="1">
      <c r="A2661" s="194">
        <v>1</v>
      </c>
      <c r="B2661" s="195" t="s">
        <v>6</v>
      </c>
      <c r="C2661" s="194" t="s">
        <v>7</v>
      </c>
      <c r="D2661" s="196" t="s">
        <v>8</v>
      </c>
      <c r="E2661" s="199">
        <v>1.43E-2</v>
      </c>
      <c r="F2661" s="200">
        <f>VLOOKUP(B2661,'HSD UPAH,BAHAN,ALAT'!$C$6:F2565,4,FALSE)</f>
        <v>100000</v>
      </c>
      <c r="G2661" s="201">
        <f t="shared" ref="G2661:G2663" si="327">E2661*F2661</f>
        <v>1430</v>
      </c>
    </row>
    <row r="2662" spans="1:7" s="183" customFormat="1">
      <c r="A2662" s="194">
        <v>2</v>
      </c>
      <c r="B2662" s="195" t="s">
        <v>10</v>
      </c>
      <c r="C2662" s="194" t="s">
        <v>11</v>
      </c>
      <c r="D2662" s="196" t="s">
        <v>8</v>
      </c>
      <c r="E2662" s="199">
        <v>4.7999999999999996E-3</v>
      </c>
      <c r="F2662" s="200">
        <f>VLOOKUP(B2662,'HSD UPAH,BAHAN,ALAT'!$C$6:F2566,4,FALSE)</f>
        <v>120000</v>
      </c>
      <c r="G2662" s="201">
        <f t="shared" si="327"/>
        <v>576</v>
      </c>
    </row>
    <row r="2663" spans="1:7" s="183" customFormat="1">
      <c r="A2663" s="194">
        <v>3</v>
      </c>
      <c r="B2663" s="195" t="s">
        <v>13</v>
      </c>
      <c r="C2663" s="194" t="s">
        <v>14</v>
      </c>
      <c r="D2663" s="196" t="s">
        <v>8</v>
      </c>
      <c r="E2663" s="199">
        <v>1.6000000000000001E-3</v>
      </c>
      <c r="F2663" s="200">
        <f>VLOOKUP(B2663,'HSD UPAH,BAHAN,ALAT'!$C$6:F2567,4,FALSE)</f>
        <v>100000</v>
      </c>
      <c r="G2663" s="201">
        <f t="shared" si="327"/>
        <v>160</v>
      </c>
    </row>
    <row r="2664" spans="1:7" s="183" customFormat="1">
      <c r="A2664" s="260" t="s">
        <v>420</v>
      </c>
      <c r="B2664" s="260"/>
      <c r="C2664" s="260"/>
      <c r="D2664" s="260"/>
      <c r="E2664" s="260"/>
      <c r="F2664" s="260"/>
      <c r="G2664" s="202">
        <f>SUM(G2661:G2663)</f>
        <v>2166</v>
      </c>
    </row>
    <row r="2665" spans="1:7" s="183" customFormat="1">
      <c r="A2665" s="194" t="s">
        <v>16</v>
      </c>
      <c r="B2665" s="195" t="s">
        <v>17</v>
      </c>
      <c r="C2665" s="194"/>
      <c r="D2665" s="196"/>
      <c r="E2665" s="199"/>
      <c r="F2665" s="217"/>
      <c r="G2665" s="217"/>
    </row>
    <row r="2666" spans="1:7" s="183" customFormat="1" ht="45">
      <c r="A2666" s="194">
        <v>1</v>
      </c>
      <c r="B2666" s="204" t="s">
        <v>770</v>
      </c>
      <c r="C2666" s="194"/>
      <c r="D2666" s="196" t="s">
        <v>86</v>
      </c>
      <c r="E2666" s="199" t="s">
        <v>87</v>
      </c>
      <c r="F2666" s="200">
        <f>VLOOKUP(B2666,'HSD UPAH,BAHAN,ALAT'!$C$6:F2570,4,FALSE)</f>
        <v>10000</v>
      </c>
      <c r="G2666" s="201">
        <f t="shared" ref="G2666:G2671" si="328">E2666*F2666</f>
        <v>10500</v>
      </c>
    </row>
    <row r="2667" spans="1:7" s="183" customFormat="1">
      <c r="A2667" s="194">
        <v>2</v>
      </c>
      <c r="B2667" s="195" t="s">
        <v>18</v>
      </c>
      <c r="C2667" s="194"/>
      <c r="D2667" s="196" t="s">
        <v>19</v>
      </c>
      <c r="E2667" s="199" t="s">
        <v>20</v>
      </c>
      <c r="F2667" s="200">
        <f>VLOOKUP(B2667,'HSD UPAH,BAHAN,ALAT'!$C$6:F2571,4,FALSE)</f>
        <v>10000</v>
      </c>
      <c r="G2667" s="201">
        <f t="shared" si="328"/>
        <v>50</v>
      </c>
    </row>
    <row r="2668" spans="1:7" s="183" customFormat="1">
      <c r="A2668" s="194">
        <v>3</v>
      </c>
      <c r="B2668" s="195" t="s">
        <v>26</v>
      </c>
      <c r="C2668" s="194"/>
      <c r="D2668" s="196"/>
      <c r="E2668" s="199"/>
      <c r="F2668" s="200"/>
      <c r="G2668" s="201">
        <f t="shared" si="328"/>
        <v>0</v>
      </c>
    </row>
    <row r="2669" spans="1:7" s="183" customFormat="1">
      <c r="A2669" s="194" t="s">
        <v>22</v>
      </c>
      <c r="B2669" s="195" t="s">
        <v>27</v>
      </c>
      <c r="C2669" s="194"/>
      <c r="D2669" s="196" t="s">
        <v>28</v>
      </c>
      <c r="E2669" s="199">
        <v>1.46E-2</v>
      </c>
      <c r="F2669" s="200">
        <f>VLOOKUP(B2669,'HSD UPAH,BAHAN,ALAT'!$C$6:F2576,4,FALSE)</f>
        <v>10000</v>
      </c>
      <c r="G2669" s="201">
        <f t="shared" si="328"/>
        <v>146</v>
      </c>
    </row>
    <row r="2670" spans="1:7" s="183" customFormat="1">
      <c r="A2670" s="194" t="s">
        <v>30</v>
      </c>
      <c r="B2670" s="195" t="s">
        <v>31</v>
      </c>
      <c r="C2670" s="194"/>
      <c r="D2670" s="196" t="s">
        <v>28</v>
      </c>
      <c r="E2670" s="199">
        <v>3.8999999999999998E-3</v>
      </c>
      <c r="F2670" s="200">
        <f>VLOOKUP(B2670,'HSD UPAH,BAHAN,ALAT'!$C$6:F2577,4,FALSE)</f>
        <v>10000</v>
      </c>
      <c r="G2670" s="201">
        <f t="shared" si="328"/>
        <v>39</v>
      </c>
    </row>
    <row r="2671" spans="1:7" s="183" customFormat="1">
      <c r="A2671" s="194" t="s">
        <v>33</v>
      </c>
      <c r="B2671" s="195" t="s">
        <v>34</v>
      </c>
      <c r="C2671" s="194"/>
      <c r="D2671" s="196" t="s">
        <v>28</v>
      </c>
      <c r="E2671" s="199">
        <v>1E-3</v>
      </c>
      <c r="F2671" s="200">
        <f>VLOOKUP(B2671,'HSD UPAH,BAHAN,ALAT'!$C$6:F2578,4,FALSE)</f>
        <v>10000</v>
      </c>
      <c r="G2671" s="201">
        <f t="shared" si="328"/>
        <v>10</v>
      </c>
    </row>
    <row r="2672" spans="1:7" s="183" customFormat="1">
      <c r="A2672" s="260" t="s">
        <v>421</v>
      </c>
      <c r="B2672" s="260"/>
      <c r="C2672" s="260"/>
      <c r="D2672" s="260"/>
      <c r="E2672" s="260"/>
      <c r="F2672" s="260"/>
      <c r="G2672" s="202">
        <f>SUM(G2666:G2671)</f>
        <v>10745</v>
      </c>
    </row>
    <row r="2673" spans="1:7" s="183" customFormat="1">
      <c r="A2673" s="194" t="s">
        <v>36</v>
      </c>
      <c r="B2673" s="195" t="s">
        <v>37</v>
      </c>
      <c r="C2673" s="194"/>
      <c r="D2673" s="196"/>
      <c r="E2673" s="199"/>
      <c r="F2673" s="217"/>
      <c r="G2673" s="217"/>
    </row>
    <row r="2674" spans="1:7" s="183" customFormat="1">
      <c r="A2674" s="258" t="s">
        <v>419</v>
      </c>
      <c r="B2674" s="258"/>
      <c r="C2674" s="258"/>
      <c r="D2674" s="258"/>
      <c r="E2674" s="258"/>
      <c r="F2674" s="258"/>
      <c r="G2674" s="207">
        <f>SUM(G2673)</f>
        <v>0</v>
      </c>
    </row>
    <row r="2675" spans="1:7" s="183" customFormat="1">
      <c r="A2675" s="208" t="s">
        <v>38</v>
      </c>
      <c r="B2675" s="259" t="s">
        <v>39</v>
      </c>
      <c r="C2675" s="259"/>
      <c r="D2675" s="259"/>
      <c r="E2675" s="259"/>
      <c r="F2675" s="259"/>
      <c r="G2675" s="207">
        <f>SUM(G2661:G2674)/2</f>
        <v>12911</v>
      </c>
    </row>
    <row r="2676" spans="1:7" s="183" customFormat="1">
      <c r="A2676" s="208" t="s">
        <v>40</v>
      </c>
      <c r="B2676" s="259" t="s">
        <v>180</v>
      </c>
      <c r="C2676" s="259"/>
      <c r="D2676" s="259"/>
      <c r="E2676" s="259"/>
      <c r="F2676" s="209">
        <v>0.1</v>
      </c>
      <c r="G2676" s="207">
        <f>G2675*F2676</f>
        <v>1291.1000000000001</v>
      </c>
    </row>
    <row r="2677" spans="1:7" s="183" customFormat="1">
      <c r="A2677" s="208" t="s">
        <v>41</v>
      </c>
      <c r="B2677" s="259" t="s">
        <v>42</v>
      </c>
      <c r="C2677" s="259"/>
      <c r="D2677" s="259"/>
      <c r="E2677" s="259"/>
      <c r="F2677" s="259"/>
      <c r="G2677" s="207">
        <f>G2675+G2676</f>
        <v>14202.1</v>
      </c>
    </row>
    <row r="2678" spans="1:7" s="183" customFormat="1">
      <c r="A2678" s="210"/>
      <c r="B2678" s="211"/>
      <c r="C2678" s="211"/>
      <c r="D2678" s="211"/>
      <c r="E2678" s="211"/>
      <c r="F2678" s="211"/>
      <c r="G2678" s="212"/>
    </row>
    <row r="2679" spans="1:7" s="183" customFormat="1">
      <c r="A2679" s="213" t="s">
        <v>771</v>
      </c>
      <c r="B2679" s="211"/>
      <c r="C2679" s="211"/>
      <c r="D2679" s="211"/>
      <c r="E2679" s="211"/>
      <c r="F2679" s="211"/>
      <c r="G2679" s="212"/>
    </row>
    <row r="2680" spans="1:7" s="183" customFormat="1">
      <c r="A2680" s="213" t="s">
        <v>772</v>
      </c>
      <c r="B2680" s="211"/>
      <c r="C2680" s="211"/>
      <c r="D2680" s="211"/>
      <c r="E2680" s="211"/>
      <c r="F2680" s="211"/>
      <c r="G2680" s="212"/>
    </row>
    <row r="2681" spans="1:7" s="183" customFormat="1" ht="30">
      <c r="A2681" s="193" t="s">
        <v>0</v>
      </c>
      <c r="B2681" s="193" t="s">
        <v>1</v>
      </c>
      <c r="C2681" s="193" t="s">
        <v>207</v>
      </c>
      <c r="D2681" s="193" t="s">
        <v>3</v>
      </c>
      <c r="E2681" s="193" t="s">
        <v>2</v>
      </c>
      <c r="F2681" s="193" t="s">
        <v>417</v>
      </c>
      <c r="G2681" s="193" t="s">
        <v>418</v>
      </c>
    </row>
    <row r="2682" spans="1:7" s="183" customFormat="1">
      <c r="A2682" s="194" t="s">
        <v>4</v>
      </c>
      <c r="B2682" s="195" t="s">
        <v>5</v>
      </c>
      <c r="C2682" s="194"/>
      <c r="D2682" s="196"/>
      <c r="E2682" s="199"/>
      <c r="F2682" s="217"/>
      <c r="G2682" s="217"/>
    </row>
    <row r="2683" spans="1:7" s="183" customFormat="1">
      <c r="A2683" s="194">
        <v>1</v>
      </c>
      <c r="B2683" s="195" t="s">
        <v>48</v>
      </c>
      <c r="C2683" s="194" t="s">
        <v>49</v>
      </c>
      <c r="D2683" s="196" t="s">
        <v>8</v>
      </c>
      <c r="E2683" s="199">
        <v>0.04</v>
      </c>
      <c r="F2683" s="200">
        <f>VLOOKUP(B2683,'HSD UPAH,BAHAN,ALAT'!$C$6:F2445,4,FALSE)</f>
        <v>100000</v>
      </c>
      <c r="G2683" s="201">
        <f t="shared" ref="G2683:G2686" si="329">E2683*F2683</f>
        <v>4000</v>
      </c>
    </row>
    <row r="2684" spans="1:7" s="183" customFormat="1">
      <c r="A2684" s="194">
        <v>2</v>
      </c>
      <c r="B2684" s="195" t="s">
        <v>6</v>
      </c>
      <c r="C2684" s="194" t="s">
        <v>7</v>
      </c>
      <c r="D2684" s="196" t="s">
        <v>8</v>
      </c>
      <c r="E2684" s="199">
        <v>0.04</v>
      </c>
      <c r="F2684" s="200">
        <f>VLOOKUP(B2684,'HSD UPAH,BAHAN,ALAT'!$C$6:F2446,4,FALSE)</f>
        <v>100000</v>
      </c>
      <c r="G2684" s="201">
        <f t="shared" si="329"/>
        <v>4000</v>
      </c>
    </row>
    <row r="2685" spans="1:7" s="183" customFormat="1">
      <c r="A2685" s="194">
        <v>3</v>
      </c>
      <c r="B2685" s="195" t="s">
        <v>10</v>
      </c>
      <c r="C2685" s="194" t="s">
        <v>11</v>
      </c>
      <c r="D2685" s="196" t="s">
        <v>8</v>
      </c>
      <c r="E2685" s="199">
        <v>1.2999999999999999E-2</v>
      </c>
      <c r="F2685" s="200">
        <f>VLOOKUP(B2685,'HSD UPAH,BAHAN,ALAT'!$C$6:F2447,4,FALSE)</f>
        <v>120000</v>
      </c>
      <c r="G2685" s="201">
        <f t="shared" si="329"/>
        <v>1560</v>
      </c>
    </row>
    <row r="2686" spans="1:7" s="183" customFormat="1">
      <c r="A2686" s="194">
        <v>4</v>
      </c>
      <c r="B2686" s="195" t="s">
        <v>13</v>
      </c>
      <c r="C2686" s="194" t="s">
        <v>14</v>
      </c>
      <c r="D2686" s="196" t="s">
        <v>8</v>
      </c>
      <c r="E2686" s="199">
        <v>4.2999999999999997E-2</v>
      </c>
      <c r="F2686" s="200">
        <f>VLOOKUP(B2686,'HSD UPAH,BAHAN,ALAT'!$C$6:F2448,4,FALSE)</f>
        <v>100000</v>
      </c>
      <c r="G2686" s="201">
        <f t="shared" si="329"/>
        <v>4300</v>
      </c>
    </row>
    <row r="2687" spans="1:7" s="183" customFormat="1">
      <c r="A2687" s="260" t="s">
        <v>420</v>
      </c>
      <c r="B2687" s="260"/>
      <c r="C2687" s="260"/>
      <c r="D2687" s="260"/>
      <c r="E2687" s="260"/>
      <c r="F2687" s="260"/>
      <c r="G2687" s="202">
        <f>SUM(G2683:G2686)</f>
        <v>13860</v>
      </c>
    </row>
    <row r="2688" spans="1:7" s="183" customFormat="1">
      <c r="A2688" s="194" t="s">
        <v>16</v>
      </c>
      <c r="B2688" s="195" t="s">
        <v>17</v>
      </c>
      <c r="C2688" s="194"/>
      <c r="D2688" s="196"/>
      <c r="E2688" s="199"/>
      <c r="F2688" s="217"/>
      <c r="G2688" s="217"/>
    </row>
    <row r="2689" spans="1:7" s="183" customFormat="1" ht="30">
      <c r="A2689" s="203" t="s">
        <v>208</v>
      </c>
      <c r="B2689" s="204" t="s">
        <v>773</v>
      </c>
      <c r="C2689" s="203"/>
      <c r="D2689" s="205" t="s">
        <v>86</v>
      </c>
      <c r="E2689" s="206" t="s">
        <v>87</v>
      </c>
      <c r="F2689" s="200">
        <f>VLOOKUP(B2689,'HSD UPAH,BAHAN,ALAT'!$C$6:F2451,4,FALSE)</f>
        <v>10000</v>
      </c>
      <c r="G2689" s="201">
        <f t="shared" ref="G2689:G2697" si="330">E2689*F2689</f>
        <v>10500</v>
      </c>
    </row>
    <row r="2690" spans="1:7" s="183" customFormat="1">
      <c r="A2690" s="194">
        <v>2</v>
      </c>
      <c r="B2690" s="195" t="s">
        <v>18</v>
      </c>
      <c r="C2690" s="194"/>
      <c r="D2690" s="196" t="s">
        <v>19</v>
      </c>
      <c r="E2690" s="199">
        <v>0.01</v>
      </c>
      <c r="F2690" s="200">
        <f>VLOOKUP(B2690,'HSD UPAH,BAHAN,ALAT'!$C$6:F2452,4,FALSE)</f>
        <v>10000</v>
      </c>
      <c r="G2690" s="201">
        <f t="shared" si="330"/>
        <v>100</v>
      </c>
    </row>
    <row r="2691" spans="1:7" s="183" customFormat="1">
      <c r="A2691" s="194">
        <v>3</v>
      </c>
      <c r="B2691" s="195" t="s">
        <v>21</v>
      </c>
      <c r="C2691" s="194"/>
      <c r="D2691" s="196"/>
      <c r="E2691" s="199"/>
      <c r="F2691" s="200"/>
      <c r="G2691" s="201">
        <f t="shared" si="330"/>
        <v>0</v>
      </c>
    </row>
    <row r="2692" spans="1:7" s="183" customFormat="1">
      <c r="A2692" s="194" t="s">
        <v>22</v>
      </c>
      <c r="B2692" s="195" t="s">
        <v>54</v>
      </c>
      <c r="C2692" s="194"/>
      <c r="D2692" s="196" t="s">
        <v>24</v>
      </c>
      <c r="E2692" s="199" t="s">
        <v>55</v>
      </c>
      <c r="F2692" s="200">
        <f>VLOOKUP(B2692,'HSD UPAH,BAHAN,ALAT'!$C$6:F2454,4,FALSE)</f>
        <v>10000</v>
      </c>
      <c r="G2692" s="201">
        <f t="shared" si="330"/>
        <v>120000</v>
      </c>
    </row>
    <row r="2693" spans="1:7" s="183" customFormat="1">
      <c r="A2693" s="194" t="s">
        <v>30</v>
      </c>
      <c r="B2693" s="195" t="s">
        <v>56</v>
      </c>
      <c r="C2693" s="194"/>
      <c r="D2693" s="196" t="s">
        <v>24</v>
      </c>
      <c r="E2693" s="199" t="s">
        <v>57</v>
      </c>
      <c r="F2693" s="200">
        <f>VLOOKUP(B2693,'HSD UPAH,BAHAN,ALAT'!$C$6:F2455,4,FALSE)</f>
        <v>10000</v>
      </c>
      <c r="G2693" s="201">
        <f t="shared" si="330"/>
        <v>100000</v>
      </c>
    </row>
    <row r="2694" spans="1:7" s="183" customFormat="1">
      <c r="A2694" s="194">
        <v>4</v>
      </c>
      <c r="B2694" s="195" t="s">
        <v>26</v>
      </c>
      <c r="C2694" s="194"/>
      <c r="D2694" s="196"/>
      <c r="E2694" s="199"/>
      <c r="F2694" s="200"/>
      <c r="G2694" s="201">
        <f t="shared" si="330"/>
        <v>0</v>
      </c>
    </row>
    <row r="2695" spans="1:7" s="183" customFormat="1">
      <c r="A2695" s="194" t="s">
        <v>22</v>
      </c>
      <c r="B2695" s="195" t="s">
        <v>27</v>
      </c>
      <c r="C2695" s="194"/>
      <c r="D2695" s="196" t="s">
        <v>28</v>
      </c>
      <c r="E2695" s="199">
        <v>4.9000000000000002E-2</v>
      </c>
      <c r="F2695" s="200">
        <f>VLOOKUP(B2695,'HSD UPAH,BAHAN,ALAT'!$C$6:F2457,4,FALSE)</f>
        <v>10000</v>
      </c>
      <c r="G2695" s="201">
        <f t="shared" si="330"/>
        <v>490</v>
      </c>
    </row>
    <row r="2696" spans="1:7" s="183" customFormat="1">
      <c r="A2696" s="194" t="s">
        <v>30</v>
      </c>
      <c r="B2696" s="195" t="s">
        <v>31</v>
      </c>
      <c r="C2696" s="194"/>
      <c r="D2696" s="196" t="s">
        <v>28</v>
      </c>
      <c r="E2696" s="199">
        <v>1.2999999999999999E-2</v>
      </c>
      <c r="F2696" s="200">
        <f>VLOOKUP(B2696,'HSD UPAH,BAHAN,ALAT'!$C$6:F2458,4,FALSE)</f>
        <v>10000</v>
      </c>
      <c r="G2696" s="201">
        <f t="shared" si="330"/>
        <v>130</v>
      </c>
    </row>
    <row r="2697" spans="1:7" s="183" customFormat="1">
      <c r="A2697" s="194" t="s">
        <v>33</v>
      </c>
      <c r="B2697" s="195" t="s">
        <v>34</v>
      </c>
      <c r="C2697" s="194"/>
      <c r="D2697" s="196" t="s">
        <v>28</v>
      </c>
      <c r="E2697" s="199">
        <v>3.0000000000000001E-3</v>
      </c>
      <c r="F2697" s="200">
        <f>VLOOKUP(B2697,'HSD UPAH,BAHAN,ALAT'!$C$6:F2459,4,FALSE)</f>
        <v>10000</v>
      </c>
      <c r="G2697" s="201">
        <f t="shared" si="330"/>
        <v>30</v>
      </c>
    </row>
    <row r="2698" spans="1:7" s="183" customFormat="1">
      <c r="A2698" s="260" t="s">
        <v>421</v>
      </c>
      <c r="B2698" s="260"/>
      <c r="C2698" s="260"/>
      <c r="D2698" s="260"/>
      <c r="E2698" s="260"/>
      <c r="F2698" s="260"/>
      <c r="G2698" s="202">
        <f>SUM(G2689:G2697)</f>
        <v>231250</v>
      </c>
    </row>
    <row r="2699" spans="1:7" s="183" customFormat="1">
      <c r="A2699" s="194" t="s">
        <v>36</v>
      </c>
      <c r="B2699" s="195" t="s">
        <v>37</v>
      </c>
      <c r="C2699" s="194"/>
      <c r="D2699" s="196"/>
      <c r="E2699" s="199"/>
      <c r="F2699" s="217"/>
      <c r="G2699" s="217"/>
    </row>
    <row r="2700" spans="1:7" s="183" customFormat="1">
      <c r="A2700" s="258" t="s">
        <v>419</v>
      </c>
      <c r="B2700" s="258"/>
      <c r="C2700" s="258"/>
      <c r="D2700" s="258"/>
      <c r="E2700" s="258"/>
      <c r="F2700" s="258"/>
      <c r="G2700" s="207">
        <f>SUM(G2699)</f>
        <v>0</v>
      </c>
    </row>
    <row r="2701" spans="1:7" s="183" customFormat="1">
      <c r="A2701" s="208" t="s">
        <v>38</v>
      </c>
      <c r="B2701" s="259" t="s">
        <v>39</v>
      </c>
      <c r="C2701" s="259"/>
      <c r="D2701" s="259"/>
      <c r="E2701" s="259"/>
      <c r="F2701" s="259"/>
      <c r="G2701" s="207">
        <f>SUM(G2683:G2700)/2</f>
        <v>245110</v>
      </c>
    </row>
    <row r="2702" spans="1:7" s="183" customFormat="1">
      <c r="A2702" s="208" t="s">
        <v>40</v>
      </c>
      <c r="B2702" s="259" t="s">
        <v>180</v>
      </c>
      <c r="C2702" s="259"/>
      <c r="D2702" s="259"/>
      <c r="E2702" s="259"/>
      <c r="F2702" s="209">
        <v>0.1</v>
      </c>
      <c r="G2702" s="207">
        <f>G2701*F2702</f>
        <v>24511</v>
      </c>
    </row>
    <row r="2703" spans="1:7" s="183" customFormat="1">
      <c r="A2703" s="208" t="s">
        <v>41</v>
      </c>
      <c r="B2703" s="259" t="s">
        <v>42</v>
      </c>
      <c r="C2703" s="259"/>
      <c r="D2703" s="259"/>
      <c r="E2703" s="259"/>
      <c r="F2703" s="259"/>
      <c r="G2703" s="207">
        <f>G2701+G2702</f>
        <v>269621</v>
      </c>
    </row>
    <row r="2704" spans="1:7">
      <c r="A2704" s="90"/>
      <c r="B2704" s="91"/>
      <c r="C2704" s="91"/>
      <c r="D2704" s="91"/>
      <c r="E2704" s="91"/>
      <c r="F2704" s="91"/>
      <c r="G2704" s="92"/>
    </row>
    <row r="2705" spans="1:7" s="183" customFormat="1">
      <c r="A2705" s="213" t="s">
        <v>774</v>
      </c>
      <c r="B2705" s="211"/>
      <c r="C2705" s="211"/>
      <c r="D2705" s="211"/>
      <c r="E2705" s="211"/>
      <c r="F2705" s="211"/>
      <c r="G2705" s="212"/>
    </row>
    <row r="2706" spans="1:7" s="183" customFormat="1" ht="30">
      <c r="A2706" s="193" t="s">
        <v>0</v>
      </c>
      <c r="B2706" s="193" t="s">
        <v>1</v>
      </c>
      <c r="C2706" s="193" t="s">
        <v>207</v>
      </c>
      <c r="D2706" s="193" t="s">
        <v>3</v>
      </c>
      <c r="E2706" s="193" t="s">
        <v>2</v>
      </c>
      <c r="F2706" s="193" t="s">
        <v>417</v>
      </c>
      <c r="G2706" s="193" t="s">
        <v>418</v>
      </c>
    </row>
    <row r="2707" spans="1:7" s="183" customFormat="1">
      <c r="A2707" s="194" t="s">
        <v>4</v>
      </c>
      <c r="B2707" s="195" t="s">
        <v>5</v>
      </c>
      <c r="C2707" s="194"/>
      <c r="D2707" s="196"/>
      <c r="E2707" s="199"/>
      <c r="F2707" s="217"/>
      <c r="G2707" s="217"/>
    </row>
    <row r="2708" spans="1:7" s="183" customFormat="1">
      <c r="A2708" s="194">
        <v>1</v>
      </c>
      <c r="B2708" s="195" t="s">
        <v>48</v>
      </c>
      <c r="C2708" s="194" t="s">
        <v>49</v>
      </c>
      <c r="D2708" s="196" t="s">
        <v>8</v>
      </c>
      <c r="E2708" s="199">
        <v>0.04</v>
      </c>
      <c r="F2708" s="200">
        <f>VLOOKUP(B2708,'HSD UPAH,BAHAN,ALAT'!$C$6:F2470,4,FALSE)</f>
        <v>100000</v>
      </c>
      <c r="G2708" s="201">
        <f t="shared" ref="G2708:G2711" si="331">E2708*F2708</f>
        <v>4000</v>
      </c>
    </row>
    <row r="2709" spans="1:7" s="183" customFormat="1">
      <c r="A2709" s="194">
        <v>2</v>
      </c>
      <c r="B2709" s="195" t="s">
        <v>6</v>
      </c>
      <c r="C2709" s="194" t="s">
        <v>7</v>
      </c>
      <c r="D2709" s="196" t="s">
        <v>8</v>
      </c>
      <c r="E2709" s="199">
        <v>0.04</v>
      </c>
      <c r="F2709" s="200">
        <f>VLOOKUP(B2709,'HSD UPAH,BAHAN,ALAT'!$C$6:F2471,4,FALSE)</f>
        <v>100000</v>
      </c>
      <c r="G2709" s="201">
        <f t="shared" si="331"/>
        <v>4000</v>
      </c>
    </row>
    <row r="2710" spans="1:7" s="183" customFormat="1">
      <c r="A2710" s="194">
        <v>3</v>
      </c>
      <c r="B2710" s="195" t="s">
        <v>10</v>
      </c>
      <c r="C2710" s="194" t="s">
        <v>11</v>
      </c>
      <c r="D2710" s="196" t="s">
        <v>8</v>
      </c>
      <c r="E2710" s="199">
        <v>1.2999999999999999E-2</v>
      </c>
      <c r="F2710" s="200">
        <f>VLOOKUP(B2710,'HSD UPAH,BAHAN,ALAT'!$C$6:F2472,4,FALSE)</f>
        <v>120000</v>
      </c>
      <c r="G2710" s="201">
        <f t="shared" si="331"/>
        <v>1560</v>
      </c>
    </row>
    <row r="2711" spans="1:7" s="183" customFormat="1">
      <c r="A2711" s="194">
        <v>4</v>
      </c>
      <c r="B2711" s="195" t="s">
        <v>13</v>
      </c>
      <c r="C2711" s="194" t="s">
        <v>14</v>
      </c>
      <c r="D2711" s="196" t="s">
        <v>8</v>
      </c>
      <c r="E2711" s="199">
        <v>4.2999999999999997E-2</v>
      </c>
      <c r="F2711" s="200">
        <f>VLOOKUP(B2711,'HSD UPAH,BAHAN,ALAT'!$C$6:F2473,4,FALSE)</f>
        <v>100000</v>
      </c>
      <c r="G2711" s="201">
        <f t="shared" si="331"/>
        <v>4300</v>
      </c>
    </row>
    <row r="2712" spans="1:7" s="183" customFormat="1">
      <c r="A2712" s="260" t="s">
        <v>420</v>
      </c>
      <c r="B2712" s="260"/>
      <c r="C2712" s="260"/>
      <c r="D2712" s="260"/>
      <c r="E2712" s="260"/>
      <c r="F2712" s="260"/>
      <c r="G2712" s="202">
        <f>SUM(G2708:G2711)</f>
        <v>13860</v>
      </c>
    </row>
    <row r="2713" spans="1:7" s="183" customFormat="1">
      <c r="A2713" s="194" t="s">
        <v>16</v>
      </c>
      <c r="B2713" s="195" t="s">
        <v>17</v>
      </c>
      <c r="C2713" s="194"/>
      <c r="D2713" s="196"/>
      <c r="E2713" s="199"/>
      <c r="F2713" s="217"/>
      <c r="G2713" s="217"/>
    </row>
    <row r="2714" spans="1:7" s="183" customFormat="1" ht="45">
      <c r="A2714" s="203" t="s">
        <v>208</v>
      </c>
      <c r="B2714" s="204" t="s">
        <v>775</v>
      </c>
      <c r="C2714" s="203"/>
      <c r="D2714" s="205" t="s">
        <v>86</v>
      </c>
      <c r="E2714" s="206" t="s">
        <v>87</v>
      </c>
      <c r="F2714" s="200">
        <f>VLOOKUP(B2714,'HSD UPAH,BAHAN,ALAT'!$C$6:F2476,4,FALSE)</f>
        <v>10000</v>
      </c>
      <c r="G2714" s="201">
        <f t="shared" ref="G2714:G2722" si="332">E2714*F2714</f>
        <v>10500</v>
      </c>
    </row>
    <row r="2715" spans="1:7" s="183" customFormat="1">
      <c r="A2715" s="194">
        <v>2</v>
      </c>
      <c r="B2715" s="195" t="s">
        <v>18</v>
      </c>
      <c r="C2715" s="194"/>
      <c r="D2715" s="196" t="s">
        <v>19</v>
      </c>
      <c r="E2715" s="199">
        <v>0.01</v>
      </c>
      <c r="F2715" s="200">
        <f>VLOOKUP(B2715,'HSD UPAH,BAHAN,ALAT'!$C$6:F2477,4,FALSE)</f>
        <v>10000</v>
      </c>
      <c r="G2715" s="201">
        <f t="shared" si="332"/>
        <v>100</v>
      </c>
    </row>
    <row r="2716" spans="1:7" s="183" customFormat="1">
      <c r="A2716" s="194">
        <v>3</v>
      </c>
      <c r="B2716" s="195" t="s">
        <v>21</v>
      </c>
      <c r="C2716" s="194"/>
      <c r="D2716" s="196"/>
      <c r="E2716" s="199"/>
      <c r="F2716" s="200"/>
      <c r="G2716" s="201">
        <f t="shared" si="332"/>
        <v>0</v>
      </c>
    </row>
    <row r="2717" spans="1:7" s="183" customFormat="1">
      <c r="A2717" s="194" t="s">
        <v>22</v>
      </c>
      <c r="B2717" s="195" t="s">
        <v>54</v>
      </c>
      <c r="C2717" s="194"/>
      <c r="D2717" s="196" t="s">
        <v>24</v>
      </c>
      <c r="E2717" s="199" t="s">
        <v>55</v>
      </c>
      <c r="F2717" s="200">
        <f>VLOOKUP(B2717,'HSD UPAH,BAHAN,ALAT'!$C$6:F2479,4,FALSE)</f>
        <v>10000</v>
      </c>
      <c r="G2717" s="201">
        <f t="shared" si="332"/>
        <v>120000</v>
      </c>
    </row>
    <row r="2718" spans="1:7" s="183" customFormat="1">
      <c r="A2718" s="194" t="s">
        <v>30</v>
      </c>
      <c r="B2718" s="195" t="s">
        <v>56</v>
      </c>
      <c r="C2718" s="194"/>
      <c r="D2718" s="196" t="s">
        <v>24</v>
      </c>
      <c r="E2718" s="199" t="s">
        <v>57</v>
      </c>
      <c r="F2718" s="200">
        <f>VLOOKUP(B2718,'HSD UPAH,BAHAN,ALAT'!$C$6:F2480,4,FALSE)</f>
        <v>10000</v>
      </c>
      <c r="G2718" s="201">
        <f t="shared" si="332"/>
        <v>100000</v>
      </c>
    </row>
    <row r="2719" spans="1:7" s="183" customFormat="1">
      <c r="A2719" s="194">
        <v>4</v>
      </c>
      <c r="B2719" s="195" t="s">
        <v>26</v>
      </c>
      <c r="C2719" s="194"/>
      <c r="D2719" s="196"/>
      <c r="E2719" s="199"/>
      <c r="F2719" s="200"/>
      <c r="G2719" s="201">
        <f t="shared" si="332"/>
        <v>0</v>
      </c>
    </row>
    <row r="2720" spans="1:7" s="183" customFormat="1">
      <c r="A2720" s="194" t="s">
        <v>22</v>
      </c>
      <c r="B2720" s="195" t="s">
        <v>27</v>
      </c>
      <c r="C2720" s="194"/>
      <c r="D2720" s="196" t="s">
        <v>28</v>
      </c>
      <c r="E2720" s="199">
        <v>4.9000000000000002E-2</v>
      </c>
      <c r="F2720" s="200">
        <f>VLOOKUP(B2720,'HSD UPAH,BAHAN,ALAT'!$C$6:F2482,4,FALSE)</f>
        <v>10000</v>
      </c>
      <c r="G2720" s="201">
        <f t="shared" si="332"/>
        <v>490</v>
      </c>
    </row>
    <row r="2721" spans="1:7" s="183" customFormat="1">
      <c r="A2721" s="194" t="s">
        <v>30</v>
      </c>
      <c r="B2721" s="195" t="s">
        <v>31</v>
      </c>
      <c r="C2721" s="194"/>
      <c r="D2721" s="196" t="s">
        <v>28</v>
      </c>
      <c r="E2721" s="199">
        <v>1.2999999999999999E-2</v>
      </c>
      <c r="F2721" s="200">
        <f>VLOOKUP(B2721,'HSD UPAH,BAHAN,ALAT'!$C$6:F2483,4,FALSE)</f>
        <v>10000</v>
      </c>
      <c r="G2721" s="201">
        <f t="shared" si="332"/>
        <v>130</v>
      </c>
    </row>
    <row r="2722" spans="1:7" s="183" customFormat="1">
      <c r="A2722" s="194" t="s">
        <v>33</v>
      </c>
      <c r="B2722" s="195" t="s">
        <v>34</v>
      </c>
      <c r="C2722" s="194"/>
      <c r="D2722" s="196" t="s">
        <v>28</v>
      </c>
      <c r="E2722" s="199">
        <v>3.0000000000000001E-3</v>
      </c>
      <c r="F2722" s="200">
        <f>VLOOKUP(B2722,'HSD UPAH,BAHAN,ALAT'!$C$6:F2484,4,FALSE)</f>
        <v>10000</v>
      </c>
      <c r="G2722" s="201">
        <f t="shared" si="332"/>
        <v>30</v>
      </c>
    </row>
    <row r="2723" spans="1:7" s="183" customFormat="1">
      <c r="A2723" s="260" t="s">
        <v>421</v>
      </c>
      <c r="B2723" s="260"/>
      <c r="C2723" s="260"/>
      <c r="D2723" s="260"/>
      <c r="E2723" s="260"/>
      <c r="F2723" s="260"/>
      <c r="G2723" s="202">
        <f>SUM(G2714:G2722)</f>
        <v>231250</v>
      </c>
    </row>
    <row r="2724" spans="1:7" s="183" customFormat="1">
      <c r="A2724" s="194" t="s">
        <v>36</v>
      </c>
      <c r="B2724" s="195" t="s">
        <v>37</v>
      </c>
      <c r="C2724" s="194"/>
      <c r="D2724" s="196"/>
      <c r="E2724" s="199"/>
      <c r="F2724" s="217"/>
      <c r="G2724" s="217"/>
    </row>
    <row r="2725" spans="1:7" s="183" customFormat="1">
      <c r="A2725" s="258" t="s">
        <v>419</v>
      </c>
      <c r="B2725" s="258"/>
      <c r="C2725" s="258"/>
      <c r="D2725" s="258"/>
      <c r="E2725" s="258"/>
      <c r="F2725" s="258"/>
      <c r="G2725" s="207">
        <f>SUM(G2724)</f>
        <v>0</v>
      </c>
    </row>
    <row r="2726" spans="1:7" s="183" customFormat="1">
      <c r="A2726" s="208" t="s">
        <v>38</v>
      </c>
      <c r="B2726" s="259" t="s">
        <v>39</v>
      </c>
      <c r="C2726" s="259"/>
      <c r="D2726" s="259"/>
      <c r="E2726" s="259"/>
      <c r="F2726" s="259"/>
      <c r="G2726" s="207">
        <f>SUM(G2708:G2725)/2</f>
        <v>245110</v>
      </c>
    </row>
    <row r="2727" spans="1:7" s="183" customFormat="1">
      <c r="A2727" s="208" t="s">
        <v>40</v>
      </c>
      <c r="B2727" s="259" t="s">
        <v>180</v>
      </c>
      <c r="C2727" s="259"/>
      <c r="D2727" s="259"/>
      <c r="E2727" s="259"/>
      <c r="F2727" s="209">
        <v>0.1</v>
      </c>
      <c r="G2727" s="207">
        <f>G2726*F2727</f>
        <v>24511</v>
      </c>
    </row>
    <row r="2728" spans="1:7" s="183" customFormat="1">
      <c r="A2728" s="208" t="s">
        <v>41</v>
      </c>
      <c r="B2728" s="259" t="s">
        <v>42</v>
      </c>
      <c r="C2728" s="259"/>
      <c r="D2728" s="259"/>
      <c r="E2728" s="259"/>
      <c r="F2728" s="259"/>
      <c r="G2728" s="207">
        <f>G2726+G2727</f>
        <v>269621</v>
      </c>
    </row>
    <row r="2729" spans="1:7" s="183" customFormat="1">
      <c r="A2729" s="210"/>
      <c r="B2729" s="211"/>
      <c r="C2729" s="211"/>
      <c r="D2729" s="211"/>
      <c r="E2729" s="211"/>
      <c r="F2729" s="211"/>
      <c r="G2729" s="212"/>
    </row>
    <row r="2730" spans="1:7" s="183" customFormat="1">
      <c r="A2730" s="213" t="s">
        <v>777</v>
      </c>
      <c r="B2730" s="211"/>
      <c r="C2730" s="211"/>
      <c r="D2730" s="211"/>
      <c r="E2730" s="211"/>
      <c r="F2730" s="211"/>
      <c r="G2730" s="212"/>
    </row>
    <row r="2731" spans="1:7" s="183" customFormat="1" ht="30">
      <c r="A2731" s="193" t="s">
        <v>0</v>
      </c>
      <c r="B2731" s="193" t="s">
        <v>1</v>
      </c>
      <c r="C2731" s="193" t="s">
        <v>207</v>
      </c>
      <c r="D2731" s="193" t="s">
        <v>3</v>
      </c>
      <c r="E2731" s="193" t="s">
        <v>2</v>
      </c>
      <c r="F2731" s="193" t="s">
        <v>417</v>
      </c>
      <c r="G2731" s="193" t="s">
        <v>418</v>
      </c>
    </row>
    <row r="2732" spans="1:7" s="183" customFormat="1">
      <c r="A2732" s="194" t="s">
        <v>4</v>
      </c>
      <c r="B2732" s="195" t="s">
        <v>5</v>
      </c>
      <c r="C2732" s="194"/>
      <c r="D2732" s="196"/>
      <c r="E2732" s="199"/>
      <c r="F2732" s="217"/>
      <c r="G2732" s="217"/>
    </row>
    <row r="2733" spans="1:7" s="183" customFormat="1">
      <c r="A2733" s="194">
        <v>1</v>
      </c>
      <c r="B2733" s="195" t="s">
        <v>48</v>
      </c>
      <c r="C2733" s="194" t="s">
        <v>49</v>
      </c>
      <c r="D2733" s="196" t="s">
        <v>8</v>
      </c>
      <c r="E2733" s="199">
        <v>0.04</v>
      </c>
      <c r="F2733" s="200">
        <f>VLOOKUP(B2733,'HSD UPAH,BAHAN,ALAT'!$C$6:F2494,4,FALSE)</f>
        <v>100000</v>
      </c>
      <c r="G2733" s="201">
        <f t="shared" ref="G2733:G2736" si="333">E2733*F2733</f>
        <v>4000</v>
      </c>
    </row>
    <row r="2734" spans="1:7" s="183" customFormat="1">
      <c r="A2734" s="194">
        <v>2</v>
      </c>
      <c r="B2734" s="195" t="s">
        <v>6</v>
      </c>
      <c r="C2734" s="194" t="s">
        <v>7</v>
      </c>
      <c r="D2734" s="196" t="s">
        <v>8</v>
      </c>
      <c r="E2734" s="199">
        <v>0.04</v>
      </c>
      <c r="F2734" s="200">
        <f>VLOOKUP(B2734,'HSD UPAH,BAHAN,ALAT'!$C$6:F2495,4,FALSE)</f>
        <v>100000</v>
      </c>
      <c r="G2734" s="201">
        <f t="shared" si="333"/>
        <v>4000</v>
      </c>
    </row>
    <row r="2735" spans="1:7" s="183" customFormat="1">
      <c r="A2735" s="194">
        <v>3</v>
      </c>
      <c r="B2735" s="195" t="s">
        <v>10</v>
      </c>
      <c r="C2735" s="194" t="s">
        <v>11</v>
      </c>
      <c r="D2735" s="196" t="s">
        <v>8</v>
      </c>
      <c r="E2735" s="199">
        <v>1.2999999999999999E-2</v>
      </c>
      <c r="F2735" s="200">
        <f>VLOOKUP(B2735,'HSD UPAH,BAHAN,ALAT'!$C$6:F2496,4,FALSE)</f>
        <v>120000</v>
      </c>
      <c r="G2735" s="201">
        <f t="shared" si="333"/>
        <v>1560</v>
      </c>
    </row>
    <row r="2736" spans="1:7" s="183" customFormat="1">
      <c r="A2736" s="194">
        <v>4</v>
      </c>
      <c r="B2736" s="195" t="s">
        <v>13</v>
      </c>
      <c r="C2736" s="194" t="s">
        <v>14</v>
      </c>
      <c r="D2736" s="196" t="s">
        <v>8</v>
      </c>
      <c r="E2736" s="199">
        <v>4.2999999999999997E-2</v>
      </c>
      <c r="F2736" s="200">
        <f>VLOOKUP(B2736,'HSD UPAH,BAHAN,ALAT'!$C$6:F2497,4,FALSE)</f>
        <v>100000</v>
      </c>
      <c r="G2736" s="201">
        <f t="shared" si="333"/>
        <v>4300</v>
      </c>
    </row>
    <row r="2737" spans="1:7" s="183" customFormat="1">
      <c r="A2737" s="260" t="s">
        <v>420</v>
      </c>
      <c r="B2737" s="260"/>
      <c r="C2737" s="260"/>
      <c r="D2737" s="260"/>
      <c r="E2737" s="260"/>
      <c r="F2737" s="260"/>
      <c r="G2737" s="202">
        <f>SUM(G2733:G2736)</f>
        <v>13860</v>
      </c>
    </row>
    <row r="2738" spans="1:7" s="183" customFormat="1">
      <c r="A2738" s="194" t="s">
        <v>16</v>
      </c>
      <c r="B2738" s="195" t="s">
        <v>17</v>
      </c>
      <c r="C2738" s="194"/>
      <c r="D2738" s="196"/>
      <c r="E2738" s="199"/>
      <c r="F2738" s="217"/>
      <c r="G2738" s="217"/>
    </row>
    <row r="2739" spans="1:7" s="183" customFormat="1" ht="45">
      <c r="A2739" s="203" t="s">
        <v>208</v>
      </c>
      <c r="B2739" s="204" t="s">
        <v>776</v>
      </c>
      <c r="C2739" s="203"/>
      <c r="D2739" s="205" t="s">
        <v>86</v>
      </c>
      <c r="E2739" s="206" t="s">
        <v>87</v>
      </c>
      <c r="F2739" s="200">
        <f>VLOOKUP(B2739,'HSD UPAH,BAHAN,ALAT'!$C$6:F2500,4,FALSE)</f>
        <v>10000</v>
      </c>
      <c r="G2739" s="201">
        <f t="shared" ref="G2739:G2747" si="334">E2739*F2739</f>
        <v>10500</v>
      </c>
    </row>
    <row r="2740" spans="1:7" s="183" customFormat="1">
      <c r="A2740" s="194">
        <v>2</v>
      </c>
      <c r="B2740" s="195" t="s">
        <v>18</v>
      </c>
      <c r="C2740" s="194"/>
      <c r="D2740" s="196" t="s">
        <v>19</v>
      </c>
      <c r="E2740" s="199">
        <v>0.01</v>
      </c>
      <c r="F2740" s="200">
        <f>VLOOKUP(B2740,'HSD UPAH,BAHAN,ALAT'!$C$6:F2501,4,FALSE)</f>
        <v>10000</v>
      </c>
      <c r="G2740" s="201">
        <f t="shared" si="334"/>
        <v>100</v>
      </c>
    </row>
    <row r="2741" spans="1:7" s="183" customFormat="1">
      <c r="A2741" s="194">
        <v>3</v>
      </c>
      <c r="B2741" s="195" t="s">
        <v>21</v>
      </c>
      <c r="C2741" s="194"/>
      <c r="D2741" s="196"/>
      <c r="E2741" s="199"/>
      <c r="F2741" s="200"/>
      <c r="G2741" s="201">
        <f t="shared" si="334"/>
        <v>0</v>
      </c>
    </row>
    <row r="2742" spans="1:7" s="183" customFormat="1">
      <c r="A2742" s="194" t="s">
        <v>22</v>
      </c>
      <c r="B2742" s="195" t="s">
        <v>54</v>
      </c>
      <c r="C2742" s="194"/>
      <c r="D2742" s="196" t="s">
        <v>24</v>
      </c>
      <c r="E2742" s="199" t="s">
        <v>55</v>
      </c>
      <c r="F2742" s="200">
        <f>VLOOKUP(B2742,'HSD UPAH,BAHAN,ALAT'!$C$6:F2503,4,FALSE)</f>
        <v>10000</v>
      </c>
      <c r="G2742" s="201">
        <f t="shared" si="334"/>
        <v>120000</v>
      </c>
    </row>
    <row r="2743" spans="1:7" s="183" customFormat="1">
      <c r="A2743" s="194" t="s">
        <v>30</v>
      </c>
      <c r="B2743" s="195" t="s">
        <v>56</v>
      </c>
      <c r="C2743" s="194"/>
      <c r="D2743" s="196" t="s">
        <v>24</v>
      </c>
      <c r="E2743" s="199" t="s">
        <v>57</v>
      </c>
      <c r="F2743" s="200">
        <f>VLOOKUP(B2743,'HSD UPAH,BAHAN,ALAT'!$C$6:F2504,4,FALSE)</f>
        <v>10000</v>
      </c>
      <c r="G2743" s="201">
        <f t="shared" si="334"/>
        <v>100000</v>
      </c>
    </row>
    <row r="2744" spans="1:7" s="183" customFormat="1">
      <c r="A2744" s="194">
        <v>4</v>
      </c>
      <c r="B2744" s="195" t="s">
        <v>26</v>
      </c>
      <c r="C2744" s="194"/>
      <c r="D2744" s="196"/>
      <c r="E2744" s="199"/>
      <c r="F2744" s="200"/>
      <c r="G2744" s="201">
        <f t="shared" si="334"/>
        <v>0</v>
      </c>
    </row>
    <row r="2745" spans="1:7" s="183" customFormat="1">
      <c r="A2745" s="194" t="s">
        <v>22</v>
      </c>
      <c r="B2745" s="195" t="s">
        <v>27</v>
      </c>
      <c r="C2745" s="194"/>
      <c r="D2745" s="196" t="s">
        <v>28</v>
      </c>
      <c r="E2745" s="199">
        <v>4.9000000000000002E-2</v>
      </c>
      <c r="F2745" s="200">
        <f>VLOOKUP(B2745,'HSD UPAH,BAHAN,ALAT'!$C$6:F2506,4,FALSE)</f>
        <v>10000</v>
      </c>
      <c r="G2745" s="201">
        <f t="shared" si="334"/>
        <v>490</v>
      </c>
    </row>
    <row r="2746" spans="1:7" s="183" customFormat="1">
      <c r="A2746" s="194" t="s">
        <v>30</v>
      </c>
      <c r="B2746" s="195" t="s">
        <v>31</v>
      </c>
      <c r="C2746" s="194"/>
      <c r="D2746" s="196" t="s">
        <v>28</v>
      </c>
      <c r="E2746" s="199">
        <v>1.2999999999999999E-2</v>
      </c>
      <c r="F2746" s="200">
        <f>VLOOKUP(B2746,'HSD UPAH,BAHAN,ALAT'!$C$6:F2507,4,FALSE)</f>
        <v>10000</v>
      </c>
      <c r="G2746" s="201">
        <f t="shared" si="334"/>
        <v>130</v>
      </c>
    </row>
    <row r="2747" spans="1:7" s="183" customFormat="1">
      <c r="A2747" s="194" t="s">
        <v>33</v>
      </c>
      <c r="B2747" s="195" t="s">
        <v>34</v>
      </c>
      <c r="C2747" s="194"/>
      <c r="D2747" s="196" t="s">
        <v>28</v>
      </c>
      <c r="E2747" s="199">
        <v>3.0000000000000001E-3</v>
      </c>
      <c r="F2747" s="200">
        <f>VLOOKUP(B2747,'HSD UPAH,BAHAN,ALAT'!$C$6:F2508,4,FALSE)</f>
        <v>10000</v>
      </c>
      <c r="G2747" s="201">
        <f t="shared" si="334"/>
        <v>30</v>
      </c>
    </row>
    <row r="2748" spans="1:7" s="183" customFormat="1">
      <c r="A2748" s="260" t="s">
        <v>421</v>
      </c>
      <c r="B2748" s="260"/>
      <c r="C2748" s="260"/>
      <c r="D2748" s="260"/>
      <c r="E2748" s="260"/>
      <c r="F2748" s="260"/>
      <c r="G2748" s="202">
        <f>SUM(G2739:G2747)</f>
        <v>231250</v>
      </c>
    </row>
    <row r="2749" spans="1:7" s="183" customFormat="1">
      <c r="A2749" s="194" t="s">
        <v>36</v>
      </c>
      <c r="B2749" s="195" t="s">
        <v>37</v>
      </c>
      <c r="C2749" s="194"/>
      <c r="D2749" s="196"/>
      <c r="E2749" s="199"/>
      <c r="F2749" s="217"/>
      <c r="G2749" s="217"/>
    </row>
    <row r="2750" spans="1:7" s="183" customFormat="1">
      <c r="A2750" s="258" t="s">
        <v>419</v>
      </c>
      <c r="B2750" s="258"/>
      <c r="C2750" s="258"/>
      <c r="D2750" s="258"/>
      <c r="E2750" s="258"/>
      <c r="F2750" s="258"/>
      <c r="G2750" s="207">
        <f>SUM(G2749)</f>
        <v>0</v>
      </c>
    </row>
    <row r="2751" spans="1:7" s="183" customFormat="1">
      <c r="A2751" s="208" t="s">
        <v>38</v>
      </c>
      <c r="B2751" s="259" t="s">
        <v>39</v>
      </c>
      <c r="C2751" s="259"/>
      <c r="D2751" s="259"/>
      <c r="E2751" s="259"/>
      <c r="F2751" s="259"/>
      <c r="G2751" s="207">
        <f>SUM(G2733:G2750)/2</f>
        <v>245110</v>
      </c>
    </row>
    <row r="2752" spans="1:7" s="183" customFormat="1">
      <c r="A2752" s="208" t="s">
        <v>40</v>
      </c>
      <c r="B2752" s="259" t="s">
        <v>180</v>
      </c>
      <c r="C2752" s="259"/>
      <c r="D2752" s="259"/>
      <c r="E2752" s="259"/>
      <c r="F2752" s="209">
        <v>0.1</v>
      </c>
      <c r="G2752" s="207">
        <f>G2751*F2752</f>
        <v>24511</v>
      </c>
    </row>
    <row r="2753" spans="1:7" s="183" customFormat="1">
      <c r="A2753" s="208" t="s">
        <v>41</v>
      </c>
      <c r="B2753" s="259" t="s">
        <v>42</v>
      </c>
      <c r="C2753" s="259"/>
      <c r="D2753" s="259"/>
      <c r="E2753" s="259"/>
      <c r="F2753" s="259"/>
      <c r="G2753" s="207">
        <f>G2751+G2752</f>
        <v>269621</v>
      </c>
    </row>
    <row r="2754" spans="1:7" s="183" customFormat="1">
      <c r="A2754" s="210"/>
      <c r="B2754" s="211"/>
      <c r="C2754" s="211"/>
      <c r="D2754" s="211"/>
      <c r="E2754" s="211"/>
      <c r="F2754" s="211"/>
      <c r="G2754" s="212"/>
    </row>
    <row r="2755" spans="1:7" s="183" customFormat="1">
      <c r="A2755" s="213" t="s">
        <v>778</v>
      </c>
      <c r="B2755" s="211"/>
      <c r="C2755" s="211"/>
      <c r="D2755" s="211"/>
      <c r="E2755" s="211"/>
      <c r="F2755" s="211"/>
      <c r="G2755" s="212"/>
    </row>
    <row r="2756" spans="1:7" s="183" customFormat="1">
      <c r="A2756" s="213" t="s">
        <v>779</v>
      </c>
      <c r="B2756" s="211"/>
      <c r="C2756" s="211"/>
      <c r="D2756" s="211"/>
      <c r="E2756" s="211"/>
      <c r="F2756" s="211"/>
      <c r="G2756" s="212"/>
    </row>
    <row r="2757" spans="1:7" s="183" customFormat="1" ht="30">
      <c r="A2757" s="193" t="s">
        <v>0</v>
      </c>
      <c r="B2757" s="193" t="s">
        <v>1</v>
      </c>
      <c r="C2757" s="193" t="s">
        <v>207</v>
      </c>
      <c r="D2757" s="193" t="s">
        <v>3</v>
      </c>
      <c r="E2757" s="193" t="s">
        <v>2</v>
      </c>
      <c r="F2757" s="193" t="s">
        <v>417</v>
      </c>
      <c r="G2757" s="193" t="s">
        <v>418</v>
      </c>
    </row>
    <row r="2758" spans="1:7" s="183" customFormat="1">
      <c r="A2758" s="194" t="s">
        <v>4</v>
      </c>
      <c r="B2758" s="195" t="s">
        <v>5</v>
      </c>
      <c r="C2758" s="194"/>
      <c r="D2758" s="196"/>
      <c r="E2758" s="199"/>
      <c r="F2758" s="217"/>
      <c r="G2758" s="217"/>
    </row>
    <row r="2759" spans="1:7" s="183" customFormat="1">
      <c r="A2759" s="194">
        <v>1</v>
      </c>
      <c r="B2759" s="195" t="s">
        <v>6</v>
      </c>
      <c r="C2759" s="194" t="s">
        <v>7</v>
      </c>
      <c r="D2759" s="196" t="s">
        <v>8</v>
      </c>
      <c r="E2759" s="199">
        <v>0.01</v>
      </c>
      <c r="F2759" s="200">
        <f>VLOOKUP(B2759,'HSD UPAH,BAHAN,ALAT'!$C$6:F2522,4,FALSE)</f>
        <v>100000</v>
      </c>
      <c r="G2759" s="201">
        <f t="shared" ref="G2759:G2761" si="335">E2759*F2759</f>
        <v>1000</v>
      </c>
    </row>
    <row r="2760" spans="1:7" s="183" customFormat="1">
      <c r="A2760" s="194">
        <v>2</v>
      </c>
      <c r="B2760" s="195" t="s">
        <v>10</v>
      </c>
      <c r="C2760" s="194" t="s">
        <v>11</v>
      </c>
      <c r="D2760" s="196" t="s">
        <v>8</v>
      </c>
      <c r="E2760" s="199">
        <v>2E-3</v>
      </c>
      <c r="F2760" s="200">
        <f>VLOOKUP(B2760,'HSD UPAH,BAHAN,ALAT'!$C$6:F2523,4,FALSE)</f>
        <v>120000</v>
      </c>
      <c r="G2760" s="201">
        <f t="shared" si="335"/>
        <v>240</v>
      </c>
    </row>
    <row r="2761" spans="1:7" s="183" customFormat="1">
      <c r="A2761" s="194">
        <v>3</v>
      </c>
      <c r="B2761" s="195" t="s">
        <v>13</v>
      </c>
      <c r="C2761" s="194" t="s">
        <v>14</v>
      </c>
      <c r="D2761" s="196" t="s">
        <v>8</v>
      </c>
      <c r="E2761" s="199">
        <v>6.9999999999999999E-4</v>
      </c>
      <c r="F2761" s="200">
        <f>VLOOKUP(B2761,'HSD UPAH,BAHAN,ALAT'!$C$6:F2524,4,FALSE)</f>
        <v>100000</v>
      </c>
      <c r="G2761" s="201">
        <f t="shared" si="335"/>
        <v>70</v>
      </c>
    </row>
    <row r="2762" spans="1:7" s="183" customFormat="1">
      <c r="A2762" s="260" t="s">
        <v>420</v>
      </c>
      <c r="B2762" s="260"/>
      <c r="C2762" s="260"/>
      <c r="D2762" s="260"/>
      <c r="E2762" s="260"/>
      <c r="F2762" s="260"/>
      <c r="G2762" s="202">
        <f>SUM(G2759:G2761)</f>
        <v>1310</v>
      </c>
    </row>
    <row r="2763" spans="1:7" s="183" customFormat="1">
      <c r="A2763" s="194" t="s">
        <v>16</v>
      </c>
      <c r="B2763" s="195" t="s">
        <v>17</v>
      </c>
      <c r="C2763" s="194"/>
      <c r="D2763" s="196"/>
      <c r="E2763" s="199"/>
      <c r="F2763" s="217"/>
      <c r="G2763" s="217"/>
    </row>
    <row r="2764" spans="1:7" s="183" customFormat="1" ht="30">
      <c r="A2764" s="203" t="s">
        <v>208</v>
      </c>
      <c r="B2764" s="219" t="s">
        <v>869</v>
      </c>
      <c r="C2764" s="203"/>
      <c r="D2764" s="205" t="s">
        <v>86</v>
      </c>
      <c r="E2764" s="206" t="s">
        <v>87</v>
      </c>
      <c r="F2764" s="200">
        <f>VLOOKUP(B2764,'HSD UPAH,BAHAN,ALAT'!$C$6:F2527,4,FALSE)</f>
        <v>10000</v>
      </c>
      <c r="G2764" s="201">
        <f t="shared" ref="G2764:G2769" si="336">E2764*F2764</f>
        <v>10500</v>
      </c>
    </row>
    <row r="2765" spans="1:7" s="183" customFormat="1">
      <c r="A2765" s="194">
        <v>2</v>
      </c>
      <c r="B2765" s="195" t="s">
        <v>18</v>
      </c>
      <c r="C2765" s="194"/>
      <c r="D2765" s="196" t="s">
        <v>19</v>
      </c>
      <c r="E2765" s="199">
        <v>5.0000000000000001E-3</v>
      </c>
      <c r="F2765" s="200">
        <f>VLOOKUP(B2765,'HSD UPAH,BAHAN,ALAT'!$C$6:F2528,4,FALSE)</f>
        <v>10000</v>
      </c>
      <c r="G2765" s="201">
        <f t="shared" si="336"/>
        <v>50</v>
      </c>
    </row>
    <row r="2766" spans="1:7" s="183" customFormat="1">
      <c r="A2766" s="194">
        <v>3</v>
      </c>
      <c r="B2766" s="195" t="s">
        <v>26</v>
      </c>
      <c r="C2766" s="194"/>
      <c r="D2766" s="196"/>
      <c r="E2766" s="199"/>
      <c r="F2766" s="200"/>
      <c r="G2766" s="201">
        <f t="shared" si="336"/>
        <v>0</v>
      </c>
    </row>
    <row r="2767" spans="1:7" s="183" customFormat="1">
      <c r="A2767" s="194" t="s">
        <v>22</v>
      </c>
      <c r="B2767" s="195" t="s">
        <v>27</v>
      </c>
      <c r="C2767" s="194"/>
      <c r="D2767" s="196" t="s">
        <v>28</v>
      </c>
      <c r="E2767" s="199">
        <v>1.0999999999999999E-2</v>
      </c>
      <c r="F2767" s="200">
        <f>VLOOKUP(B2767,'HSD UPAH,BAHAN,ALAT'!$C$6:F2533,4,FALSE)</f>
        <v>10000</v>
      </c>
      <c r="G2767" s="201">
        <f t="shared" si="336"/>
        <v>110</v>
      </c>
    </row>
    <row r="2768" spans="1:7" s="183" customFormat="1">
      <c r="A2768" s="194" t="s">
        <v>30</v>
      </c>
      <c r="B2768" s="195" t="s">
        <v>31</v>
      </c>
      <c r="C2768" s="194"/>
      <c r="D2768" s="196" t="s">
        <v>28</v>
      </c>
      <c r="E2768" s="199">
        <v>3.0000000000000001E-3</v>
      </c>
      <c r="F2768" s="200">
        <f>VLOOKUP(B2768,'HSD UPAH,BAHAN,ALAT'!$C$6:F2534,4,FALSE)</f>
        <v>10000</v>
      </c>
      <c r="G2768" s="201">
        <f t="shared" si="336"/>
        <v>30</v>
      </c>
    </row>
    <row r="2769" spans="1:7" s="183" customFormat="1">
      <c r="A2769" s="194" t="s">
        <v>33</v>
      </c>
      <c r="B2769" s="195" t="s">
        <v>34</v>
      </c>
      <c r="C2769" s="194"/>
      <c r="D2769" s="196" t="s">
        <v>28</v>
      </c>
      <c r="E2769" s="199">
        <v>1E-3</v>
      </c>
      <c r="F2769" s="200">
        <f>VLOOKUP(B2769,'HSD UPAH,BAHAN,ALAT'!$C$6:F2535,4,FALSE)</f>
        <v>10000</v>
      </c>
      <c r="G2769" s="201">
        <f t="shared" si="336"/>
        <v>10</v>
      </c>
    </row>
    <row r="2770" spans="1:7" s="183" customFormat="1">
      <c r="A2770" s="260" t="s">
        <v>421</v>
      </c>
      <c r="B2770" s="260"/>
      <c r="C2770" s="260"/>
      <c r="D2770" s="260"/>
      <c r="E2770" s="260"/>
      <c r="F2770" s="260"/>
      <c r="G2770" s="202">
        <f>SUM(G2764:G2769)</f>
        <v>10700</v>
      </c>
    </row>
    <row r="2771" spans="1:7" s="183" customFormat="1">
      <c r="A2771" s="194" t="s">
        <v>36</v>
      </c>
      <c r="B2771" s="195" t="s">
        <v>37</v>
      </c>
      <c r="C2771" s="194"/>
      <c r="D2771" s="196"/>
      <c r="E2771" s="199"/>
      <c r="F2771" s="217"/>
      <c r="G2771" s="217"/>
    </row>
    <row r="2772" spans="1:7" s="183" customFormat="1">
      <c r="A2772" s="258" t="s">
        <v>419</v>
      </c>
      <c r="B2772" s="258"/>
      <c r="C2772" s="258"/>
      <c r="D2772" s="258"/>
      <c r="E2772" s="258"/>
      <c r="F2772" s="258"/>
      <c r="G2772" s="207">
        <f>SUM(G2771)</f>
        <v>0</v>
      </c>
    </row>
    <row r="2773" spans="1:7" s="183" customFormat="1">
      <c r="A2773" s="208" t="s">
        <v>38</v>
      </c>
      <c r="B2773" s="259" t="s">
        <v>39</v>
      </c>
      <c r="C2773" s="259"/>
      <c r="D2773" s="259"/>
      <c r="E2773" s="259"/>
      <c r="F2773" s="259"/>
      <c r="G2773" s="207">
        <f>SUM(G2759:G2772)/2</f>
        <v>12010</v>
      </c>
    </row>
    <row r="2774" spans="1:7" s="183" customFormat="1">
      <c r="A2774" s="208" t="s">
        <v>40</v>
      </c>
      <c r="B2774" s="259" t="s">
        <v>180</v>
      </c>
      <c r="C2774" s="259"/>
      <c r="D2774" s="259"/>
      <c r="E2774" s="259"/>
      <c r="F2774" s="209">
        <v>0.1</v>
      </c>
      <c r="G2774" s="207">
        <f>G2773*F2774</f>
        <v>1201</v>
      </c>
    </row>
    <row r="2775" spans="1:7" s="183" customFormat="1">
      <c r="A2775" s="208" t="s">
        <v>41</v>
      </c>
      <c r="B2775" s="259" t="s">
        <v>42</v>
      </c>
      <c r="C2775" s="259"/>
      <c r="D2775" s="259"/>
      <c r="E2775" s="259"/>
      <c r="F2775" s="259"/>
      <c r="G2775" s="207">
        <f>G2773+G2774</f>
        <v>13211</v>
      </c>
    </row>
    <row r="2776" spans="1:7">
      <c r="A2776" s="90"/>
      <c r="B2776" s="91"/>
      <c r="C2776" s="91"/>
      <c r="D2776" s="91"/>
      <c r="E2776" s="91"/>
      <c r="F2776" s="91"/>
      <c r="G2776" s="92"/>
    </row>
    <row r="2777" spans="1:7" s="183" customFormat="1">
      <c r="A2777" s="213" t="s">
        <v>780</v>
      </c>
      <c r="B2777" s="211"/>
      <c r="C2777" s="211"/>
      <c r="D2777" s="211"/>
      <c r="E2777" s="211"/>
      <c r="F2777" s="211"/>
      <c r="G2777" s="212"/>
    </row>
    <row r="2778" spans="1:7" s="183" customFormat="1" ht="30">
      <c r="A2778" s="193" t="s">
        <v>0</v>
      </c>
      <c r="B2778" s="193" t="s">
        <v>1</v>
      </c>
      <c r="C2778" s="193" t="s">
        <v>207</v>
      </c>
      <c r="D2778" s="193" t="s">
        <v>3</v>
      </c>
      <c r="E2778" s="193" t="s">
        <v>2</v>
      </c>
      <c r="F2778" s="193" t="s">
        <v>417</v>
      </c>
      <c r="G2778" s="193" t="s">
        <v>418</v>
      </c>
    </row>
    <row r="2779" spans="1:7" s="183" customFormat="1">
      <c r="A2779" s="194" t="s">
        <v>4</v>
      </c>
      <c r="B2779" s="195" t="s">
        <v>5</v>
      </c>
      <c r="C2779" s="194"/>
      <c r="D2779" s="196"/>
      <c r="E2779" s="199"/>
      <c r="F2779" s="217"/>
      <c r="G2779" s="217"/>
    </row>
    <row r="2780" spans="1:7" s="183" customFormat="1">
      <c r="A2780" s="194">
        <v>1</v>
      </c>
      <c r="B2780" s="195" t="s">
        <v>6</v>
      </c>
      <c r="C2780" s="194" t="s">
        <v>7</v>
      </c>
      <c r="D2780" s="196" t="s">
        <v>8</v>
      </c>
      <c r="E2780" s="199">
        <v>1.43E-2</v>
      </c>
      <c r="F2780" s="200">
        <f>VLOOKUP(B2780,'HSD UPAH,BAHAN,ALAT'!$C$6:F2543,4,FALSE)</f>
        <v>100000</v>
      </c>
      <c r="G2780" s="201">
        <f t="shared" ref="G2780:G2782" si="337">E2780*F2780</f>
        <v>1430</v>
      </c>
    </row>
    <row r="2781" spans="1:7" s="183" customFormat="1">
      <c r="A2781" s="194">
        <v>2</v>
      </c>
      <c r="B2781" s="195" t="s">
        <v>10</v>
      </c>
      <c r="C2781" s="194" t="s">
        <v>11</v>
      </c>
      <c r="D2781" s="196" t="s">
        <v>8</v>
      </c>
      <c r="E2781" s="199">
        <v>4.7999999999999996E-3</v>
      </c>
      <c r="F2781" s="200">
        <f>VLOOKUP(B2781,'HSD UPAH,BAHAN,ALAT'!$C$6:F2544,4,FALSE)</f>
        <v>120000</v>
      </c>
      <c r="G2781" s="201">
        <f t="shared" si="337"/>
        <v>576</v>
      </c>
    </row>
    <row r="2782" spans="1:7" s="183" customFormat="1">
      <c r="A2782" s="194">
        <v>3</v>
      </c>
      <c r="B2782" s="195" t="s">
        <v>13</v>
      </c>
      <c r="C2782" s="194" t="s">
        <v>14</v>
      </c>
      <c r="D2782" s="196" t="s">
        <v>8</v>
      </c>
      <c r="E2782" s="199">
        <v>1.6000000000000001E-3</v>
      </c>
      <c r="F2782" s="200">
        <f>VLOOKUP(B2782,'HSD UPAH,BAHAN,ALAT'!$C$6:F2545,4,FALSE)</f>
        <v>100000</v>
      </c>
      <c r="G2782" s="201">
        <f t="shared" si="337"/>
        <v>160</v>
      </c>
    </row>
    <row r="2783" spans="1:7" s="183" customFormat="1">
      <c r="A2783" s="260" t="s">
        <v>420</v>
      </c>
      <c r="B2783" s="260"/>
      <c r="C2783" s="260"/>
      <c r="D2783" s="260"/>
      <c r="E2783" s="260"/>
      <c r="F2783" s="260"/>
      <c r="G2783" s="202">
        <f>SUM(G2780:G2782)</f>
        <v>2166</v>
      </c>
    </row>
    <row r="2784" spans="1:7" s="183" customFormat="1">
      <c r="A2784" s="194" t="s">
        <v>16</v>
      </c>
      <c r="B2784" s="195" t="s">
        <v>17</v>
      </c>
      <c r="C2784" s="194"/>
      <c r="D2784" s="196"/>
      <c r="E2784" s="199"/>
      <c r="F2784" s="217"/>
      <c r="G2784" s="217"/>
    </row>
    <row r="2785" spans="1:7" s="183" customFormat="1" ht="30">
      <c r="A2785" s="203" t="s">
        <v>208</v>
      </c>
      <c r="B2785" s="204" t="s">
        <v>870</v>
      </c>
      <c r="C2785" s="203"/>
      <c r="D2785" s="205" t="s">
        <v>86</v>
      </c>
      <c r="E2785" s="206" t="s">
        <v>87</v>
      </c>
      <c r="F2785" s="200">
        <f>VLOOKUP(B2785,'HSD UPAH,BAHAN,ALAT'!$C$6:F2548,4,FALSE)</f>
        <v>10000</v>
      </c>
      <c r="G2785" s="201">
        <f t="shared" ref="G2785:G2790" si="338">E2785*F2785</f>
        <v>10500</v>
      </c>
    </row>
    <row r="2786" spans="1:7" s="183" customFormat="1">
      <c r="A2786" s="194">
        <v>2</v>
      </c>
      <c r="B2786" s="195" t="s">
        <v>18</v>
      </c>
      <c r="C2786" s="194"/>
      <c r="D2786" s="196" t="s">
        <v>19</v>
      </c>
      <c r="E2786" s="199">
        <v>5.0000000000000001E-3</v>
      </c>
      <c r="F2786" s="200">
        <f>VLOOKUP(B2786,'HSD UPAH,BAHAN,ALAT'!$C$6:F2549,4,FALSE)</f>
        <v>10000</v>
      </c>
      <c r="G2786" s="201">
        <f t="shared" si="338"/>
        <v>50</v>
      </c>
    </row>
    <row r="2787" spans="1:7" s="183" customFormat="1">
      <c r="A2787" s="194">
        <v>3</v>
      </c>
      <c r="B2787" s="195" t="s">
        <v>26</v>
      </c>
      <c r="C2787" s="194"/>
      <c r="D2787" s="196"/>
      <c r="E2787" s="199"/>
      <c r="F2787" s="200"/>
      <c r="G2787" s="201">
        <f t="shared" si="338"/>
        <v>0</v>
      </c>
    </row>
    <row r="2788" spans="1:7" s="183" customFormat="1">
      <c r="A2788" s="194" t="s">
        <v>22</v>
      </c>
      <c r="B2788" s="195" t="s">
        <v>27</v>
      </c>
      <c r="C2788" s="194"/>
      <c r="D2788" s="196" t="s">
        <v>28</v>
      </c>
      <c r="E2788" s="199">
        <v>1.46E-2</v>
      </c>
      <c r="F2788" s="200">
        <f>VLOOKUP(B2788,'HSD UPAH,BAHAN,ALAT'!$C$6:F2554,4,FALSE)</f>
        <v>10000</v>
      </c>
      <c r="G2788" s="201">
        <f t="shared" si="338"/>
        <v>146</v>
      </c>
    </row>
    <row r="2789" spans="1:7" s="183" customFormat="1">
      <c r="A2789" s="194" t="s">
        <v>30</v>
      </c>
      <c r="B2789" s="195" t="s">
        <v>31</v>
      </c>
      <c r="C2789" s="194"/>
      <c r="D2789" s="196" t="s">
        <v>28</v>
      </c>
      <c r="E2789" s="199">
        <v>3.8999999999999998E-3</v>
      </c>
      <c r="F2789" s="200">
        <f>VLOOKUP(B2789,'HSD UPAH,BAHAN,ALAT'!$C$6:F2555,4,FALSE)</f>
        <v>10000</v>
      </c>
      <c r="G2789" s="201">
        <f t="shared" si="338"/>
        <v>39</v>
      </c>
    </row>
    <row r="2790" spans="1:7" s="183" customFormat="1">
      <c r="A2790" s="194" t="s">
        <v>33</v>
      </c>
      <c r="B2790" s="195" t="s">
        <v>34</v>
      </c>
      <c r="C2790" s="194"/>
      <c r="D2790" s="196" t="s">
        <v>28</v>
      </c>
      <c r="E2790" s="199">
        <v>1E-3</v>
      </c>
      <c r="F2790" s="200">
        <f>VLOOKUP(B2790,'HSD UPAH,BAHAN,ALAT'!$C$6:F2556,4,FALSE)</f>
        <v>10000</v>
      </c>
      <c r="G2790" s="201">
        <f t="shared" si="338"/>
        <v>10</v>
      </c>
    </row>
    <row r="2791" spans="1:7" s="183" customFormat="1">
      <c r="A2791" s="260" t="s">
        <v>421</v>
      </c>
      <c r="B2791" s="260"/>
      <c r="C2791" s="260"/>
      <c r="D2791" s="260"/>
      <c r="E2791" s="260"/>
      <c r="F2791" s="260"/>
      <c r="G2791" s="202">
        <f>SUM(G2785:G2790)</f>
        <v>10745</v>
      </c>
    </row>
    <row r="2792" spans="1:7" s="183" customFormat="1">
      <c r="A2792" s="194" t="s">
        <v>36</v>
      </c>
      <c r="B2792" s="195" t="s">
        <v>37</v>
      </c>
      <c r="C2792" s="194"/>
      <c r="D2792" s="196"/>
      <c r="E2792" s="199"/>
      <c r="F2792" s="217"/>
      <c r="G2792" s="217"/>
    </row>
    <row r="2793" spans="1:7" s="183" customFormat="1">
      <c r="A2793" s="258" t="s">
        <v>419</v>
      </c>
      <c r="B2793" s="258"/>
      <c r="C2793" s="258"/>
      <c r="D2793" s="258"/>
      <c r="E2793" s="258"/>
      <c r="F2793" s="258"/>
      <c r="G2793" s="207">
        <f>SUM(G2792)</f>
        <v>0</v>
      </c>
    </row>
    <row r="2794" spans="1:7" s="183" customFormat="1">
      <c r="A2794" s="208" t="s">
        <v>38</v>
      </c>
      <c r="B2794" s="259" t="s">
        <v>39</v>
      </c>
      <c r="C2794" s="259"/>
      <c r="D2794" s="259"/>
      <c r="E2794" s="259"/>
      <c r="F2794" s="259"/>
      <c r="G2794" s="207">
        <f>SUM(G2780:G2793)/2</f>
        <v>12911</v>
      </c>
    </row>
    <row r="2795" spans="1:7" s="183" customFormat="1">
      <c r="A2795" s="208" t="s">
        <v>40</v>
      </c>
      <c r="B2795" s="259" t="s">
        <v>180</v>
      </c>
      <c r="C2795" s="259"/>
      <c r="D2795" s="259"/>
      <c r="E2795" s="259"/>
      <c r="F2795" s="209">
        <v>0.1</v>
      </c>
      <c r="G2795" s="207">
        <f>G2794*F2795</f>
        <v>1291.1000000000001</v>
      </c>
    </row>
    <row r="2796" spans="1:7" s="183" customFormat="1">
      <c r="A2796" s="208" t="s">
        <v>41</v>
      </c>
      <c r="B2796" s="259" t="s">
        <v>42</v>
      </c>
      <c r="C2796" s="259"/>
      <c r="D2796" s="259"/>
      <c r="E2796" s="259"/>
      <c r="F2796" s="259"/>
      <c r="G2796" s="207">
        <f>G2794+G2795</f>
        <v>14202.1</v>
      </c>
    </row>
    <row r="2797" spans="1:7" s="183" customFormat="1">
      <c r="A2797" s="210"/>
      <c r="B2797" s="211"/>
      <c r="C2797" s="211"/>
      <c r="D2797" s="211"/>
      <c r="E2797" s="211"/>
      <c r="F2797" s="211"/>
      <c r="G2797" s="212"/>
    </row>
    <row r="2798" spans="1:7" s="183" customFormat="1">
      <c r="A2798" s="213" t="s">
        <v>781</v>
      </c>
      <c r="B2798" s="211"/>
      <c r="C2798" s="211"/>
      <c r="D2798" s="211"/>
      <c r="E2798" s="211"/>
      <c r="F2798" s="211"/>
      <c r="G2798" s="212"/>
    </row>
    <row r="2799" spans="1:7" s="183" customFormat="1" ht="30">
      <c r="A2799" s="193" t="s">
        <v>0</v>
      </c>
      <c r="B2799" s="193" t="s">
        <v>1</v>
      </c>
      <c r="C2799" s="193" t="s">
        <v>207</v>
      </c>
      <c r="D2799" s="193" t="s">
        <v>3</v>
      </c>
      <c r="E2799" s="193" t="s">
        <v>2</v>
      </c>
      <c r="F2799" s="193" t="s">
        <v>417</v>
      </c>
      <c r="G2799" s="193" t="s">
        <v>418</v>
      </c>
    </row>
    <row r="2800" spans="1:7" s="183" customFormat="1">
      <c r="A2800" s="194" t="s">
        <v>4</v>
      </c>
      <c r="B2800" s="195" t="s">
        <v>5</v>
      </c>
      <c r="C2800" s="194"/>
      <c r="D2800" s="196"/>
      <c r="E2800" s="199"/>
      <c r="F2800" s="217"/>
      <c r="G2800" s="217"/>
    </row>
    <row r="2801" spans="1:7" s="183" customFormat="1">
      <c r="A2801" s="194">
        <v>1</v>
      </c>
      <c r="B2801" s="195" t="s">
        <v>6</v>
      </c>
      <c r="C2801" s="194" t="s">
        <v>7</v>
      </c>
      <c r="D2801" s="196" t="s">
        <v>8</v>
      </c>
      <c r="E2801" s="199">
        <v>0.02</v>
      </c>
      <c r="F2801" s="200">
        <f>VLOOKUP(B2801,'HSD UPAH,BAHAN,ALAT'!$C$6:F2563,4,FALSE)</f>
        <v>100000</v>
      </c>
      <c r="G2801" s="201">
        <f t="shared" ref="G2801:G2803" si="339">E2801*F2801</f>
        <v>2000</v>
      </c>
    </row>
    <row r="2802" spans="1:7" s="183" customFormat="1">
      <c r="A2802" s="194">
        <v>2</v>
      </c>
      <c r="B2802" s="195" t="s">
        <v>10</v>
      </c>
      <c r="C2802" s="194" t="s">
        <v>11</v>
      </c>
      <c r="D2802" s="196" t="s">
        <v>8</v>
      </c>
      <c r="E2802" s="199">
        <v>6.7000000000000002E-3</v>
      </c>
      <c r="F2802" s="200">
        <f>VLOOKUP(B2802,'HSD UPAH,BAHAN,ALAT'!$C$6:F2564,4,FALSE)</f>
        <v>120000</v>
      </c>
      <c r="G2802" s="201">
        <f t="shared" si="339"/>
        <v>804</v>
      </c>
    </row>
    <row r="2803" spans="1:7" s="183" customFormat="1">
      <c r="A2803" s="194">
        <v>3</v>
      </c>
      <c r="B2803" s="195" t="s">
        <v>13</v>
      </c>
      <c r="C2803" s="194" t="s">
        <v>14</v>
      </c>
      <c r="D2803" s="196" t="s">
        <v>8</v>
      </c>
      <c r="E2803" s="199">
        <v>2.2000000000000001E-3</v>
      </c>
      <c r="F2803" s="200">
        <f>VLOOKUP(B2803,'HSD UPAH,BAHAN,ALAT'!$C$6:F2565,4,FALSE)</f>
        <v>100000</v>
      </c>
      <c r="G2803" s="201">
        <f t="shared" si="339"/>
        <v>220</v>
      </c>
    </row>
    <row r="2804" spans="1:7" s="183" customFormat="1">
      <c r="A2804" s="260" t="s">
        <v>420</v>
      </c>
      <c r="B2804" s="260"/>
      <c r="C2804" s="260"/>
      <c r="D2804" s="260"/>
      <c r="E2804" s="260"/>
      <c r="F2804" s="260"/>
      <c r="G2804" s="202">
        <f>SUM(G2801:G2803)</f>
        <v>3024</v>
      </c>
    </row>
    <row r="2805" spans="1:7" s="183" customFormat="1">
      <c r="A2805" s="194" t="s">
        <v>16</v>
      </c>
      <c r="B2805" s="195" t="s">
        <v>17</v>
      </c>
      <c r="C2805" s="194"/>
      <c r="D2805" s="196"/>
      <c r="E2805" s="199"/>
      <c r="F2805" s="217"/>
      <c r="G2805" s="217"/>
    </row>
    <row r="2806" spans="1:7" s="183" customFormat="1" ht="45">
      <c r="A2806" s="203" t="s">
        <v>208</v>
      </c>
      <c r="B2806" s="204" t="s">
        <v>873</v>
      </c>
      <c r="C2806" s="203"/>
      <c r="D2806" s="205" t="s">
        <v>86</v>
      </c>
      <c r="E2806" s="206" t="s">
        <v>87</v>
      </c>
      <c r="F2806" s="200">
        <f>VLOOKUP(B2806,'HSD UPAH,BAHAN,ALAT'!$C$6:F2568,4,FALSE)</f>
        <v>10000</v>
      </c>
      <c r="G2806" s="201">
        <f t="shared" ref="G2806:G2811" si="340">E2806*F2806</f>
        <v>10500</v>
      </c>
    </row>
    <row r="2807" spans="1:7" s="183" customFormat="1">
      <c r="A2807" s="194">
        <v>2</v>
      </c>
      <c r="B2807" s="195" t="s">
        <v>18</v>
      </c>
      <c r="C2807" s="194"/>
      <c r="D2807" s="196" t="s">
        <v>19</v>
      </c>
      <c r="E2807" s="199">
        <v>5.0000000000000001E-3</v>
      </c>
      <c r="F2807" s="200">
        <f>VLOOKUP(B2807,'HSD UPAH,BAHAN,ALAT'!$C$6:F2569,4,FALSE)</f>
        <v>10000</v>
      </c>
      <c r="G2807" s="201">
        <f t="shared" si="340"/>
        <v>50</v>
      </c>
    </row>
    <row r="2808" spans="1:7" s="183" customFormat="1">
      <c r="A2808" s="194">
        <v>3</v>
      </c>
      <c r="B2808" s="195" t="s">
        <v>26</v>
      </c>
      <c r="C2808" s="194"/>
      <c r="D2808" s="196"/>
      <c r="E2808" s="199"/>
      <c r="F2808" s="200"/>
      <c r="G2808" s="201">
        <f t="shared" si="340"/>
        <v>0</v>
      </c>
    </row>
    <row r="2809" spans="1:7" s="183" customFormat="1">
      <c r="A2809" s="194" t="s">
        <v>22</v>
      </c>
      <c r="B2809" s="195" t="s">
        <v>27</v>
      </c>
      <c r="C2809" s="194"/>
      <c r="D2809" s="196" t="s">
        <v>28</v>
      </c>
      <c r="E2809" s="199">
        <v>2.4400000000000002E-2</v>
      </c>
      <c r="F2809" s="200">
        <f>VLOOKUP(B2809,'HSD UPAH,BAHAN,ALAT'!$C$6:F2574,4,FALSE)</f>
        <v>10000</v>
      </c>
      <c r="G2809" s="201">
        <f t="shared" si="340"/>
        <v>244.00000000000003</v>
      </c>
    </row>
    <row r="2810" spans="1:7" s="183" customFormat="1">
      <c r="A2810" s="194" t="s">
        <v>30</v>
      </c>
      <c r="B2810" s="195" t="s">
        <v>31</v>
      </c>
      <c r="C2810" s="194"/>
      <c r="D2810" s="196" t="s">
        <v>28</v>
      </c>
      <c r="E2810" s="199">
        <v>6.4999999999999997E-3</v>
      </c>
      <c r="F2810" s="200">
        <f>VLOOKUP(B2810,'HSD UPAH,BAHAN,ALAT'!$C$6:F2575,4,FALSE)</f>
        <v>10000</v>
      </c>
      <c r="G2810" s="201">
        <f t="shared" si="340"/>
        <v>65</v>
      </c>
    </row>
    <row r="2811" spans="1:7" s="183" customFormat="1">
      <c r="A2811" s="194" t="s">
        <v>33</v>
      </c>
      <c r="B2811" s="195" t="s">
        <v>34</v>
      </c>
      <c r="C2811" s="194"/>
      <c r="D2811" s="196" t="s">
        <v>28</v>
      </c>
      <c r="E2811" s="199">
        <v>1.6000000000000001E-3</v>
      </c>
      <c r="F2811" s="200">
        <f>VLOOKUP(B2811,'HSD UPAH,BAHAN,ALAT'!$C$6:F2576,4,FALSE)</f>
        <v>10000</v>
      </c>
      <c r="G2811" s="201">
        <f t="shared" si="340"/>
        <v>16</v>
      </c>
    </row>
    <row r="2812" spans="1:7" s="183" customFormat="1">
      <c r="A2812" s="260" t="s">
        <v>421</v>
      </c>
      <c r="B2812" s="260"/>
      <c r="C2812" s="260"/>
      <c r="D2812" s="260"/>
      <c r="E2812" s="260"/>
      <c r="F2812" s="260"/>
      <c r="G2812" s="202">
        <f>SUM(G2806:G2811)</f>
        <v>10875</v>
      </c>
    </row>
    <row r="2813" spans="1:7" s="183" customFormat="1">
      <c r="A2813" s="194" t="s">
        <v>36</v>
      </c>
      <c r="B2813" s="195" t="s">
        <v>37</v>
      </c>
      <c r="C2813" s="194"/>
      <c r="D2813" s="196"/>
      <c r="E2813" s="199"/>
      <c r="F2813" s="217"/>
      <c r="G2813" s="217"/>
    </row>
    <row r="2814" spans="1:7" s="183" customFormat="1">
      <c r="A2814" s="258" t="s">
        <v>419</v>
      </c>
      <c r="B2814" s="258"/>
      <c r="C2814" s="258"/>
      <c r="D2814" s="258"/>
      <c r="E2814" s="258"/>
      <c r="F2814" s="258"/>
      <c r="G2814" s="207">
        <f>SUM(G2813)</f>
        <v>0</v>
      </c>
    </row>
    <row r="2815" spans="1:7" s="183" customFormat="1">
      <c r="A2815" s="208" t="s">
        <v>38</v>
      </c>
      <c r="B2815" s="259" t="s">
        <v>39</v>
      </c>
      <c r="C2815" s="259"/>
      <c r="D2815" s="259"/>
      <c r="E2815" s="259"/>
      <c r="F2815" s="259"/>
      <c r="G2815" s="207">
        <f>SUM(G2801:G2814)/2</f>
        <v>13899</v>
      </c>
    </row>
    <row r="2816" spans="1:7" s="183" customFormat="1">
      <c r="A2816" s="208" t="s">
        <v>40</v>
      </c>
      <c r="B2816" s="259" t="s">
        <v>180</v>
      </c>
      <c r="C2816" s="259"/>
      <c r="D2816" s="259"/>
      <c r="E2816" s="259"/>
      <c r="F2816" s="209">
        <v>0.1</v>
      </c>
      <c r="G2816" s="207">
        <f>G2815*F2816</f>
        <v>1389.9</v>
      </c>
    </row>
    <row r="2817" spans="1:7" s="183" customFormat="1">
      <c r="A2817" s="208" t="s">
        <v>41</v>
      </c>
      <c r="B2817" s="259" t="s">
        <v>42</v>
      </c>
      <c r="C2817" s="259"/>
      <c r="D2817" s="259"/>
      <c r="E2817" s="259"/>
      <c r="F2817" s="259"/>
      <c r="G2817" s="207">
        <f>G2815+G2816</f>
        <v>15288.9</v>
      </c>
    </row>
    <row r="2818" spans="1:7" s="183" customFormat="1">
      <c r="A2818" s="210"/>
      <c r="B2818" s="211"/>
      <c r="C2818" s="211"/>
      <c r="D2818" s="211"/>
      <c r="E2818" s="211"/>
      <c r="F2818" s="211"/>
      <c r="G2818" s="212"/>
    </row>
    <row r="2819" spans="1:7" s="183" customFormat="1">
      <c r="A2819" s="213" t="s">
        <v>782</v>
      </c>
      <c r="B2819" s="211"/>
      <c r="C2819" s="211"/>
      <c r="D2819" s="211"/>
      <c r="E2819" s="211"/>
      <c r="F2819" s="211"/>
      <c r="G2819" s="212"/>
    </row>
    <row r="2820" spans="1:7" s="183" customFormat="1">
      <c r="A2820" s="213" t="s">
        <v>783</v>
      </c>
      <c r="B2820" s="211"/>
      <c r="C2820" s="211"/>
      <c r="D2820" s="211"/>
      <c r="E2820" s="211"/>
      <c r="F2820" s="211"/>
      <c r="G2820" s="212"/>
    </row>
    <row r="2821" spans="1:7" s="183" customFormat="1" ht="30">
      <c r="A2821" s="193" t="s">
        <v>0</v>
      </c>
      <c r="B2821" s="193" t="s">
        <v>1</v>
      </c>
      <c r="C2821" s="193" t="s">
        <v>207</v>
      </c>
      <c r="D2821" s="193" t="s">
        <v>3</v>
      </c>
      <c r="E2821" s="193" t="s">
        <v>2</v>
      </c>
      <c r="F2821" s="193" t="s">
        <v>417</v>
      </c>
      <c r="G2821" s="193" t="s">
        <v>418</v>
      </c>
    </row>
    <row r="2822" spans="1:7" s="183" customFormat="1">
      <c r="A2822" s="194" t="s">
        <v>4</v>
      </c>
      <c r="B2822" s="195" t="s">
        <v>5</v>
      </c>
      <c r="C2822" s="194"/>
      <c r="D2822" s="196"/>
      <c r="E2822" s="199"/>
      <c r="F2822" s="217"/>
      <c r="G2822" s="217"/>
    </row>
    <row r="2823" spans="1:7" s="183" customFormat="1">
      <c r="A2823" s="194">
        <v>1</v>
      </c>
      <c r="B2823" s="195" t="s">
        <v>48</v>
      </c>
      <c r="C2823" s="194" t="s">
        <v>49</v>
      </c>
      <c r="D2823" s="196" t="s">
        <v>8</v>
      </c>
      <c r="E2823" s="199">
        <v>0.04</v>
      </c>
      <c r="F2823" s="200">
        <f>VLOOKUP(B2823,'HSD UPAH,BAHAN,ALAT'!$C$6:F2584,4,FALSE)</f>
        <v>100000</v>
      </c>
      <c r="G2823" s="201">
        <f t="shared" ref="G2823" si="341">E2823*F2823</f>
        <v>4000</v>
      </c>
    </row>
    <row r="2824" spans="1:7" s="183" customFormat="1">
      <c r="A2824" s="194">
        <v>2</v>
      </c>
      <c r="B2824" s="195" t="s">
        <v>6</v>
      </c>
      <c r="C2824" s="194" t="s">
        <v>7</v>
      </c>
      <c r="D2824" s="196" t="s">
        <v>8</v>
      </c>
      <c r="E2824" s="199">
        <v>0.04</v>
      </c>
      <c r="F2824" s="200">
        <f>VLOOKUP(B2824,'HSD UPAH,BAHAN,ALAT'!$C$6:F2586,4,FALSE)</f>
        <v>100000</v>
      </c>
      <c r="G2824" s="201">
        <f t="shared" ref="G2824:G2826" si="342">E2824*F2824</f>
        <v>4000</v>
      </c>
    </row>
    <row r="2825" spans="1:7" s="183" customFormat="1">
      <c r="A2825" s="194">
        <v>3</v>
      </c>
      <c r="B2825" s="195" t="s">
        <v>10</v>
      </c>
      <c r="C2825" s="194" t="s">
        <v>11</v>
      </c>
      <c r="D2825" s="196" t="s">
        <v>8</v>
      </c>
      <c r="E2825" s="199">
        <v>1.2999999999999999E-2</v>
      </c>
      <c r="F2825" s="200">
        <f>VLOOKUP(B2825,'HSD UPAH,BAHAN,ALAT'!$C$6:F2587,4,FALSE)</f>
        <v>120000</v>
      </c>
      <c r="G2825" s="201">
        <f t="shared" si="342"/>
        <v>1560</v>
      </c>
    </row>
    <row r="2826" spans="1:7" s="183" customFormat="1">
      <c r="A2826" s="194">
        <v>4</v>
      </c>
      <c r="B2826" s="195" t="s">
        <v>13</v>
      </c>
      <c r="C2826" s="194" t="s">
        <v>14</v>
      </c>
      <c r="D2826" s="196" t="s">
        <v>8</v>
      </c>
      <c r="E2826" s="199">
        <v>4.3E-3</v>
      </c>
      <c r="F2826" s="200">
        <f>VLOOKUP(B2826,'HSD UPAH,BAHAN,ALAT'!$C$6:F2588,4,FALSE)</f>
        <v>100000</v>
      </c>
      <c r="G2826" s="201">
        <f t="shared" si="342"/>
        <v>430</v>
      </c>
    </row>
    <row r="2827" spans="1:7" s="183" customFormat="1">
      <c r="A2827" s="260" t="s">
        <v>420</v>
      </c>
      <c r="B2827" s="260"/>
      <c r="C2827" s="260"/>
      <c r="D2827" s="260"/>
      <c r="E2827" s="260"/>
      <c r="F2827" s="260"/>
      <c r="G2827" s="202">
        <f>SUM(G2824:G2826)</f>
        <v>5990</v>
      </c>
    </row>
    <row r="2828" spans="1:7" s="183" customFormat="1">
      <c r="A2828" s="194" t="s">
        <v>16</v>
      </c>
      <c r="B2828" s="195" t="s">
        <v>17</v>
      </c>
      <c r="C2828" s="194"/>
      <c r="D2828" s="196"/>
      <c r="E2828" s="199"/>
      <c r="F2828" s="217"/>
      <c r="G2828" s="217"/>
    </row>
    <row r="2829" spans="1:7" s="183" customFormat="1" ht="30">
      <c r="A2829" s="203" t="s">
        <v>208</v>
      </c>
      <c r="B2829" s="204" t="s">
        <v>871</v>
      </c>
      <c r="C2829" s="203"/>
      <c r="D2829" s="205" t="s">
        <v>86</v>
      </c>
      <c r="E2829" s="206" t="s">
        <v>87</v>
      </c>
      <c r="F2829" s="200">
        <f>VLOOKUP(B2829,'HSD UPAH,BAHAN,ALAT'!$C$6:F2591,4,FALSE)</f>
        <v>10000</v>
      </c>
      <c r="G2829" s="201">
        <f t="shared" ref="G2829:G2837" si="343">E2829*F2829</f>
        <v>10500</v>
      </c>
    </row>
    <row r="2830" spans="1:7" s="183" customFormat="1">
      <c r="A2830" s="194">
        <v>2</v>
      </c>
      <c r="B2830" s="195" t="s">
        <v>18</v>
      </c>
      <c r="C2830" s="194"/>
      <c r="D2830" s="196" t="s">
        <v>19</v>
      </c>
      <c r="E2830" s="199">
        <v>0.01</v>
      </c>
      <c r="F2830" s="200">
        <f>VLOOKUP(B2830,'HSD UPAH,BAHAN,ALAT'!$C$6:F2592,4,FALSE)</f>
        <v>10000</v>
      </c>
      <c r="G2830" s="201">
        <f t="shared" si="343"/>
        <v>100</v>
      </c>
    </row>
    <row r="2831" spans="1:7" s="183" customFormat="1">
      <c r="A2831" s="194">
        <v>3</v>
      </c>
      <c r="B2831" s="195" t="s">
        <v>21</v>
      </c>
      <c r="C2831" s="194"/>
      <c r="D2831" s="196"/>
      <c r="E2831" s="199"/>
      <c r="F2831" s="200"/>
      <c r="G2831" s="201">
        <f t="shared" si="343"/>
        <v>0</v>
      </c>
    </row>
    <row r="2832" spans="1:7" s="183" customFormat="1">
      <c r="A2832" s="194" t="s">
        <v>22</v>
      </c>
      <c r="B2832" s="195" t="s">
        <v>54</v>
      </c>
      <c r="C2832" s="194"/>
      <c r="D2832" s="196" t="s">
        <v>24</v>
      </c>
      <c r="E2832" s="199" t="s">
        <v>55</v>
      </c>
      <c r="F2832" s="200">
        <f>VLOOKUP(B2832,'HSD UPAH,BAHAN,ALAT'!$C$6:F2594,4,FALSE)</f>
        <v>10000</v>
      </c>
      <c r="G2832" s="201">
        <f t="shared" si="343"/>
        <v>120000</v>
      </c>
    </row>
    <row r="2833" spans="1:7" s="183" customFormat="1">
      <c r="A2833" s="194" t="s">
        <v>30</v>
      </c>
      <c r="B2833" s="195" t="s">
        <v>56</v>
      </c>
      <c r="C2833" s="194"/>
      <c r="D2833" s="196" t="s">
        <v>24</v>
      </c>
      <c r="E2833" s="199" t="s">
        <v>57</v>
      </c>
      <c r="F2833" s="200">
        <f>VLOOKUP(B2833,'HSD UPAH,BAHAN,ALAT'!$C$6:F2595,4,FALSE)</f>
        <v>10000</v>
      </c>
      <c r="G2833" s="201">
        <f t="shared" si="343"/>
        <v>100000</v>
      </c>
    </row>
    <row r="2834" spans="1:7" s="183" customFormat="1">
      <c r="A2834" s="194">
        <v>4</v>
      </c>
      <c r="B2834" s="195" t="s">
        <v>26</v>
      </c>
      <c r="C2834" s="194"/>
      <c r="D2834" s="196"/>
      <c r="E2834" s="199"/>
      <c r="F2834" s="200"/>
      <c r="G2834" s="201">
        <f t="shared" si="343"/>
        <v>0</v>
      </c>
    </row>
    <row r="2835" spans="1:7" s="183" customFormat="1">
      <c r="A2835" s="194" t="s">
        <v>22</v>
      </c>
      <c r="B2835" s="195" t="s">
        <v>27</v>
      </c>
      <c r="C2835" s="194"/>
      <c r="D2835" s="196" t="s">
        <v>28</v>
      </c>
      <c r="E2835" s="199">
        <v>4.9000000000000002E-2</v>
      </c>
      <c r="F2835" s="200">
        <f>VLOOKUP(B2835,'HSD UPAH,BAHAN,ALAT'!$C$6:F2597,4,FALSE)</f>
        <v>10000</v>
      </c>
      <c r="G2835" s="201">
        <f t="shared" si="343"/>
        <v>490</v>
      </c>
    </row>
    <row r="2836" spans="1:7" s="183" customFormat="1">
      <c r="A2836" s="194" t="s">
        <v>30</v>
      </c>
      <c r="B2836" s="195" t="s">
        <v>31</v>
      </c>
      <c r="C2836" s="194"/>
      <c r="D2836" s="196" t="s">
        <v>28</v>
      </c>
      <c r="E2836" s="199">
        <v>1.2999999999999999E-2</v>
      </c>
      <c r="F2836" s="200">
        <f>VLOOKUP(B2836,'HSD UPAH,BAHAN,ALAT'!$C$6:F2598,4,FALSE)</f>
        <v>10000</v>
      </c>
      <c r="G2836" s="201">
        <f t="shared" si="343"/>
        <v>130</v>
      </c>
    </row>
    <row r="2837" spans="1:7" s="183" customFormat="1">
      <c r="A2837" s="194" t="s">
        <v>33</v>
      </c>
      <c r="B2837" s="195" t="s">
        <v>34</v>
      </c>
      <c r="C2837" s="194"/>
      <c r="D2837" s="196" t="s">
        <v>28</v>
      </c>
      <c r="E2837" s="199">
        <v>3.0000000000000001E-3</v>
      </c>
      <c r="F2837" s="200">
        <f>VLOOKUP(B2837,'HSD UPAH,BAHAN,ALAT'!$C$6:F2599,4,FALSE)</f>
        <v>10000</v>
      </c>
      <c r="G2837" s="201">
        <f t="shared" si="343"/>
        <v>30</v>
      </c>
    </row>
    <row r="2838" spans="1:7" s="183" customFormat="1">
      <c r="A2838" s="260" t="s">
        <v>421</v>
      </c>
      <c r="B2838" s="260"/>
      <c r="C2838" s="260"/>
      <c r="D2838" s="260"/>
      <c r="E2838" s="260"/>
      <c r="F2838" s="260"/>
      <c r="G2838" s="202">
        <f>SUM(G2829:G2837)</f>
        <v>231250</v>
      </c>
    </row>
    <row r="2839" spans="1:7" s="183" customFormat="1">
      <c r="A2839" s="194" t="s">
        <v>36</v>
      </c>
      <c r="B2839" s="195" t="s">
        <v>37</v>
      </c>
      <c r="C2839" s="194"/>
      <c r="D2839" s="196"/>
      <c r="E2839" s="199"/>
      <c r="F2839" s="217"/>
      <c r="G2839" s="217"/>
    </row>
    <row r="2840" spans="1:7" s="183" customFormat="1">
      <c r="A2840" s="258" t="s">
        <v>419</v>
      </c>
      <c r="B2840" s="258"/>
      <c r="C2840" s="258"/>
      <c r="D2840" s="258"/>
      <c r="E2840" s="258"/>
      <c r="F2840" s="258"/>
      <c r="G2840" s="207">
        <f>SUM(G2839)</f>
        <v>0</v>
      </c>
    </row>
    <row r="2841" spans="1:7" s="183" customFormat="1">
      <c r="A2841" s="208" t="s">
        <v>38</v>
      </c>
      <c r="B2841" s="259" t="s">
        <v>39</v>
      </c>
      <c r="C2841" s="259"/>
      <c r="D2841" s="259"/>
      <c r="E2841" s="259"/>
      <c r="F2841" s="259"/>
      <c r="G2841" s="207">
        <f>SUM(G2824:G2840)/2</f>
        <v>237240</v>
      </c>
    </row>
    <row r="2842" spans="1:7" s="183" customFormat="1">
      <c r="A2842" s="208" t="s">
        <v>40</v>
      </c>
      <c r="B2842" s="259" t="s">
        <v>180</v>
      </c>
      <c r="C2842" s="259"/>
      <c r="D2842" s="259"/>
      <c r="E2842" s="259"/>
      <c r="F2842" s="209">
        <v>0.1</v>
      </c>
      <c r="G2842" s="207">
        <f>G2841*F2842</f>
        <v>23724</v>
      </c>
    </row>
    <row r="2843" spans="1:7" s="183" customFormat="1">
      <c r="A2843" s="208" t="s">
        <v>41</v>
      </c>
      <c r="B2843" s="259" t="s">
        <v>42</v>
      </c>
      <c r="C2843" s="259"/>
      <c r="D2843" s="259"/>
      <c r="E2843" s="259"/>
      <c r="F2843" s="259"/>
      <c r="G2843" s="207">
        <f>G2841+G2842</f>
        <v>260964</v>
      </c>
    </row>
    <row r="2844" spans="1:7" s="183" customFormat="1">
      <c r="A2844" s="210"/>
      <c r="B2844" s="211"/>
      <c r="C2844" s="211"/>
      <c r="D2844" s="211"/>
      <c r="E2844" s="211"/>
      <c r="F2844" s="211"/>
      <c r="G2844" s="212"/>
    </row>
    <row r="2845" spans="1:7" s="183" customFormat="1">
      <c r="A2845" s="213" t="s">
        <v>784</v>
      </c>
      <c r="B2845" s="211"/>
      <c r="C2845" s="211"/>
      <c r="D2845" s="211"/>
      <c r="E2845" s="211"/>
      <c r="F2845" s="211"/>
      <c r="G2845" s="212"/>
    </row>
    <row r="2846" spans="1:7" s="183" customFormat="1" ht="30">
      <c r="A2846" s="193" t="s">
        <v>0</v>
      </c>
      <c r="B2846" s="193" t="s">
        <v>1</v>
      </c>
      <c r="C2846" s="193" t="s">
        <v>207</v>
      </c>
      <c r="D2846" s="193" t="s">
        <v>3</v>
      </c>
      <c r="E2846" s="193" t="s">
        <v>2</v>
      </c>
      <c r="F2846" s="193" t="s">
        <v>417</v>
      </c>
      <c r="G2846" s="193" t="s">
        <v>418</v>
      </c>
    </row>
    <row r="2847" spans="1:7" s="183" customFormat="1">
      <c r="A2847" s="194" t="s">
        <v>4</v>
      </c>
      <c r="B2847" s="195" t="s">
        <v>5</v>
      </c>
      <c r="C2847" s="194"/>
      <c r="D2847" s="196"/>
      <c r="E2847" s="199"/>
      <c r="F2847" s="217"/>
      <c r="G2847" s="217"/>
    </row>
    <row r="2848" spans="1:7" s="183" customFormat="1">
      <c r="A2848" s="194">
        <v>1</v>
      </c>
      <c r="B2848" s="195" t="s">
        <v>48</v>
      </c>
      <c r="C2848" s="194" t="s">
        <v>49</v>
      </c>
      <c r="D2848" s="196" t="s">
        <v>8</v>
      </c>
      <c r="E2848" s="199">
        <v>0.04</v>
      </c>
      <c r="F2848" s="200">
        <f>VLOOKUP(B2848,'HSD UPAH,BAHAN,ALAT'!$C$6:F2609,4,FALSE)</f>
        <v>100000</v>
      </c>
      <c r="G2848" s="201">
        <f t="shared" ref="G2848:G2851" si="344">E2848*F2848</f>
        <v>4000</v>
      </c>
    </row>
    <row r="2849" spans="1:7" s="183" customFormat="1">
      <c r="A2849" s="194">
        <v>2</v>
      </c>
      <c r="B2849" s="195" t="s">
        <v>6</v>
      </c>
      <c r="C2849" s="194" t="s">
        <v>7</v>
      </c>
      <c r="D2849" s="196" t="s">
        <v>8</v>
      </c>
      <c r="E2849" s="199">
        <v>0.04</v>
      </c>
      <c r="F2849" s="200">
        <f>VLOOKUP(B2849,'HSD UPAH,BAHAN,ALAT'!$C$6:F2611,4,FALSE)</f>
        <v>100000</v>
      </c>
      <c r="G2849" s="201">
        <f t="shared" si="344"/>
        <v>4000</v>
      </c>
    </row>
    <row r="2850" spans="1:7" s="183" customFormat="1">
      <c r="A2850" s="194">
        <v>3</v>
      </c>
      <c r="B2850" s="195" t="s">
        <v>10</v>
      </c>
      <c r="C2850" s="194" t="s">
        <v>11</v>
      </c>
      <c r="D2850" s="196" t="s">
        <v>8</v>
      </c>
      <c r="E2850" s="199">
        <v>1.2999999999999999E-2</v>
      </c>
      <c r="F2850" s="200">
        <f>VLOOKUP(B2850,'HSD UPAH,BAHAN,ALAT'!$C$6:F2612,4,FALSE)</f>
        <v>120000</v>
      </c>
      <c r="G2850" s="201">
        <f t="shared" si="344"/>
        <v>1560</v>
      </c>
    </row>
    <row r="2851" spans="1:7" s="183" customFormat="1">
      <c r="A2851" s="194">
        <v>4</v>
      </c>
      <c r="B2851" s="195" t="s">
        <v>13</v>
      </c>
      <c r="C2851" s="194" t="s">
        <v>14</v>
      </c>
      <c r="D2851" s="196" t="s">
        <v>8</v>
      </c>
      <c r="E2851" s="199">
        <v>4.3E-3</v>
      </c>
      <c r="F2851" s="200">
        <f>VLOOKUP(B2851,'HSD UPAH,BAHAN,ALAT'!$C$6:F2613,4,FALSE)</f>
        <v>100000</v>
      </c>
      <c r="G2851" s="201">
        <f t="shared" si="344"/>
        <v>430</v>
      </c>
    </row>
    <row r="2852" spans="1:7" s="183" customFormat="1">
      <c r="A2852" s="260" t="s">
        <v>420</v>
      </c>
      <c r="B2852" s="260"/>
      <c r="C2852" s="260"/>
      <c r="D2852" s="260"/>
      <c r="E2852" s="260"/>
      <c r="F2852" s="260"/>
      <c r="G2852" s="202">
        <f>SUM(G2849:G2851)</f>
        <v>5990</v>
      </c>
    </row>
    <row r="2853" spans="1:7" s="183" customFormat="1">
      <c r="A2853" s="194" t="s">
        <v>16</v>
      </c>
      <c r="B2853" s="195" t="s">
        <v>17</v>
      </c>
      <c r="C2853" s="194"/>
      <c r="D2853" s="196"/>
      <c r="E2853" s="199"/>
      <c r="F2853" s="217"/>
      <c r="G2853" s="217"/>
    </row>
    <row r="2854" spans="1:7" s="183" customFormat="1" ht="30">
      <c r="A2854" s="203" t="s">
        <v>208</v>
      </c>
      <c r="B2854" s="204" t="s">
        <v>872</v>
      </c>
      <c r="C2854" s="203"/>
      <c r="D2854" s="205" t="s">
        <v>86</v>
      </c>
      <c r="E2854" s="206" t="s">
        <v>87</v>
      </c>
      <c r="F2854" s="200">
        <f>VLOOKUP(B2854,'HSD UPAH,BAHAN,ALAT'!$C$6:F2616,4,FALSE)</f>
        <v>10000</v>
      </c>
      <c r="G2854" s="201">
        <f t="shared" ref="G2854:G2862" si="345">E2854*F2854</f>
        <v>10500</v>
      </c>
    </row>
    <row r="2855" spans="1:7" s="183" customFormat="1">
      <c r="A2855" s="194">
        <v>2</v>
      </c>
      <c r="B2855" s="195" t="s">
        <v>18</v>
      </c>
      <c r="C2855" s="194"/>
      <c r="D2855" s="196" t="s">
        <v>19</v>
      </c>
      <c r="E2855" s="199">
        <v>0.01</v>
      </c>
      <c r="F2855" s="200">
        <f>VLOOKUP(B2855,'HSD UPAH,BAHAN,ALAT'!$C$6:F2617,4,FALSE)</f>
        <v>10000</v>
      </c>
      <c r="G2855" s="201">
        <f t="shared" si="345"/>
        <v>100</v>
      </c>
    </row>
    <row r="2856" spans="1:7" s="183" customFormat="1">
      <c r="A2856" s="194">
        <v>3</v>
      </c>
      <c r="B2856" s="195" t="s">
        <v>21</v>
      </c>
      <c r="C2856" s="194"/>
      <c r="D2856" s="196"/>
      <c r="E2856" s="199"/>
      <c r="F2856" s="200"/>
      <c r="G2856" s="201">
        <f t="shared" si="345"/>
        <v>0</v>
      </c>
    </row>
    <row r="2857" spans="1:7" s="183" customFormat="1">
      <c r="A2857" s="194" t="s">
        <v>22</v>
      </c>
      <c r="B2857" s="195" t="s">
        <v>54</v>
      </c>
      <c r="C2857" s="194"/>
      <c r="D2857" s="196" t="s">
        <v>24</v>
      </c>
      <c r="E2857" s="199" t="s">
        <v>55</v>
      </c>
      <c r="F2857" s="200">
        <f>VLOOKUP(B2857,'HSD UPAH,BAHAN,ALAT'!$C$6:F2619,4,FALSE)</f>
        <v>10000</v>
      </c>
      <c r="G2857" s="201">
        <f t="shared" si="345"/>
        <v>120000</v>
      </c>
    </row>
    <row r="2858" spans="1:7" s="183" customFormat="1">
      <c r="A2858" s="194" t="s">
        <v>30</v>
      </c>
      <c r="B2858" s="195" t="s">
        <v>56</v>
      </c>
      <c r="C2858" s="194"/>
      <c r="D2858" s="196" t="s">
        <v>24</v>
      </c>
      <c r="E2858" s="199" t="s">
        <v>57</v>
      </c>
      <c r="F2858" s="200">
        <f>VLOOKUP(B2858,'HSD UPAH,BAHAN,ALAT'!$C$6:F2620,4,FALSE)</f>
        <v>10000</v>
      </c>
      <c r="G2858" s="201">
        <f t="shared" si="345"/>
        <v>100000</v>
      </c>
    </row>
    <row r="2859" spans="1:7" s="183" customFormat="1">
      <c r="A2859" s="194">
        <v>4</v>
      </c>
      <c r="B2859" s="195" t="s">
        <v>26</v>
      </c>
      <c r="C2859" s="194"/>
      <c r="D2859" s="196"/>
      <c r="E2859" s="199"/>
      <c r="F2859" s="200"/>
      <c r="G2859" s="201">
        <f t="shared" si="345"/>
        <v>0</v>
      </c>
    </row>
    <row r="2860" spans="1:7" s="183" customFormat="1">
      <c r="A2860" s="194" t="s">
        <v>22</v>
      </c>
      <c r="B2860" s="195" t="s">
        <v>27</v>
      </c>
      <c r="C2860" s="194"/>
      <c r="D2860" s="196" t="s">
        <v>28</v>
      </c>
      <c r="E2860" s="199">
        <v>4.9000000000000002E-2</v>
      </c>
      <c r="F2860" s="200">
        <f>VLOOKUP(B2860,'HSD UPAH,BAHAN,ALAT'!$C$6:F2622,4,FALSE)</f>
        <v>10000</v>
      </c>
      <c r="G2860" s="201">
        <f t="shared" si="345"/>
        <v>490</v>
      </c>
    </row>
    <row r="2861" spans="1:7" s="183" customFormat="1">
      <c r="A2861" s="194" t="s">
        <v>30</v>
      </c>
      <c r="B2861" s="195" t="s">
        <v>31</v>
      </c>
      <c r="C2861" s="194"/>
      <c r="D2861" s="196" t="s">
        <v>28</v>
      </c>
      <c r="E2861" s="199">
        <v>1.2999999999999999E-2</v>
      </c>
      <c r="F2861" s="200">
        <f>VLOOKUP(B2861,'HSD UPAH,BAHAN,ALAT'!$C$6:F2623,4,FALSE)</f>
        <v>10000</v>
      </c>
      <c r="G2861" s="201">
        <f t="shared" si="345"/>
        <v>130</v>
      </c>
    </row>
    <row r="2862" spans="1:7" s="183" customFormat="1">
      <c r="A2862" s="194" t="s">
        <v>33</v>
      </c>
      <c r="B2862" s="195" t="s">
        <v>34</v>
      </c>
      <c r="C2862" s="194"/>
      <c r="D2862" s="196" t="s">
        <v>28</v>
      </c>
      <c r="E2862" s="199">
        <v>3.0000000000000001E-3</v>
      </c>
      <c r="F2862" s="200">
        <f>VLOOKUP(B2862,'HSD UPAH,BAHAN,ALAT'!$C$6:F2624,4,FALSE)</f>
        <v>10000</v>
      </c>
      <c r="G2862" s="201">
        <f t="shared" si="345"/>
        <v>30</v>
      </c>
    </row>
    <row r="2863" spans="1:7" s="183" customFormat="1">
      <c r="A2863" s="260" t="s">
        <v>421</v>
      </c>
      <c r="B2863" s="260"/>
      <c r="C2863" s="260"/>
      <c r="D2863" s="260"/>
      <c r="E2863" s="260"/>
      <c r="F2863" s="260"/>
      <c r="G2863" s="202">
        <f>SUM(G2854:G2862)</f>
        <v>231250</v>
      </c>
    </row>
    <row r="2864" spans="1:7" s="183" customFormat="1">
      <c r="A2864" s="194" t="s">
        <v>36</v>
      </c>
      <c r="B2864" s="195" t="s">
        <v>37</v>
      </c>
      <c r="C2864" s="194"/>
      <c r="D2864" s="196"/>
      <c r="E2864" s="199"/>
      <c r="F2864" s="217"/>
      <c r="G2864" s="217"/>
    </row>
    <row r="2865" spans="1:7" s="183" customFormat="1">
      <c r="A2865" s="258" t="s">
        <v>419</v>
      </c>
      <c r="B2865" s="258"/>
      <c r="C2865" s="258"/>
      <c r="D2865" s="258"/>
      <c r="E2865" s="258"/>
      <c r="F2865" s="258"/>
      <c r="G2865" s="207">
        <f>SUM(G2864)</f>
        <v>0</v>
      </c>
    </row>
    <row r="2866" spans="1:7" s="183" customFormat="1">
      <c r="A2866" s="208" t="s">
        <v>38</v>
      </c>
      <c r="B2866" s="259" t="s">
        <v>39</v>
      </c>
      <c r="C2866" s="259"/>
      <c r="D2866" s="259"/>
      <c r="E2866" s="259"/>
      <c r="F2866" s="259"/>
      <c r="G2866" s="207">
        <f>SUM(G2849:G2865)/2</f>
        <v>237240</v>
      </c>
    </row>
    <row r="2867" spans="1:7" s="183" customFormat="1">
      <c r="A2867" s="208" t="s">
        <v>40</v>
      </c>
      <c r="B2867" s="259" t="s">
        <v>180</v>
      </c>
      <c r="C2867" s="259"/>
      <c r="D2867" s="259"/>
      <c r="E2867" s="259"/>
      <c r="F2867" s="209">
        <v>0.1</v>
      </c>
      <c r="G2867" s="207">
        <f>G2866*F2867</f>
        <v>23724</v>
      </c>
    </row>
    <row r="2868" spans="1:7" s="183" customFormat="1">
      <c r="A2868" s="208" t="s">
        <v>41</v>
      </c>
      <c r="B2868" s="259" t="s">
        <v>42</v>
      </c>
      <c r="C2868" s="259"/>
      <c r="D2868" s="259"/>
      <c r="E2868" s="259"/>
      <c r="F2868" s="259"/>
      <c r="G2868" s="207">
        <f>G2866+G2867</f>
        <v>260964</v>
      </c>
    </row>
    <row r="2869" spans="1:7" s="183" customFormat="1">
      <c r="A2869" s="210"/>
      <c r="B2869" s="211"/>
      <c r="C2869" s="211"/>
      <c r="D2869" s="211"/>
      <c r="E2869" s="211"/>
      <c r="F2869" s="211"/>
      <c r="G2869" s="212"/>
    </row>
    <row r="2870" spans="1:7" s="183" customFormat="1">
      <c r="A2870" s="213" t="s">
        <v>785</v>
      </c>
      <c r="B2870" s="211"/>
      <c r="C2870" s="211"/>
      <c r="D2870" s="211"/>
      <c r="E2870" s="211"/>
      <c r="F2870" s="211"/>
      <c r="G2870" s="212"/>
    </row>
    <row r="2871" spans="1:7" s="183" customFormat="1" ht="30">
      <c r="A2871" s="193" t="s">
        <v>0</v>
      </c>
      <c r="B2871" s="193" t="s">
        <v>1</v>
      </c>
      <c r="C2871" s="193" t="s">
        <v>207</v>
      </c>
      <c r="D2871" s="193" t="s">
        <v>3</v>
      </c>
      <c r="E2871" s="193" t="s">
        <v>2</v>
      </c>
      <c r="F2871" s="193" t="s">
        <v>417</v>
      </c>
      <c r="G2871" s="193" t="s">
        <v>418</v>
      </c>
    </row>
    <row r="2872" spans="1:7" s="183" customFormat="1">
      <c r="A2872" s="194" t="s">
        <v>4</v>
      </c>
      <c r="B2872" s="195" t="s">
        <v>5</v>
      </c>
      <c r="C2872" s="194"/>
      <c r="D2872" s="196"/>
      <c r="E2872" s="199"/>
      <c r="F2872" s="217"/>
      <c r="G2872" s="217"/>
    </row>
    <row r="2873" spans="1:7" s="183" customFormat="1">
      <c r="A2873" s="194">
        <v>1</v>
      </c>
      <c r="B2873" s="195" t="s">
        <v>48</v>
      </c>
      <c r="C2873" s="194" t="s">
        <v>49</v>
      </c>
      <c r="D2873" s="196" t="s">
        <v>8</v>
      </c>
      <c r="E2873" s="199">
        <v>0.04</v>
      </c>
      <c r="F2873" s="200">
        <f>VLOOKUP(B2873,'HSD UPAH,BAHAN,ALAT'!$C$6:F2633,4,FALSE)</f>
        <v>100000</v>
      </c>
      <c r="G2873" s="201">
        <f t="shared" ref="G2873:G2876" si="346">E2873*F2873</f>
        <v>4000</v>
      </c>
    </row>
    <row r="2874" spans="1:7" s="183" customFormat="1">
      <c r="A2874" s="194">
        <v>2</v>
      </c>
      <c r="B2874" s="195" t="s">
        <v>6</v>
      </c>
      <c r="C2874" s="194" t="s">
        <v>7</v>
      </c>
      <c r="D2874" s="196" t="s">
        <v>8</v>
      </c>
      <c r="E2874" s="199">
        <v>0.04</v>
      </c>
      <c r="F2874" s="200">
        <f>VLOOKUP(B2874,'HSD UPAH,BAHAN,ALAT'!$C$6:F2635,4,FALSE)</f>
        <v>100000</v>
      </c>
      <c r="G2874" s="201">
        <f t="shared" si="346"/>
        <v>4000</v>
      </c>
    </row>
    <row r="2875" spans="1:7" s="183" customFormat="1">
      <c r="A2875" s="194">
        <v>3</v>
      </c>
      <c r="B2875" s="195" t="s">
        <v>10</v>
      </c>
      <c r="C2875" s="194" t="s">
        <v>11</v>
      </c>
      <c r="D2875" s="196" t="s">
        <v>8</v>
      </c>
      <c r="E2875" s="199">
        <v>1.2999999999999999E-2</v>
      </c>
      <c r="F2875" s="200">
        <f>VLOOKUP(B2875,'HSD UPAH,BAHAN,ALAT'!$C$6:F2636,4,FALSE)</f>
        <v>120000</v>
      </c>
      <c r="G2875" s="201">
        <f t="shared" si="346"/>
        <v>1560</v>
      </c>
    </row>
    <row r="2876" spans="1:7" s="183" customFormat="1">
      <c r="A2876" s="194">
        <v>4</v>
      </c>
      <c r="B2876" s="195" t="s">
        <v>13</v>
      </c>
      <c r="C2876" s="194" t="s">
        <v>14</v>
      </c>
      <c r="D2876" s="196" t="s">
        <v>8</v>
      </c>
      <c r="E2876" s="199">
        <v>4.3E-3</v>
      </c>
      <c r="F2876" s="200">
        <f>VLOOKUP(B2876,'HSD UPAH,BAHAN,ALAT'!$C$6:F2637,4,FALSE)</f>
        <v>100000</v>
      </c>
      <c r="G2876" s="201">
        <f t="shared" si="346"/>
        <v>430</v>
      </c>
    </row>
    <row r="2877" spans="1:7" s="183" customFormat="1">
      <c r="A2877" s="260" t="s">
        <v>420</v>
      </c>
      <c r="B2877" s="260"/>
      <c r="C2877" s="260"/>
      <c r="D2877" s="260"/>
      <c r="E2877" s="260"/>
      <c r="F2877" s="260"/>
      <c r="G2877" s="202">
        <f>SUM(G2874:G2876)</f>
        <v>5990</v>
      </c>
    </row>
    <row r="2878" spans="1:7" s="183" customFormat="1">
      <c r="A2878" s="194" t="s">
        <v>16</v>
      </c>
      <c r="B2878" s="195" t="s">
        <v>17</v>
      </c>
      <c r="C2878" s="194"/>
      <c r="D2878" s="196"/>
      <c r="E2878" s="199"/>
      <c r="F2878" s="217"/>
      <c r="G2878" s="217"/>
    </row>
    <row r="2879" spans="1:7" s="183" customFormat="1" ht="45">
      <c r="A2879" s="203" t="s">
        <v>208</v>
      </c>
      <c r="B2879" s="204" t="s">
        <v>786</v>
      </c>
      <c r="C2879" s="203"/>
      <c r="D2879" s="205" t="s">
        <v>86</v>
      </c>
      <c r="E2879" s="206" t="s">
        <v>87</v>
      </c>
      <c r="F2879" s="200">
        <f>VLOOKUP(B2879,'HSD UPAH,BAHAN,ALAT'!$C$6:F2640,4,FALSE)</f>
        <v>10000</v>
      </c>
      <c r="G2879" s="201">
        <f t="shared" ref="G2879:G2887" si="347">E2879*F2879</f>
        <v>10500</v>
      </c>
    </row>
    <row r="2880" spans="1:7" s="183" customFormat="1">
      <c r="A2880" s="194">
        <v>2</v>
      </c>
      <c r="B2880" s="195" t="s">
        <v>18</v>
      </c>
      <c r="C2880" s="194"/>
      <c r="D2880" s="196" t="s">
        <v>19</v>
      </c>
      <c r="E2880" s="199">
        <v>0.01</v>
      </c>
      <c r="F2880" s="200">
        <f>VLOOKUP(B2880,'HSD UPAH,BAHAN,ALAT'!$C$6:F2641,4,FALSE)</f>
        <v>10000</v>
      </c>
      <c r="G2880" s="201">
        <f t="shared" si="347"/>
        <v>100</v>
      </c>
    </row>
    <row r="2881" spans="1:7" s="183" customFormat="1">
      <c r="A2881" s="194">
        <v>3</v>
      </c>
      <c r="B2881" s="195" t="s">
        <v>21</v>
      </c>
      <c r="C2881" s="194"/>
      <c r="D2881" s="196"/>
      <c r="E2881" s="199"/>
      <c r="F2881" s="200"/>
      <c r="G2881" s="201">
        <f t="shared" si="347"/>
        <v>0</v>
      </c>
    </row>
    <row r="2882" spans="1:7" s="183" customFormat="1">
      <c r="A2882" s="194" t="s">
        <v>22</v>
      </c>
      <c r="B2882" s="195" t="s">
        <v>54</v>
      </c>
      <c r="C2882" s="194"/>
      <c r="D2882" s="196" t="s">
        <v>24</v>
      </c>
      <c r="E2882" s="199" t="s">
        <v>55</v>
      </c>
      <c r="F2882" s="200">
        <f>VLOOKUP(B2882,'HSD UPAH,BAHAN,ALAT'!$C$6:F2643,4,FALSE)</f>
        <v>10000</v>
      </c>
      <c r="G2882" s="201">
        <f t="shared" si="347"/>
        <v>120000</v>
      </c>
    </row>
    <row r="2883" spans="1:7" s="183" customFormat="1">
      <c r="A2883" s="194" t="s">
        <v>30</v>
      </c>
      <c r="B2883" s="195" t="s">
        <v>56</v>
      </c>
      <c r="C2883" s="194"/>
      <c r="D2883" s="196" t="s">
        <v>24</v>
      </c>
      <c r="E2883" s="199" t="s">
        <v>57</v>
      </c>
      <c r="F2883" s="200">
        <f>VLOOKUP(B2883,'HSD UPAH,BAHAN,ALAT'!$C$6:F2644,4,FALSE)</f>
        <v>10000</v>
      </c>
      <c r="G2883" s="201">
        <f t="shared" si="347"/>
        <v>100000</v>
      </c>
    </row>
    <row r="2884" spans="1:7" s="183" customFormat="1">
      <c r="A2884" s="194">
        <v>4</v>
      </c>
      <c r="B2884" s="195" t="s">
        <v>26</v>
      </c>
      <c r="C2884" s="194"/>
      <c r="D2884" s="196"/>
      <c r="E2884" s="199"/>
      <c r="F2884" s="200"/>
      <c r="G2884" s="201">
        <f t="shared" si="347"/>
        <v>0</v>
      </c>
    </row>
    <row r="2885" spans="1:7" s="183" customFormat="1">
      <c r="A2885" s="194" t="s">
        <v>22</v>
      </c>
      <c r="B2885" s="195" t="s">
        <v>27</v>
      </c>
      <c r="C2885" s="194"/>
      <c r="D2885" s="196" t="s">
        <v>28</v>
      </c>
      <c r="E2885" s="199">
        <v>4.9000000000000002E-2</v>
      </c>
      <c r="F2885" s="200">
        <f>VLOOKUP(B2885,'HSD UPAH,BAHAN,ALAT'!$C$6:F2646,4,FALSE)</f>
        <v>10000</v>
      </c>
      <c r="G2885" s="201">
        <f t="shared" si="347"/>
        <v>490</v>
      </c>
    </row>
    <row r="2886" spans="1:7" s="183" customFormat="1">
      <c r="A2886" s="194" t="s">
        <v>30</v>
      </c>
      <c r="B2886" s="195" t="s">
        <v>31</v>
      </c>
      <c r="C2886" s="194"/>
      <c r="D2886" s="196" t="s">
        <v>28</v>
      </c>
      <c r="E2886" s="199">
        <v>1.2999999999999999E-2</v>
      </c>
      <c r="F2886" s="200">
        <f>VLOOKUP(B2886,'HSD UPAH,BAHAN,ALAT'!$C$6:F2647,4,FALSE)</f>
        <v>10000</v>
      </c>
      <c r="G2886" s="201">
        <f t="shared" si="347"/>
        <v>130</v>
      </c>
    </row>
    <row r="2887" spans="1:7" s="183" customFormat="1">
      <c r="A2887" s="194" t="s">
        <v>33</v>
      </c>
      <c r="B2887" s="195" t="s">
        <v>34</v>
      </c>
      <c r="C2887" s="194"/>
      <c r="D2887" s="196" t="s">
        <v>28</v>
      </c>
      <c r="E2887" s="199">
        <v>3.0000000000000001E-3</v>
      </c>
      <c r="F2887" s="200">
        <f>VLOOKUP(B2887,'HSD UPAH,BAHAN,ALAT'!$C$6:F2648,4,FALSE)</f>
        <v>10000</v>
      </c>
      <c r="G2887" s="201">
        <f t="shared" si="347"/>
        <v>30</v>
      </c>
    </row>
    <row r="2888" spans="1:7" s="183" customFormat="1">
      <c r="A2888" s="260" t="s">
        <v>421</v>
      </c>
      <c r="B2888" s="260"/>
      <c r="C2888" s="260"/>
      <c r="D2888" s="260"/>
      <c r="E2888" s="260"/>
      <c r="F2888" s="260"/>
      <c r="G2888" s="202">
        <f>SUM(G2879:G2887)</f>
        <v>231250</v>
      </c>
    </row>
    <row r="2889" spans="1:7" s="183" customFormat="1">
      <c r="A2889" s="194" t="s">
        <v>36</v>
      </c>
      <c r="B2889" s="195" t="s">
        <v>37</v>
      </c>
      <c r="C2889" s="194"/>
      <c r="D2889" s="196"/>
      <c r="E2889" s="199"/>
      <c r="F2889" s="217"/>
      <c r="G2889" s="217"/>
    </row>
    <row r="2890" spans="1:7" s="183" customFormat="1">
      <c r="A2890" s="258" t="s">
        <v>419</v>
      </c>
      <c r="B2890" s="258"/>
      <c r="C2890" s="258"/>
      <c r="D2890" s="258"/>
      <c r="E2890" s="258"/>
      <c r="F2890" s="258"/>
      <c r="G2890" s="207">
        <f>SUM(G2889)</f>
        <v>0</v>
      </c>
    </row>
    <row r="2891" spans="1:7" s="183" customFormat="1">
      <c r="A2891" s="208" t="s">
        <v>38</v>
      </c>
      <c r="B2891" s="259" t="s">
        <v>39</v>
      </c>
      <c r="C2891" s="259"/>
      <c r="D2891" s="259"/>
      <c r="E2891" s="259"/>
      <c r="F2891" s="259"/>
      <c r="G2891" s="207">
        <f>SUM(G2874:G2890)/2</f>
        <v>237240</v>
      </c>
    </row>
    <row r="2892" spans="1:7" s="183" customFormat="1">
      <c r="A2892" s="208" t="s">
        <v>40</v>
      </c>
      <c r="B2892" s="259" t="s">
        <v>180</v>
      </c>
      <c r="C2892" s="259"/>
      <c r="D2892" s="259"/>
      <c r="E2892" s="259"/>
      <c r="F2892" s="209">
        <v>0.1</v>
      </c>
      <c r="G2892" s="207">
        <f>G2891*F2892</f>
        <v>23724</v>
      </c>
    </row>
    <row r="2893" spans="1:7" s="183" customFormat="1">
      <c r="A2893" s="208" t="s">
        <v>41</v>
      </c>
      <c r="B2893" s="259" t="s">
        <v>42</v>
      </c>
      <c r="C2893" s="259"/>
      <c r="D2893" s="259"/>
      <c r="E2893" s="259"/>
      <c r="F2893" s="259"/>
      <c r="G2893" s="207">
        <f>G2891+G2892</f>
        <v>260964</v>
      </c>
    </row>
    <row r="2894" spans="1:7" s="183" customFormat="1">
      <c r="A2894" s="210"/>
      <c r="B2894" s="211"/>
      <c r="C2894" s="211"/>
      <c r="D2894" s="211"/>
      <c r="E2894" s="211"/>
      <c r="F2894" s="211"/>
      <c r="G2894" s="212"/>
    </row>
    <row r="2895" spans="1:7" s="183" customFormat="1">
      <c r="A2895" s="213" t="s">
        <v>787</v>
      </c>
      <c r="B2895" s="211"/>
      <c r="C2895" s="211"/>
      <c r="D2895" s="211"/>
      <c r="E2895" s="211"/>
      <c r="F2895" s="211"/>
      <c r="G2895" s="212"/>
    </row>
    <row r="2896" spans="1:7" s="183" customFormat="1">
      <c r="A2896" s="213" t="s">
        <v>788</v>
      </c>
      <c r="B2896" s="211"/>
      <c r="C2896" s="211"/>
      <c r="D2896" s="211"/>
      <c r="E2896" s="211"/>
      <c r="F2896" s="211"/>
      <c r="G2896" s="212"/>
    </row>
    <row r="2897" spans="1:7" s="183" customFormat="1" ht="30">
      <c r="A2897" s="193" t="s">
        <v>0</v>
      </c>
      <c r="B2897" s="193" t="s">
        <v>1</v>
      </c>
      <c r="C2897" s="193" t="s">
        <v>207</v>
      </c>
      <c r="D2897" s="193" t="s">
        <v>3</v>
      </c>
      <c r="E2897" s="193" t="s">
        <v>2</v>
      </c>
      <c r="F2897" s="193" t="s">
        <v>417</v>
      </c>
      <c r="G2897" s="193" t="s">
        <v>418</v>
      </c>
    </row>
    <row r="2898" spans="1:7" s="183" customFormat="1">
      <c r="A2898" s="194" t="s">
        <v>4</v>
      </c>
      <c r="B2898" s="195" t="s">
        <v>5</v>
      </c>
      <c r="C2898" s="194"/>
      <c r="D2898" s="196"/>
      <c r="E2898" s="199"/>
      <c r="F2898" s="217"/>
      <c r="G2898" s="217"/>
    </row>
    <row r="2899" spans="1:7" s="183" customFormat="1">
      <c r="A2899" s="194">
        <v>1</v>
      </c>
      <c r="B2899" s="195" t="s">
        <v>48</v>
      </c>
      <c r="C2899" s="194" t="s">
        <v>49</v>
      </c>
      <c r="D2899" s="196" t="s">
        <v>8</v>
      </c>
      <c r="E2899" s="199">
        <v>0.04</v>
      </c>
      <c r="F2899" s="200">
        <f>VLOOKUP(B2899,'HSD UPAH,BAHAN,ALAT'!$C$6:F2659,4,FALSE)</f>
        <v>100000</v>
      </c>
      <c r="G2899" s="201">
        <f t="shared" ref="G2899:G2902" si="348">E2899*F2899</f>
        <v>4000</v>
      </c>
    </row>
    <row r="2900" spans="1:7" s="183" customFormat="1">
      <c r="A2900" s="194">
        <v>2</v>
      </c>
      <c r="B2900" s="195" t="s">
        <v>6</v>
      </c>
      <c r="C2900" s="194" t="s">
        <v>7</v>
      </c>
      <c r="D2900" s="196" t="s">
        <v>8</v>
      </c>
      <c r="E2900" s="199">
        <v>0.04</v>
      </c>
      <c r="F2900" s="200">
        <f>VLOOKUP(B2900,'HSD UPAH,BAHAN,ALAT'!$C$6:F2661,4,FALSE)</f>
        <v>100000</v>
      </c>
      <c r="G2900" s="201">
        <f t="shared" si="348"/>
        <v>4000</v>
      </c>
    </row>
    <row r="2901" spans="1:7" s="183" customFormat="1">
      <c r="A2901" s="194">
        <v>3</v>
      </c>
      <c r="B2901" s="195" t="s">
        <v>10</v>
      </c>
      <c r="C2901" s="194" t="s">
        <v>11</v>
      </c>
      <c r="D2901" s="196" t="s">
        <v>8</v>
      </c>
      <c r="E2901" s="199">
        <v>0.02</v>
      </c>
      <c r="F2901" s="200">
        <f>VLOOKUP(B2901,'HSD UPAH,BAHAN,ALAT'!$C$6:F2662,4,FALSE)</f>
        <v>120000</v>
      </c>
      <c r="G2901" s="201">
        <f t="shared" si="348"/>
        <v>2400</v>
      </c>
    </row>
    <row r="2902" spans="1:7" s="183" customFormat="1">
      <c r="A2902" s="194">
        <v>4</v>
      </c>
      <c r="B2902" s="195" t="s">
        <v>13</v>
      </c>
      <c r="C2902" s="194" t="s">
        <v>14</v>
      </c>
      <c r="D2902" s="196" t="s">
        <v>8</v>
      </c>
      <c r="E2902" s="199">
        <v>6.7000000000000002E-3</v>
      </c>
      <c r="F2902" s="200">
        <f>VLOOKUP(B2902,'HSD UPAH,BAHAN,ALAT'!$C$6:F2663,4,FALSE)</f>
        <v>100000</v>
      </c>
      <c r="G2902" s="201">
        <f t="shared" si="348"/>
        <v>670</v>
      </c>
    </row>
    <row r="2903" spans="1:7" s="183" customFormat="1">
      <c r="A2903" s="260" t="s">
        <v>420</v>
      </c>
      <c r="B2903" s="260"/>
      <c r="C2903" s="260"/>
      <c r="D2903" s="260"/>
      <c r="E2903" s="260"/>
      <c r="F2903" s="260"/>
      <c r="G2903" s="202">
        <f>SUM(G2900:G2902)</f>
        <v>7070</v>
      </c>
    </row>
    <row r="2904" spans="1:7" s="183" customFormat="1">
      <c r="A2904" s="194" t="s">
        <v>16</v>
      </c>
      <c r="B2904" s="195" t="s">
        <v>17</v>
      </c>
      <c r="C2904" s="194"/>
      <c r="D2904" s="196"/>
      <c r="E2904" s="199"/>
      <c r="F2904" s="217"/>
      <c r="G2904" s="217"/>
    </row>
    <row r="2905" spans="1:7" s="183" customFormat="1" ht="30">
      <c r="A2905" s="203" t="s">
        <v>208</v>
      </c>
      <c r="B2905" s="204" t="s">
        <v>789</v>
      </c>
      <c r="C2905" s="203"/>
      <c r="D2905" s="205" t="s">
        <v>86</v>
      </c>
      <c r="E2905" s="206" t="s">
        <v>87</v>
      </c>
      <c r="F2905" s="200">
        <f>VLOOKUP(B2905,'HSD UPAH,BAHAN,ALAT'!$C$6:F2666,4,FALSE)</f>
        <v>10000</v>
      </c>
      <c r="G2905" s="201">
        <f t="shared" ref="G2905:G2913" si="349">E2905*F2905</f>
        <v>10500</v>
      </c>
    </row>
    <row r="2906" spans="1:7" s="183" customFormat="1">
      <c r="A2906" s="194">
        <v>2</v>
      </c>
      <c r="B2906" s="195" t="s">
        <v>18</v>
      </c>
      <c r="C2906" s="194"/>
      <c r="D2906" s="196" t="s">
        <v>19</v>
      </c>
      <c r="E2906" s="199">
        <v>0.02</v>
      </c>
      <c r="F2906" s="200">
        <f>VLOOKUP(B2906,'HSD UPAH,BAHAN,ALAT'!$C$6:F2667,4,FALSE)</f>
        <v>10000</v>
      </c>
      <c r="G2906" s="201">
        <f t="shared" si="349"/>
        <v>200</v>
      </c>
    </row>
    <row r="2907" spans="1:7" s="183" customFormat="1">
      <c r="A2907" s="194">
        <v>3</v>
      </c>
      <c r="B2907" s="195" t="s">
        <v>21</v>
      </c>
      <c r="C2907" s="194"/>
      <c r="D2907" s="196"/>
      <c r="E2907" s="199"/>
      <c r="F2907" s="200"/>
      <c r="G2907" s="201">
        <f t="shared" si="349"/>
        <v>0</v>
      </c>
    </row>
    <row r="2908" spans="1:7" s="183" customFormat="1">
      <c r="A2908" s="194" t="s">
        <v>22</v>
      </c>
      <c r="B2908" s="195" t="s">
        <v>54</v>
      </c>
      <c r="C2908" s="194"/>
      <c r="D2908" s="196" t="s">
        <v>24</v>
      </c>
      <c r="E2908" s="199">
        <v>18</v>
      </c>
      <c r="F2908" s="200">
        <f>VLOOKUP(B2908,'HSD UPAH,BAHAN,ALAT'!$C$6:F2669,4,FALSE)</f>
        <v>10000</v>
      </c>
      <c r="G2908" s="201">
        <f t="shared" si="349"/>
        <v>180000</v>
      </c>
    </row>
    <row r="2909" spans="1:7" s="183" customFormat="1">
      <c r="A2909" s="194" t="s">
        <v>30</v>
      </c>
      <c r="B2909" s="195" t="s">
        <v>56</v>
      </c>
      <c r="C2909" s="194"/>
      <c r="D2909" s="196" t="s">
        <v>24</v>
      </c>
      <c r="E2909" s="199" t="s">
        <v>57</v>
      </c>
      <c r="F2909" s="200">
        <f>VLOOKUP(B2909,'HSD UPAH,BAHAN,ALAT'!$C$6:F2670,4,FALSE)</f>
        <v>10000</v>
      </c>
      <c r="G2909" s="201">
        <f t="shared" si="349"/>
        <v>100000</v>
      </c>
    </row>
    <row r="2910" spans="1:7" s="183" customFormat="1">
      <c r="A2910" s="194">
        <v>4</v>
      </c>
      <c r="B2910" s="195" t="s">
        <v>26</v>
      </c>
      <c r="C2910" s="194"/>
      <c r="D2910" s="196"/>
      <c r="E2910" s="199"/>
      <c r="F2910" s="200"/>
      <c r="G2910" s="201">
        <f t="shared" si="349"/>
        <v>0</v>
      </c>
    </row>
    <row r="2911" spans="1:7" s="183" customFormat="1">
      <c r="A2911" s="194" t="s">
        <v>22</v>
      </c>
      <c r="B2911" s="195" t="s">
        <v>27</v>
      </c>
      <c r="C2911" s="194"/>
      <c r="D2911" s="196" t="s">
        <v>28</v>
      </c>
      <c r="E2911" s="199">
        <v>9.8000000000000004E-2</v>
      </c>
      <c r="F2911" s="200">
        <f>VLOOKUP(B2911,'HSD UPAH,BAHAN,ALAT'!$C$6:F2672,4,FALSE)</f>
        <v>10000</v>
      </c>
      <c r="G2911" s="201">
        <f t="shared" si="349"/>
        <v>980</v>
      </c>
    </row>
    <row r="2912" spans="1:7" s="183" customFormat="1">
      <c r="A2912" s="194" t="s">
        <v>30</v>
      </c>
      <c r="B2912" s="195" t="s">
        <v>31</v>
      </c>
      <c r="C2912" s="194"/>
      <c r="D2912" s="196" t="s">
        <v>28</v>
      </c>
      <c r="E2912" s="199">
        <v>2.5999999999999999E-2</v>
      </c>
      <c r="F2912" s="200">
        <f>VLOOKUP(B2912,'HSD UPAH,BAHAN,ALAT'!$C$6:F2673,4,FALSE)</f>
        <v>10000</v>
      </c>
      <c r="G2912" s="201">
        <f t="shared" si="349"/>
        <v>260</v>
      </c>
    </row>
    <row r="2913" spans="1:7" s="183" customFormat="1">
      <c r="A2913" s="194" t="s">
        <v>33</v>
      </c>
      <c r="B2913" s="195" t="s">
        <v>34</v>
      </c>
      <c r="C2913" s="194"/>
      <c r="D2913" s="196" t="s">
        <v>28</v>
      </c>
      <c r="E2913" s="199">
        <v>7.0000000000000001E-3</v>
      </c>
      <c r="F2913" s="200">
        <f>VLOOKUP(B2913,'HSD UPAH,BAHAN,ALAT'!$C$6:F2674,4,FALSE)</f>
        <v>10000</v>
      </c>
      <c r="G2913" s="201">
        <f t="shared" si="349"/>
        <v>70</v>
      </c>
    </row>
    <row r="2914" spans="1:7" s="183" customFormat="1">
      <c r="A2914" s="260" t="s">
        <v>421</v>
      </c>
      <c r="B2914" s="260"/>
      <c r="C2914" s="260"/>
      <c r="D2914" s="260"/>
      <c r="E2914" s="260"/>
      <c r="F2914" s="260"/>
      <c r="G2914" s="202">
        <f>SUM(G2905:G2913)</f>
        <v>292010</v>
      </c>
    </row>
    <row r="2915" spans="1:7" s="183" customFormat="1">
      <c r="A2915" s="194" t="s">
        <v>36</v>
      </c>
      <c r="B2915" s="195" t="s">
        <v>37</v>
      </c>
      <c r="C2915" s="194"/>
      <c r="D2915" s="196"/>
      <c r="E2915" s="199"/>
      <c r="F2915" s="217"/>
      <c r="G2915" s="217"/>
    </row>
    <row r="2916" spans="1:7">
      <c r="A2916" s="8">
        <v>1</v>
      </c>
      <c r="B2916" s="1" t="s">
        <v>71</v>
      </c>
      <c r="C2916" s="8"/>
      <c r="D2916" s="9" t="s">
        <v>72</v>
      </c>
      <c r="E2916" s="10" t="s">
        <v>73</v>
      </c>
      <c r="F2916" s="83">
        <f>VLOOKUP(B2916,'HSD UPAH,BAHAN,ALAT'!$C$6:F2471,4,FALSE)</f>
        <v>10000</v>
      </c>
      <c r="G2916" s="84">
        <f t="shared" ref="G2916" si="350">E2916*F2916</f>
        <v>2800.0000000000005</v>
      </c>
    </row>
    <row r="2917" spans="1:7" s="183" customFormat="1">
      <c r="A2917" s="258" t="s">
        <v>419</v>
      </c>
      <c r="B2917" s="258"/>
      <c r="C2917" s="258"/>
      <c r="D2917" s="258"/>
      <c r="E2917" s="258"/>
      <c r="F2917" s="258"/>
      <c r="G2917" s="207">
        <f>SUM(G2915:G2916)</f>
        <v>2800.0000000000005</v>
      </c>
    </row>
    <row r="2918" spans="1:7" s="183" customFormat="1">
      <c r="A2918" s="208" t="s">
        <v>38</v>
      </c>
      <c r="B2918" s="259" t="s">
        <v>39</v>
      </c>
      <c r="C2918" s="259"/>
      <c r="D2918" s="259"/>
      <c r="E2918" s="259"/>
      <c r="F2918" s="259"/>
      <c r="G2918" s="207">
        <f>SUM(G2900:G2917)/2</f>
        <v>301880</v>
      </c>
    </row>
    <row r="2919" spans="1:7" s="183" customFormat="1">
      <c r="A2919" s="208" t="s">
        <v>40</v>
      </c>
      <c r="B2919" s="259" t="s">
        <v>180</v>
      </c>
      <c r="C2919" s="259"/>
      <c r="D2919" s="259"/>
      <c r="E2919" s="259"/>
      <c r="F2919" s="209">
        <v>0.1</v>
      </c>
      <c r="G2919" s="207">
        <f>G2918*F2919</f>
        <v>30188</v>
      </c>
    </row>
    <row r="2920" spans="1:7" s="183" customFormat="1">
      <c r="A2920" s="208" t="s">
        <v>41</v>
      </c>
      <c r="B2920" s="259" t="s">
        <v>42</v>
      </c>
      <c r="C2920" s="259"/>
      <c r="D2920" s="259"/>
      <c r="E2920" s="259"/>
      <c r="F2920" s="259"/>
      <c r="G2920" s="207">
        <f>G2918+G2919</f>
        <v>332068</v>
      </c>
    </row>
    <row r="2921" spans="1:7" s="183" customFormat="1">
      <c r="A2921" s="210"/>
      <c r="B2921" s="211"/>
      <c r="C2921" s="211"/>
      <c r="D2921" s="211"/>
      <c r="E2921" s="211"/>
      <c r="F2921" s="211"/>
      <c r="G2921" s="212"/>
    </row>
    <row r="2922" spans="1:7" s="183" customFormat="1">
      <c r="A2922" s="213" t="s">
        <v>790</v>
      </c>
      <c r="B2922" s="211"/>
      <c r="C2922" s="211"/>
      <c r="D2922" s="211"/>
      <c r="E2922" s="211"/>
      <c r="F2922" s="211"/>
      <c r="G2922" s="212"/>
    </row>
    <row r="2923" spans="1:7" s="183" customFormat="1" ht="30">
      <c r="A2923" s="193" t="s">
        <v>0</v>
      </c>
      <c r="B2923" s="193" t="s">
        <v>1</v>
      </c>
      <c r="C2923" s="193" t="s">
        <v>207</v>
      </c>
      <c r="D2923" s="193" t="s">
        <v>3</v>
      </c>
      <c r="E2923" s="193" t="s">
        <v>2</v>
      </c>
      <c r="F2923" s="193" t="s">
        <v>417</v>
      </c>
      <c r="G2923" s="193" t="s">
        <v>418</v>
      </c>
    </row>
    <row r="2924" spans="1:7" s="183" customFormat="1">
      <c r="A2924" s="194" t="s">
        <v>4</v>
      </c>
      <c r="B2924" s="195" t="s">
        <v>5</v>
      </c>
      <c r="C2924" s="194"/>
      <c r="D2924" s="196"/>
      <c r="E2924" s="199"/>
      <c r="F2924" s="217"/>
      <c r="G2924" s="217"/>
    </row>
    <row r="2925" spans="1:7" s="183" customFormat="1">
      <c r="A2925" s="194">
        <v>1</v>
      </c>
      <c r="B2925" s="195" t="s">
        <v>48</v>
      </c>
      <c r="C2925" s="194" t="s">
        <v>49</v>
      </c>
      <c r="D2925" s="196" t="s">
        <v>8</v>
      </c>
      <c r="E2925" s="199">
        <v>0.04</v>
      </c>
      <c r="F2925" s="200">
        <f>VLOOKUP(B2925,'HSD UPAH,BAHAN,ALAT'!$C$6:F2685,4,FALSE)</f>
        <v>100000</v>
      </c>
      <c r="G2925" s="201">
        <f t="shared" ref="G2925:G2928" si="351">E2925*F2925</f>
        <v>4000</v>
      </c>
    </row>
    <row r="2926" spans="1:7" s="183" customFormat="1">
      <c r="A2926" s="194">
        <v>2</v>
      </c>
      <c r="B2926" s="195" t="s">
        <v>6</v>
      </c>
      <c r="C2926" s="194" t="s">
        <v>7</v>
      </c>
      <c r="D2926" s="196" t="s">
        <v>8</v>
      </c>
      <c r="E2926" s="199">
        <v>0.04</v>
      </c>
      <c r="F2926" s="200">
        <f>VLOOKUP(B2926,'HSD UPAH,BAHAN,ALAT'!$C$6:F2687,4,FALSE)</f>
        <v>100000</v>
      </c>
      <c r="G2926" s="201">
        <f t="shared" si="351"/>
        <v>4000</v>
      </c>
    </row>
    <row r="2927" spans="1:7" s="183" customFormat="1">
      <c r="A2927" s="194">
        <v>3</v>
      </c>
      <c r="B2927" s="195" t="s">
        <v>10</v>
      </c>
      <c r="C2927" s="194" t="s">
        <v>11</v>
      </c>
      <c r="D2927" s="196" t="s">
        <v>8</v>
      </c>
      <c r="E2927" s="199">
        <v>0.02</v>
      </c>
      <c r="F2927" s="200">
        <f>VLOOKUP(B2927,'HSD UPAH,BAHAN,ALAT'!$C$6:F2688,4,FALSE)</f>
        <v>120000</v>
      </c>
      <c r="G2927" s="201">
        <f t="shared" si="351"/>
        <v>2400</v>
      </c>
    </row>
    <row r="2928" spans="1:7" s="183" customFormat="1">
      <c r="A2928" s="194">
        <v>4</v>
      </c>
      <c r="B2928" s="195" t="s">
        <v>13</v>
      </c>
      <c r="C2928" s="194" t="s">
        <v>14</v>
      </c>
      <c r="D2928" s="196" t="s">
        <v>8</v>
      </c>
      <c r="E2928" s="199">
        <v>6.7000000000000002E-3</v>
      </c>
      <c r="F2928" s="200">
        <f>VLOOKUP(B2928,'HSD UPAH,BAHAN,ALAT'!$C$6:F2689,4,FALSE)</f>
        <v>100000</v>
      </c>
      <c r="G2928" s="201">
        <f t="shared" si="351"/>
        <v>670</v>
      </c>
    </row>
    <row r="2929" spans="1:7" s="183" customFormat="1">
      <c r="A2929" s="260" t="s">
        <v>420</v>
      </c>
      <c r="B2929" s="260"/>
      <c r="C2929" s="260"/>
      <c r="D2929" s="260"/>
      <c r="E2929" s="260"/>
      <c r="F2929" s="260"/>
      <c r="G2929" s="202">
        <f>SUM(G2926:G2928)</f>
        <v>7070</v>
      </c>
    </row>
    <row r="2930" spans="1:7" s="183" customFormat="1">
      <c r="A2930" s="194" t="s">
        <v>16</v>
      </c>
      <c r="B2930" s="195" t="s">
        <v>17</v>
      </c>
      <c r="C2930" s="194"/>
      <c r="D2930" s="196"/>
      <c r="E2930" s="199"/>
      <c r="F2930" s="217"/>
      <c r="G2930" s="217"/>
    </row>
    <row r="2931" spans="1:7" s="183" customFormat="1" ht="30">
      <c r="A2931" s="203" t="s">
        <v>208</v>
      </c>
      <c r="B2931" s="204" t="s">
        <v>791</v>
      </c>
      <c r="C2931" s="203"/>
      <c r="D2931" s="205" t="s">
        <v>86</v>
      </c>
      <c r="E2931" s="206" t="s">
        <v>87</v>
      </c>
      <c r="F2931" s="200">
        <f>VLOOKUP(B2931,'HSD UPAH,BAHAN,ALAT'!$C$6:F2692,4,FALSE)</f>
        <v>10000</v>
      </c>
      <c r="G2931" s="201">
        <f t="shared" ref="G2931:G2939" si="352">E2931*F2931</f>
        <v>10500</v>
      </c>
    </row>
    <row r="2932" spans="1:7" s="183" customFormat="1">
      <c r="A2932" s="194">
        <v>2</v>
      </c>
      <c r="B2932" s="195" t="s">
        <v>18</v>
      </c>
      <c r="C2932" s="194"/>
      <c r="D2932" s="196" t="s">
        <v>19</v>
      </c>
      <c r="E2932" s="199">
        <v>0.02</v>
      </c>
      <c r="F2932" s="200">
        <f>VLOOKUP(B2932,'HSD UPAH,BAHAN,ALAT'!$C$6:F2693,4,FALSE)</f>
        <v>10000</v>
      </c>
      <c r="G2932" s="201">
        <f t="shared" si="352"/>
        <v>200</v>
      </c>
    </row>
    <row r="2933" spans="1:7" s="183" customFormat="1">
      <c r="A2933" s="194">
        <v>3</v>
      </c>
      <c r="B2933" s="195" t="s">
        <v>21</v>
      </c>
      <c r="C2933" s="194"/>
      <c r="D2933" s="196"/>
      <c r="E2933" s="199"/>
      <c r="F2933" s="200"/>
      <c r="G2933" s="201">
        <f t="shared" si="352"/>
        <v>0</v>
      </c>
    </row>
    <row r="2934" spans="1:7" s="183" customFormat="1">
      <c r="A2934" s="194" t="s">
        <v>22</v>
      </c>
      <c r="B2934" s="195" t="s">
        <v>54</v>
      </c>
      <c r="C2934" s="194"/>
      <c r="D2934" s="196" t="s">
        <v>24</v>
      </c>
      <c r="E2934" s="199">
        <v>18</v>
      </c>
      <c r="F2934" s="200">
        <f>VLOOKUP(B2934,'HSD UPAH,BAHAN,ALAT'!$C$6:F2695,4,FALSE)</f>
        <v>10000</v>
      </c>
      <c r="G2934" s="201">
        <f t="shared" si="352"/>
        <v>180000</v>
      </c>
    </row>
    <row r="2935" spans="1:7" s="183" customFormat="1">
      <c r="A2935" s="194" t="s">
        <v>30</v>
      </c>
      <c r="B2935" s="195" t="s">
        <v>56</v>
      </c>
      <c r="C2935" s="194"/>
      <c r="D2935" s="196" t="s">
        <v>24</v>
      </c>
      <c r="E2935" s="199" t="s">
        <v>57</v>
      </c>
      <c r="F2935" s="200">
        <f>VLOOKUP(B2935,'HSD UPAH,BAHAN,ALAT'!$C$6:F2696,4,FALSE)</f>
        <v>10000</v>
      </c>
      <c r="G2935" s="201">
        <f t="shared" si="352"/>
        <v>100000</v>
      </c>
    </row>
    <row r="2936" spans="1:7" s="183" customFormat="1">
      <c r="A2936" s="194">
        <v>4</v>
      </c>
      <c r="B2936" s="195" t="s">
        <v>26</v>
      </c>
      <c r="C2936" s="194"/>
      <c r="D2936" s="196"/>
      <c r="E2936" s="199"/>
      <c r="F2936" s="200"/>
      <c r="G2936" s="201">
        <f t="shared" si="352"/>
        <v>0</v>
      </c>
    </row>
    <row r="2937" spans="1:7" s="183" customFormat="1">
      <c r="A2937" s="194" t="s">
        <v>22</v>
      </c>
      <c r="B2937" s="195" t="s">
        <v>27</v>
      </c>
      <c r="C2937" s="194"/>
      <c r="D2937" s="196" t="s">
        <v>28</v>
      </c>
      <c r="E2937" s="199">
        <v>9.8000000000000004E-2</v>
      </c>
      <c r="F2937" s="200">
        <f>VLOOKUP(B2937,'HSD UPAH,BAHAN,ALAT'!$C$6:F2698,4,FALSE)</f>
        <v>10000</v>
      </c>
      <c r="G2937" s="201">
        <f t="shared" si="352"/>
        <v>980</v>
      </c>
    </row>
    <row r="2938" spans="1:7" s="183" customFormat="1">
      <c r="A2938" s="194" t="s">
        <v>30</v>
      </c>
      <c r="B2938" s="195" t="s">
        <v>31</v>
      </c>
      <c r="C2938" s="194"/>
      <c r="D2938" s="196" t="s">
        <v>28</v>
      </c>
      <c r="E2938" s="199">
        <v>2.5999999999999999E-2</v>
      </c>
      <c r="F2938" s="200">
        <f>VLOOKUP(B2938,'HSD UPAH,BAHAN,ALAT'!$C$6:F2699,4,FALSE)</f>
        <v>10000</v>
      </c>
      <c r="G2938" s="201">
        <f t="shared" si="352"/>
        <v>260</v>
      </c>
    </row>
    <row r="2939" spans="1:7" s="183" customFormat="1">
      <c r="A2939" s="194" t="s">
        <v>33</v>
      </c>
      <c r="B2939" s="195" t="s">
        <v>34</v>
      </c>
      <c r="C2939" s="194"/>
      <c r="D2939" s="196" t="s">
        <v>28</v>
      </c>
      <c r="E2939" s="199">
        <v>7.0000000000000001E-3</v>
      </c>
      <c r="F2939" s="200">
        <f>VLOOKUP(B2939,'HSD UPAH,BAHAN,ALAT'!$C$6:F2700,4,FALSE)</f>
        <v>10000</v>
      </c>
      <c r="G2939" s="201">
        <f t="shared" si="352"/>
        <v>70</v>
      </c>
    </row>
    <row r="2940" spans="1:7" s="183" customFormat="1">
      <c r="A2940" s="260" t="s">
        <v>421</v>
      </c>
      <c r="B2940" s="260"/>
      <c r="C2940" s="260"/>
      <c r="D2940" s="260"/>
      <c r="E2940" s="260"/>
      <c r="F2940" s="260"/>
      <c r="G2940" s="202">
        <f>SUM(G2931:G2939)</f>
        <v>292010</v>
      </c>
    </row>
    <row r="2941" spans="1:7" s="183" customFormat="1">
      <c r="A2941" s="194" t="s">
        <v>36</v>
      </c>
      <c r="B2941" s="195" t="s">
        <v>37</v>
      </c>
      <c r="C2941" s="194"/>
      <c r="D2941" s="196"/>
      <c r="E2941" s="199"/>
      <c r="F2941" s="217"/>
      <c r="G2941" s="217"/>
    </row>
    <row r="2942" spans="1:7">
      <c r="A2942" s="8">
        <v>1</v>
      </c>
      <c r="B2942" s="1" t="s">
        <v>71</v>
      </c>
      <c r="C2942" s="8"/>
      <c r="D2942" s="9" t="s">
        <v>72</v>
      </c>
      <c r="E2942" s="10" t="s">
        <v>73</v>
      </c>
      <c r="F2942" s="83">
        <f>VLOOKUP(B2942,'HSD UPAH,BAHAN,ALAT'!$C$6:F2497,4,FALSE)</f>
        <v>10000</v>
      </c>
      <c r="G2942" s="84">
        <f t="shared" ref="G2942" si="353">E2942*F2942</f>
        <v>2800.0000000000005</v>
      </c>
    </row>
    <row r="2943" spans="1:7" s="183" customFormat="1">
      <c r="A2943" s="258" t="s">
        <v>419</v>
      </c>
      <c r="B2943" s="258"/>
      <c r="C2943" s="258"/>
      <c r="D2943" s="258"/>
      <c r="E2943" s="258"/>
      <c r="F2943" s="258"/>
      <c r="G2943" s="207">
        <f>SUM(G2941:G2942)</f>
        <v>2800.0000000000005</v>
      </c>
    </row>
    <row r="2944" spans="1:7" s="183" customFormat="1">
      <c r="A2944" s="208" t="s">
        <v>38</v>
      </c>
      <c r="B2944" s="259" t="s">
        <v>39</v>
      </c>
      <c r="C2944" s="259"/>
      <c r="D2944" s="259"/>
      <c r="E2944" s="259"/>
      <c r="F2944" s="259"/>
      <c r="G2944" s="207">
        <f>SUM(G2926:G2943)/2</f>
        <v>301880</v>
      </c>
    </row>
    <row r="2945" spans="1:7" s="183" customFormat="1">
      <c r="A2945" s="208" t="s">
        <v>40</v>
      </c>
      <c r="B2945" s="259" t="s">
        <v>180</v>
      </c>
      <c r="C2945" s="259"/>
      <c r="D2945" s="259"/>
      <c r="E2945" s="259"/>
      <c r="F2945" s="209">
        <v>0.1</v>
      </c>
      <c r="G2945" s="207">
        <f>G2944*F2945</f>
        <v>30188</v>
      </c>
    </row>
    <row r="2946" spans="1:7" s="183" customFormat="1">
      <c r="A2946" s="208" t="s">
        <v>41</v>
      </c>
      <c r="B2946" s="259" t="s">
        <v>42</v>
      </c>
      <c r="C2946" s="259"/>
      <c r="D2946" s="259"/>
      <c r="E2946" s="259"/>
      <c r="F2946" s="259"/>
      <c r="G2946" s="207">
        <f>G2944+G2945</f>
        <v>332068</v>
      </c>
    </row>
    <row r="2947" spans="1:7" s="183" customFormat="1">
      <c r="A2947" s="210"/>
      <c r="B2947" s="211"/>
      <c r="C2947" s="211"/>
      <c r="D2947" s="211"/>
      <c r="E2947" s="211"/>
      <c r="F2947" s="211"/>
      <c r="G2947" s="212"/>
    </row>
    <row r="2948" spans="1:7" s="183" customFormat="1">
      <c r="A2948" s="213" t="s">
        <v>792</v>
      </c>
      <c r="B2948" s="211"/>
      <c r="C2948" s="211"/>
      <c r="D2948" s="211"/>
      <c r="E2948" s="211"/>
      <c r="F2948" s="211"/>
      <c r="G2948" s="212"/>
    </row>
    <row r="2949" spans="1:7" s="183" customFormat="1" ht="30">
      <c r="A2949" s="193" t="s">
        <v>0</v>
      </c>
      <c r="B2949" s="193" t="s">
        <v>1</v>
      </c>
      <c r="C2949" s="193" t="s">
        <v>207</v>
      </c>
      <c r="D2949" s="193" t="s">
        <v>3</v>
      </c>
      <c r="E2949" s="193" t="s">
        <v>2</v>
      </c>
      <c r="F2949" s="193" t="s">
        <v>417</v>
      </c>
      <c r="G2949" s="193" t="s">
        <v>418</v>
      </c>
    </row>
    <row r="2950" spans="1:7" s="183" customFormat="1">
      <c r="A2950" s="194" t="s">
        <v>4</v>
      </c>
      <c r="B2950" s="195" t="s">
        <v>5</v>
      </c>
      <c r="C2950" s="194"/>
      <c r="D2950" s="196"/>
      <c r="E2950" s="199"/>
      <c r="F2950" s="217"/>
      <c r="G2950" s="217"/>
    </row>
    <row r="2951" spans="1:7" s="183" customFormat="1">
      <c r="A2951" s="194">
        <v>1</v>
      </c>
      <c r="B2951" s="195" t="s">
        <v>48</v>
      </c>
      <c r="C2951" s="194" t="s">
        <v>49</v>
      </c>
      <c r="D2951" s="196" t="s">
        <v>8</v>
      </c>
      <c r="E2951" s="199">
        <v>0.04</v>
      </c>
      <c r="F2951" s="200">
        <f>VLOOKUP(B2951,'HSD UPAH,BAHAN,ALAT'!$C$6:F2710,4,FALSE)</f>
        <v>100000</v>
      </c>
      <c r="G2951" s="201">
        <f t="shared" ref="G2951:G2954" si="354">E2951*F2951</f>
        <v>4000</v>
      </c>
    </row>
    <row r="2952" spans="1:7" s="183" customFormat="1">
      <c r="A2952" s="194">
        <v>2</v>
      </c>
      <c r="B2952" s="195" t="s">
        <v>6</v>
      </c>
      <c r="C2952" s="194" t="s">
        <v>7</v>
      </c>
      <c r="D2952" s="196" t="s">
        <v>8</v>
      </c>
      <c r="E2952" s="199">
        <v>0.04</v>
      </c>
      <c r="F2952" s="200">
        <f>VLOOKUP(B2952,'HSD UPAH,BAHAN,ALAT'!$C$6:F2712,4,FALSE)</f>
        <v>100000</v>
      </c>
      <c r="G2952" s="201">
        <f t="shared" si="354"/>
        <v>4000</v>
      </c>
    </row>
    <row r="2953" spans="1:7" s="183" customFormat="1">
      <c r="A2953" s="194">
        <v>3</v>
      </c>
      <c r="B2953" s="195" t="s">
        <v>10</v>
      </c>
      <c r="C2953" s="194" t="s">
        <v>11</v>
      </c>
      <c r="D2953" s="196" t="s">
        <v>8</v>
      </c>
      <c r="E2953" s="199">
        <v>0.02</v>
      </c>
      <c r="F2953" s="200">
        <f>VLOOKUP(B2953,'HSD UPAH,BAHAN,ALAT'!$C$6:F2713,4,FALSE)</f>
        <v>120000</v>
      </c>
      <c r="G2953" s="201">
        <f t="shared" si="354"/>
        <v>2400</v>
      </c>
    </row>
    <row r="2954" spans="1:7" s="183" customFormat="1">
      <c r="A2954" s="194">
        <v>4</v>
      </c>
      <c r="B2954" s="195" t="s">
        <v>13</v>
      </c>
      <c r="C2954" s="194" t="s">
        <v>14</v>
      </c>
      <c r="D2954" s="196" t="s">
        <v>8</v>
      </c>
      <c r="E2954" s="199">
        <v>6.7000000000000002E-3</v>
      </c>
      <c r="F2954" s="200">
        <f>VLOOKUP(B2954,'HSD UPAH,BAHAN,ALAT'!$C$6:F2714,4,FALSE)</f>
        <v>100000</v>
      </c>
      <c r="G2954" s="201">
        <f t="shared" si="354"/>
        <v>670</v>
      </c>
    </row>
    <row r="2955" spans="1:7" s="183" customFormat="1">
      <c r="A2955" s="260" t="s">
        <v>420</v>
      </c>
      <c r="B2955" s="260"/>
      <c r="C2955" s="260"/>
      <c r="D2955" s="260"/>
      <c r="E2955" s="260"/>
      <c r="F2955" s="260"/>
      <c r="G2955" s="202">
        <f>SUM(G2952:G2954)</f>
        <v>7070</v>
      </c>
    </row>
    <row r="2956" spans="1:7" s="183" customFormat="1">
      <c r="A2956" s="194" t="s">
        <v>16</v>
      </c>
      <c r="B2956" s="195" t="s">
        <v>17</v>
      </c>
      <c r="C2956" s="194"/>
      <c r="D2956" s="196"/>
      <c r="E2956" s="199"/>
      <c r="F2956" s="217"/>
      <c r="G2956" s="217"/>
    </row>
    <row r="2957" spans="1:7" s="183" customFormat="1" ht="30">
      <c r="A2957" s="203" t="s">
        <v>208</v>
      </c>
      <c r="B2957" s="204" t="s">
        <v>793</v>
      </c>
      <c r="C2957" s="203"/>
      <c r="D2957" s="205" t="s">
        <v>86</v>
      </c>
      <c r="E2957" s="206" t="s">
        <v>87</v>
      </c>
      <c r="F2957" s="200">
        <f>VLOOKUP(B2957,'HSD UPAH,BAHAN,ALAT'!$C$6:F2717,4,FALSE)</f>
        <v>10000</v>
      </c>
      <c r="G2957" s="201">
        <f t="shared" ref="G2957:G2965" si="355">E2957*F2957</f>
        <v>10500</v>
      </c>
    </row>
    <row r="2958" spans="1:7" s="183" customFormat="1">
      <c r="A2958" s="194">
        <v>2</v>
      </c>
      <c r="B2958" s="195" t="s">
        <v>18</v>
      </c>
      <c r="C2958" s="194"/>
      <c r="D2958" s="196" t="s">
        <v>19</v>
      </c>
      <c r="E2958" s="199">
        <v>0.02</v>
      </c>
      <c r="F2958" s="200">
        <f>VLOOKUP(B2958,'HSD UPAH,BAHAN,ALAT'!$C$6:F2718,4,FALSE)</f>
        <v>10000</v>
      </c>
      <c r="G2958" s="201">
        <f t="shared" si="355"/>
        <v>200</v>
      </c>
    </row>
    <row r="2959" spans="1:7" s="183" customFormat="1">
      <c r="A2959" s="194">
        <v>3</v>
      </c>
      <c r="B2959" s="195" t="s">
        <v>21</v>
      </c>
      <c r="C2959" s="194"/>
      <c r="D2959" s="196"/>
      <c r="E2959" s="199"/>
      <c r="F2959" s="200"/>
      <c r="G2959" s="201">
        <f t="shared" si="355"/>
        <v>0</v>
      </c>
    </row>
    <row r="2960" spans="1:7" s="183" customFormat="1">
      <c r="A2960" s="194" t="s">
        <v>22</v>
      </c>
      <c r="B2960" s="195" t="s">
        <v>54</v>
      </c>
      <c r="C2960" s="194"/>
      <c r="D2960" s="196" t="s">
        <v>24</v>
      </c>
      <c r="E2960" s="199">
        <v>18</v>
      </c>
      <c r="F2960" s="200">
        <f>VLOOKUP(B2960,'HSD UPAH,BAHAN,ALAT'!$C$6:F2720,4,FALSE)</f>
        <v>10000</v>
      </c>
      <c r="G2960" s="201">
        <f t="shared" si="355"/>
        <v>180000</v>
      </c>
    </row>
    <row r="2961" spans="1:7" s="183" customFormat="1">
      <c r="A2961" s="194" t="s">
        <v>30</v>
      </c>
      <c r="B2961" s="195" t="s">
        <v>56</v>
      </c>
      <c r="C2961" s="194"/>
      <c r="D2961" s="196" t="s">
        <v>24</v>
      </c>
      <c r="E2961" s="199" t="s">
        <v>57</v>
      </c>
      <c r="F2961" s="200">
        <f>VLOOKUP(B2961,'HSD UPAH,BAHAN,ALAT'!$C$6:F2721,4,FALSE)</f>
        <v>10000</v>
      </c>
      <c r="G2961" s="201">
        <f t="shared" si="355"/>
        <v>100000</v>
      </c>
    </row>
    <row r="2962" spans="1:7" s="183" customFormat="1">
      <c r="A2962" s="194">
        <v>4</v>
      </c>
      <c r="B2962" s="195" t="s">
        <v>26</v>
      </c>
      <c r="C2962" s="194"/>
      <c r="D2962" s="196"/>
      <c r="E2962" s="199"/>
      <c r="F2962" s="200"/>
      <c r="G2962" s="201">
        <f t="shared" si="355"/>
        <v>0</v>
      </c>
    </row>
    <row r="2963" spans="1:7" s="183" customFormat="1">
      <c r="A2963" s="194" t="s">
        <v>22</v>
      </c>
      <c r="B2963" s="195" t="s">
        <v>27</v>
      </c>
      <c r="C2963" s="194"/>
      <c r="D2963" s="196" t="s">
        <v>28</v>
      </c>
      <c r="E2963" s="199">
        <v>9.8000000000000004E-2</v>
      </c>
      <c r="F2963" s="200">
        <f>VLOOKUP(B2963,'HSD UPAH,BAHAN,ALAT'!$C$6:F2723,4,FALSE)</f>
        <v>10000</v>
      </c>
      <c r="G2963" s="201">
        <f t="shared" si="355"/>
        <v>980</v>
      </c>
    </row>
    <row r="2964" spans="1:7" s="183" customFormat="1">
      <c r="A2964" s="194" t="s">
        <v>30</v>
      </c>
      <c r="B2964" s="195" t="s">
        <v>31</v>
      </c>
      <c r="C2964" s="194"/>
      <c r="D2964" s="196" t="s">
        <v>28</v>
      </c>
      <c r="E2964" s="199">
        <v>2.5999999999999999E-2</v>
      </c>
      <c r="F2964" s="200">
        <f>VLOOKUP(B2964,'HSD UPAH,BAHAN,ALAT'!$C$6:F2724,4,FALSE)</f>
        <v>10000</v>
      </c>
      <c r="G2964" s="201">
        <f t="shared" si="355"/>
        <v>260</v>
      </c>
    </row>
    <row r="2965" spans="1:7" s="183" customFormat="1">
      <c r="A2965" s="194" t="s">
        <v>33</v>
      </c>
      <c r="B2965" s="195" t="s">
        <v>34</v>
      </c>
      <c r="C2965" s="194"/>
      <c r="D2965" s="196" t="s">
        <v>28</v>
      </c>
      <c r="E2965" s="199">
        <v>7.0000000000000001E-3</v>
      </c>
      <c r="F2965" s="200">
        <f>VLOOKUP(B2965,'HSD UPAH,BAHAN,ALAT'!$C$6:F2725,4,FALSE)</f>
        <v>10000</v>
      </c>
      <c r="G2965" s="201">
        <f t="shared" si="355"/>
        <v>70</v>
      </c>
    </row>
    <row r="2966" spans="1:7" s="183" customFormat="1">
      <c r="A2966" s="260" t="s">
        <v>421</v>
      </c>
      <c r="B2966" s="260"/>
      <c r="C2966" s="260"/>
      <c r="D2966" s="260"/>
      <c r="E2966" s="260"/>
      <c r="F2966" s="260"/>
      <c r="G2966" s="202">
        <f>SUM(G2957:G2965)</f>
        <v>292010</v>
      </c>
    </row>
    <row r="2967" spans="1:7" s="183" customFormat="1">
      <c r="A2967" s="194" t="s">
        <v>36</v>
      </c>
      <c r="B2967" s="195" t="s">
        <v>37</v>
      </c>
      <c r="C2967" s="194"/>
      <c r="D2967" s="196"/>
      <c r="E2967" s="199"/>
      <c r="F2967" s="217"/>
      <c r="G2967" s="217"/>
    </row>
    <row r="2968" spans="1:7">
      <c r="A2968" s="8">
        <v>1</v>
      </c>
      <c r="B2968" s="1" t="s">
        <v>71</v>
      </c>
      <c r="C2968" s="8"/>
      <c r="D2968" s="9" t="s">
        <v>72</v>
      </c>
      <c r="E2968" s="10" t="s">
        <v>73</v>
      </c>
      <c r="F2968" s="83">
        <f>VLOOKUP(B2968,'HSD UPAH,BAHAN,ALAT'!$C$6:F2522,4,FALSE)</f>
        <v>10000</v>
      </c>
      <c r="G2968" s="84">
        <f t="shared" ref="G2968" si="356">E2968*F2968</f>
        <v>2800.0000000000005</v>
      </c>
    </row>
    <row r="2969" spans="1:7" s="183" customFormat="1">
      <c r="A2969" s="258" t="s">
        <v>419</v>
      </c>
      <c r="B2969" s="258"/>
      <c r="C2969" s="258"/>
      <c r="D2969" s="258"/>
      <c r="E2969" s="258"/>
      <c r="F2969" s="258"/>
      <c r="G2969" s="207">
        <f>SUM(G2967:G2968)</f>
        <v>2800.0000000000005</v>
      </c>
    </row>
    <row r="2970" spans="1:7" s="183" customFormat="1">
      <c r="A2970" s="208" t="s">
        <v>38</v>
      </c>
      <c r="B2970" s="259" t="s">
        <v>39</v>
      </c>
      <c r="C2970" s="259"/>
      <c r="D2970" s="259"/>
      <c r="E2970" s="259"/>
      <c r="F2970" s="259"/>
      <c r="G2970" s="207">
        <f>SUM(G2952:G2969)/2</f>
        <v>301880</v>
      </c>
    </row>
    <row r="2971" spans="1:7" s="183" customFormat="1">
      <c r="A2971" s="208" t="s">
        <v>40</v>
      </c>
      <c r="B2971" s="259" t="s">
        <v>180</v>
      </c>
      <c r="C2971" s="259"/>
      <c r="D2971" s="259"/>
      <c r="E2971" s="259"/>
      <c r="F2971" s="209">
        <v>0.1</v>
      </c>
      <c r="G2971" s="207">
        <f>G2970*F2971</f>
        <v>30188</v>
      </c>
    </row>
    <row r="2972" spans="1:7" s="183" customFormat="1">
      <c r="A2972" s="208" t="s">
        <v>41</v>
      </c>
      <c r="B2972" s="259" t="s">
        <v>42</v>
      </c>
      <c r="C2972" s="259"/>
      <c r="D2972" s="259"/>
      <c r="E2972" s="259"/>
      <c r="F2972" s="259"/>
      <c r="G2972" s="207">
        <f>G2970+G2971</f>
        <v>332068</v>
      </c>
    </row>
    <row r="2973" spans="1:7" s="183" customFormat="1">
      <c r="A2973" s="210"/>
      <c r="B2973" s="211"/>
      <c r="C2973" s="211"/>
      <c r="D2973" s="211"/>
      <c r="E2973" s="211"/>
      <c r="F2973" s="211"/>
      <c r="G2973" s="212"/>
    </row>
    <row r="2974" spans="1:7" s="183" customFormat="1">
      <c r="A2974" s="213" t="s">
        <v>794</v>
      </c>
      <c r="B2974" s="211"/>
      <c r="C2974" s="211"/>
      <c r="D2974" s="211"/>
      <c r="E2974" s="211"/>
      <c r="F2974" s="211"/>
      <c r="G2974" s="212"/>
    </row>
    <row r="2975" spans="1:7" s="183" customFormat="1" ht="30">
      <c r="A2975" s="193" t="s">
        <v>0</v>
      </c>
      <c r="B2975" s="193" t="s">
        <v>1</v>
      </c>
      <c r="C2975" s="193" t="s">
        <v>207</v>
      </c>
      <c r="D2975" s="193" t="s">
        <v>3</v>
      </c>
      <c r="E2975" s="193" t="s">
        <v>2</v>
      </c>
      <c r="F2975" s="193" t="s">
        <v>417</v>
      </c>
      <c r="G2975" s="193" t="s">
        <v>418</v>
      </c>
    </row>
    <row r="2976" spans="1:7" s="183" customFormat="1">
      <c r="A2976" s="194" t="s">
        <v>4</v>
      </c>
      <c r="B2976" s="195" t="s">
        <v>5</v>
      </c>
      <c r="C2976" s="194"/>
      <c r="D2976" s="196"/>
      <c r="E2976" s="199"/>
      <c r="F2976" s="217"/>
      <c r="G2976" s="217"/>
    </row>
    <row r="2977" spans="1:7" s="183" customFormat="1">
      <c r="A2977" s="194">
        <v>1</v>
      </c>
      <c r="B2977" s="195" t="s">
        <v>48</v>
      </c>
      <c r="C2977" s="194" t="s">
        <v>49</v>
      </c>
      <c r="D2977" s="196" t="s">
        <v>8</v>
      </c>
      <c r="E2977" s="199">
        <v>0.04</v>
      </c>
      <c r="F2977" s="200">
        <f>VLOOKUP(B2977,'HSD UPAH,BAHAN,ALAT'!$C$6:F2735,4,FALSE)</f>
        <v>100000</v>
      </c>
      <c r="G2977" s="201">
        <f t="shared" ref="G2977:G2980" si="357">E2977*F2977</f>
        <v>4000</v>
      </c>
    </row>
    <row r="2978" spans="1:7" s="183" customFormat="1">
      <c r="A2978" s="194">
        <v>2</v>
      </c>
      <c r="B2978" s="195" t="s">
        <v>6</v>
      </c>
      <c r="C2978" s="194" t="s">
        <v>7</v>
      </c>
      <c r="D2978" s="196" t="s">
        <v>8</v>
      </c>
      <c r="E2978" s="199">
        <v>0.04</v>
      </c>
      <c r="F2978" s="200">
        <f>VLOOKUP(B2978,'HSD UPAH,BAHAN,ALAT'!$C$6:F2737,4,FALSE)</f>
        <v>100000</v>
      </c>
      <c r="G2978" s="201">
        <f t="shared" si="357"/>
        <v>4000</v>
      </c>
    </row>
    <row r="2979" spans="1:7" s="183" customFormat="1">
      <c r="A2979" s="194">
        <v>3</v>
      </c>
      <c r="B2979" s="195" t="s">
        <v>10</v>
      </c>
      <c r="C2979" s="194" t="s">
        <v>11</v>
      </c>
      <c r="D2979" s="196" t="s">
        <v>8</v>
      </c>
      <c r="E2979" s="199">
        <v>0.02</v>
      </c>
      <c r="F2979" s="200">
        <f>VLOOKUP(B2979,'HSD UPAH,BAHAN,ALAT'!$C$6:F2738,4,FALSE)</f>
        <v>120000</v>
      </c>
      <c r="G2979" s="201">
        <f t="shared" si="357"/>
        <v>2400</v>
      </c>
    </row>
    <row r="2980" spans="1:7" s="183" customFormat="1">
      <c r="A2980" s="194">
        <v>4</v>
      </c>
      <c r="B2980" s="195" t="s">
        <v>13</v>
      </c>
      <c r="C2980" s="194" t="s">
        <v>14</v>
      </c>
      <c r="D2980" s="196" t="s">
        <v>8</v>
      </c>
      <c r="E2980" s="199">
        <v>6.7000000000000002E-3</v>
      </c>
      <c r="F2980" s="200">
        <f>VLOOKUP(B2980,'HSD UPAH,BAHAN,ALAT'!$C$6:F2739,4,FALSE)</f>
        <v>100000</v>
      </c>
      <c r="G2980" s="201">
        <f t="shared" si="357"/>
        <v>670</v>
      </c>
    </row>
    <row r="2981" spans="1:7" s="183" customFormat="1">
      <c r="A2981" s="260" t="s">
        <v>420</v>
      </c>
      <c r="B2981" s="260"/>
      <c r="C2981" s="260"/>
      <c r="D2981" s="260"/>
      <c r="E2981" s="260"/>
      <c r="F2981" s="260"/>
      <c r="G2981" s="202">
        <f>SUM(G2978:G2980)</f>
        <v>7070</v>
      </c>
    </row>
    <row r="2982" spans="1:7" s="183" customFormat="1">
      <c r="A2982" s="194" t="s">
        <v>16</v>
      </c>
      <c r="B2982" s="195" t="s">
        <v>17</v>
      </c>
      <c r="C2982" s="194"/>
      <c r="D2982" s="196"/>
      <c r="E2982" s="199"/>
      <c r="F2982" s="217"/>
      <c r="G2982" s="217"/>
    </row>
    <row r="2983" spans="1:7" s="183" customFormat="1" ht="30">
      <c r="A2983" s="203" t="s">
        <v>208</v>
      </c>
      <c r="B2983" s="204" t="s">
        <v>795</v>
      </c>
      <c r="C2983" s="203"/>
      <c r="D2983" s="205" t="s">
        <v>86</v>
      </c>
      <c r="E2983" s="206" t="s">
        <v>87</v>
      </c>
      <c r="F2983" s="200">
        <f>VLOOKUP(B2983,'HSD UPAH,BAHAN,ALAT'!$C$6:F2742,4,FALSE)</f>
        <v>10000</v>
      </c>
      <c r="G2983" s="201">
        <f t="shared" ref="G2983:G2991" si="358">E2983*F2983</f>
        <v>10500</v>
      </c>
    </row>
    <row r="2984" spans="1:7" s="183" customFormat="1">
      <c r="A2984" s="194">
        <v>2</v>
      </c>
      <c r="B2984" s="195" t="s">
        <v>18</v>
      </c>
      <c r="C2984" s="194"/>
      <c r="D2984" s="196" t="s">
        <v>19</v>
      </c>
      <c r="E2984" s="199">
        <v>0.02</v>
      </c>
      <c r="F2984" s="200">
        <f>VLOOKUP(B2984,'HSD UPAH,BAHAN,ALAT'!$C$6:F2743,4,FALSE)</f>
        <v>10000</v>
      </c>
      <c r="G2984" s="201">
        <f t="shared" si="358"/>
        <v>200</v>
      </c>
    </row>
    <row r="2985" spans="1:7" s="183" customFormat="1">
      <c r="A2985" s="194">
        <v>3</v>
      </c>
      <c r="B2985" s="195" t="s">
        <v>21</v>
      </c>
      <c r="C2985" s="194"/>
      <c r="D2985" s="196"/>
      <c r="E2985" s="199"/>
      <c r="F2985" s="200"/>
      <c r="G2985" s="201">
        <f t="shared" si="358"/>
        <v>0</v>
      </c>
    </row>
    <row r="2986" spans="1:7" s="183" customFormat="1">
      <c r="A2986" s="194" t="s">
        <v>22</v>
      </c>
      <c r="B2986" s="195" t="s">
        <v>54</v>
      </c>
      <c r="C2986" s="194"/>
      <c r="D2986" s="196" t="s">
        <v>24</v>
      </c>
      <c r="E2986" s="199">
        <v>18</v>
      </c>
      <c r="F2986" s="200">
        <f>VLOOKUP(B2986,'HSD UPAH,BAHAN,ALAT'!$C$6:F2745,4,FALSE)</f>
        <v>10000</v>
      </c>
      <c r="G2986" s="201">
        <f t="shared" si="358"/>
        <v>180000</v>
      </c>
    </row>
    <row r="2987" spans="1:7" s="183" customFormat="1">
      <c r="A2987" s="194" t="s">
        <v>30</v>
      </c>
      <c r="B2987" s="195" t="s">
        <v>56</v>
      </c>
      <c r="C2987" s="194"/>
      <c r="D2987" s="196" t="s">
        <v>24</v>
      </c>
      <c r="E2987" s="199" t="s">
        <v>57</v>
      </c>
      <c r="F2987" s="200">
        <f>VLOOKUP(B2987,'HSD UPAH,BAHAN,ALAT'!$C$6:F2746,4,FALSE)</f>
        <v>10000</v>
      </c>
      <c r="G2987" s="201">
        <f t="shared" si="358"/>
        <v>100000</v>
      </c>
    </row>
    <row r="2988" spans="1:7" s="183" customFormat="1">
      <c r="A2988" s="194">
        <v>4</v>
      </c>
      <c r="B2988" s="195" t="s">
        <v>26</v>
      </c>
      <c r="C2988" s="194"/>
      <c r="D2988" s="196"/>
      <c r="E2988" s="199"/>
      <c r="F2988" s="200"/>
      <c r="G2988" s="201">
        <f t="shared" si="358"/>
        <v>0</v>
      </c>
    </row>
    <row r="2989" spans="1:7" s="183" customFormat="1">
      <c r="A2989" s="194" t="s">
        <v>22</v>
      </c>
      <c r="B2989" s="195" t="s">
        <v>27</v>
      </c>
      <c r="C2989" s="194"/>
      <c r="D2989" s="196" t="s">
        <v>28</v>
      </c>
      <c r="E2989" s="199">
        <v>9.8000000000000004E-2</v>
      </c>
      <c r="F2989" s="200">
        <f>VLOOKUP(B2989,'HSD UPAH,BAHAN,ALAT'!$C$6:F2748,4,FALSE)</f>
        <v>10000</v>
      </c>
      <c r="G2989" s="201">
        <f t="shared" si="358"/>
        <v>980</v>
      </c>
    </row>
    <row r="2990" spans="1:7" s="183" customFormat="1">
      <c r="A2990" s="194" t="s">
        <v>30</v>
      </c>
      <c r="B2990" s="195" t="s">
        <v>31</v>
      </c>
      <c r="C2990" s="194"/>
      <c r="D2990" s="196" t="s">
        <v>28</v>
      </c>
      <c r="E2990" s="199">
        <v>2.5999999999999999E-2</v>
      </c>
      <c r="F2990" s="200">
        <f>VLOOKUP(B2990,'HSD UPAH,BAHAN,ALAT'!$C$6:F2749,4,FALSE)</f>
        <v>10000</v>
      </c>
      <c r="G2990" s="201">
        <f t="shared" si="358"/>
        <v>260</v>
      </c>
    </row>
    <row r="2991" spans="1:7" s="183" customFormat="1">
      <c r="A2991" s="194" t="s">
        <v>33</v>
      </c>
      <c r="B2991" s="195" t="s">
        <v>34</v>
      </c>
      <c r="C2991" s="194"/>
      <c r="D2991" s="196" t="s">
        <v>28</v>
      </c>
      <c r="E2991" s="199">
        <v>7.0000000000000001E-3</v>
      </c>
      <c r="F2991" s="200">
        <f>VLOOKUP(B2991,'HSD UPAH,BAHAN,ALAT'!$C$6:F2750,4,FALSE)</f>
        <v>10000</v>
      </c>
      <c r="G2991" s="201">
        <f t="shared" si="358"/>
        <v>70</v>
      </c>
    </row>
    <row r="2992" spans="1:7" s="183" customFormat="1">
      <c r="A2992" s="260" t="s">
        <v>421</v>
      </c>
      <c r="B2992" s="260"/>
      <c r="C2992" s="260"/>
      <c r="D2992" s="260"/>
      <c r="E2992" s="260"/>
      <c r="F2992" s="260"/>
      <c r="G2992" s="202">
        <f>SUM(G2983:G2991)</f>
        <v>292010</v>
      </c>
    </row>
    <row r="2993" spans="1:7" s="183" customFormat="1">
      <c r="A2993" s="194" t="s">
        <v>36</v>
      </c>
      <c r="B2993" s="195" t="s">
        <v>37</v>
      </c>
      <c r="C2993" s="194"/>
      <c r="D2993" s="196"/>
      <c r="E2993" s="199"/>
      <c r="F2993" s="217"/>
      <c r="G2993" s="217"/>
    </row>
    <row r="2994" spans="1:7">
      <c r="A2994" s="8">
        <v>1</v>
      </c>
      <c r="B2994" s="1" t="s">
        <v>71</v>
      </c>
      <c r="C2994" s="8"/>
      <c r="D2994" s="9" t="s">
        <v>72</v>
      </c>
      <c r="E2994" s="10" t="s">
        <v>73</v>
      </c>
      <c r="F2994" s="83">
        <f>VLOOKUP(B2994,'HSD UPAH,BAHAN,ALAT'!$C$6:F2547,4,FALSE)</f>
        <v>10000</v>
      </c>
      <c r="G2994" s="84">
        <f t="shared" ref="G2994" si="359">E2994*F2994</f>
        <v>2800.0000000000005</v>
      </c>
    </row>
    <row r="2995" spans="1:7" s="183" customFormat="1">
      <c r="A2995" s="258" t="s">
        <v>419</v>
      </c>
      <c r="B2995" s="258"/>
      <c r="C2995" s="258"/>
      <c r="D2995" s="258"/>
      <c r="E2995" s="258"/>
      <c r="F2995" s="258"/>
      <c r="G2995" s="207">
        <f>SUM(G2993:G2994)</f>
        <v>2800.0000000000005</v>
      </c>
    </row>
    <row r="2996" spans="1:7" s="183" customFormat="1">
      <c r="A2996" s="208" t="s">
        <v>38</v>
      </c>
      <c r="B2996" s="259" t="s">
        <v>39</v>
      </c>
      <c r="C2996" s="259"/>
      <c r="D2996" s="259"/>
      <c r="E2996" s="259"/>
      <c r="F2996" s="259"/>
      <c r="G2996" s="207">
        <f>SUM(G2978:G2995)/2</f>
        <v>301880</v>
      </c>
    </row>
    <row r="2997" spans="1:7" s="183" customFormat="1">
      <c r="A2997" s="208" t="s">
        <v>40</v>
      </c>
      <c r="B2997" s="259" t="s">
        <v>180</v>
      </c>
      <c r="C2997" s="259"/>
      <c r="D2997" s="259"/>
      <c r="E2997" s="259"/>
      <c r="F2997" s="209">
        <v>0.1</v>
      </c>
      <c r="G2997" s="207">
        <f>G2996*F2997</f>
        <v>30188</v>
      </c>
    </row>
    <row r="2998" spans="1:7" s="183" customFormat="1">
      <c r="A2998" s="208" t="s">
        <v>41</v>
      </c>
      <c r="B2998" s="259" t="s">
        <v>42</v>
      </c>
      <c r="C2998" s="259"/>
      <c r="D2998" s="259"/>
      <c r="E2998" s="259"/>
      <c r="F2998" s="259"/>
      <c r="G2998" s="207">
        <f>G2996+G2997</f>
        <v>332068</v>
      </c>
    </row>
    <row r="2999" spans="1:7" s="183" customFormat="1">
      <c r="A2999" s="210"/>
      <c r="B2999" s="211"/>
      <c r="C2999" s="211"/>
      <c r="D2999" s="211"/>
      <c r="E2999" s="211"/>
      <c r="F2999" s="211"/>
      <c r="G2999" s="212"/>
    </row>
    <row r="3000" spans="1:7" s="183" customFormat="1">
      <c r="A3000" s="213" t="s">
        <v>796</v>
      </c>
      <c r="B3000" s="211"/>
      <c r="C3000" s="211"/>
      <c r="D3000" s="211"/>
      <c r="E3000" s="211"/>
      <c r="F3000" s="211"/>
      <c r="G3000" s="212"/>
    </row>
    <row r="3001" spans="1:7" s="183" customFormat="1" ht="30">
      <c r="A3001" s="193" t="s">
        <v>0</v>
      </c>
      <c r="B3001" s="193" t="s">
        <v>1</v>
      </c>
      <c r="C3001" s="193" t="s">
        <v>207</v>
      </c>
      <c r="D3001" s="193" t="s">
        <v>3</v>
      </c>
      <c r="E3001" s="193" t="s">
        <v>2</v>
      </c>
      <c r="F3001" s="193" t="s">
        <v>417</v>
      </c>
      <c r="G3001" s="193" t="s">
        <v>418</v>
      </c>
    </row>
    <row r="3002" spans="1:7" s="183" customFormat="1">
      <c r="A3002" s="194" t="s">
        <v>4</v>
      </c>
      <c r="B3002" s="195" t="s">
        <v>5</v>
      </c>
      <c r="C3002" s="194"/>
      <c r="D3002" s="196"/>
      <c r="E3002" s="199"/>
      <c r="F3002" s="217"/>
      <c r="G3002" s="217"/>
    </row>
    <row r="3003" spans="1:7" s="183" customFormat="1">
      <c r="A3003" s="194">
        <v>1</v>
      </c>
      <c r="B3003" s="195" t="s">
        <v>48</v>
      </c>
      <c r="C3003" s="194" t="s">
        <v>49</v>
      </c>
      <c r="D3003" s="196" t="s">
        <v>8</v>
      </c>
      <c r="E3003" s="199">
        <v>0.04</v>
      </c>
      <c r="F3003" s="200">
        <f>VLOOKUP(B3003,'HSD UPAH,BAHAN,ALAT'!$C$6:F2760,4,FALSE)</f>
        <v>100000</v>
      </c>
      <c r="G3003" s="201">
        <f t="shared" ref="G3003:G3006" si="360">E3003*F3003</f>
        <v>4000</v>
      </c>
    </row>
    <row r="3004" spans="1:7" s="183" customFormat="1">
      <c r="A3004" s="194">
        <v>2</v>
      </c>
      <c r="B3004" s="195" t="s">
        <v>6</v>
      </c>
      <c r="C3004" s="194" t="s">
        <v>7</v>
      </c>
      <c r="D3004" s="196" t="s">
        <v>8</v>
      </c>
      <c r="E3004" s="199">
        <v>0.04</v>
      </c>
      <c r="F3004" s="200">
        <f>VLOOKUP(B3004,'HSD UPAH,BAHAN,ALAT'!$C$6:F2762,4,FALSE)</f>
        <v>100000</v>
      </c>
      <c r="G3004" s="201">
        <f t="shared" si="360"/>
        <v>4000</v>
      </c>
    </row>
    <row r="3005" spans="1:7" s="183" customFormat="1">
      <c r="A3005" s="194">
        <v>3</v>
      </c>
      <c r="B3005" s="195" t="s">
        <v>10</v>
      </c>
      <c r="C3005" s="194" t="s">
        <v>11</v>
      </c>
      <c r="D3005" s="196" t="s">
        <v>8</v>
      </c>
      <c r="E3005" s="199">
        <v>0.02</v>
      </c>
      <c r="F3005" s="200">
        <f>VLOOKUP(B3005,'HSD UPAH,BAHAN,ALAT'!$C$6:F2763,4,FALSE)</f>
        <v>120000</v>
      </c>
      <c r="G3005" s="201">
        <f t="shared" si="360"/>
        <v>2400</v>
      </c>
    </row>
    <row r="3006" spans="1:7" s="183" customFormat="1">
      <c r="A3006" s="194">
        <v>4</v>
      </c>
      <c r="B3006" s="195" t="s">
        <v>13</v>
      </c>
      <c r="C3006" s="194" t="s">
        <v>14</v>
      </c>
      <c r="D3006" s="196" t="s">
        <v>8</v>
      </c>
      <c r="E3006" s="199">
        <v>6.7000000000000002E-3</v>
      </c>
      <c r="F3006" s="200">
        <f>VLOOKUP(B3006,'HSD UPAH,BAHAN,ALAT'!$C$6:F2764,4,FALSE)</f>
        <v>100000</v>
      </c>
      <c r="G3006" s="201">
        <f t="shared" si="360"/>
        <v>670</v>
      </c>
    </row>
    <row r="3007" spans="1:7" s="183" customFormat="1">
      <c r="A3007" s="260" t="s">
        <v>420</v>
      </c>
      <c r="B3007" s="260"/>
      <c r="C3007" s="260"/>
      <c r="D3007" s="260"/>
      <c r="E3007" s="260"/>
      <c r="F3007" s="260"/>
      <c r="G3007" s="202">
        <f>SUM(G3004:G3006)</f>
        <v>7070</v>
      </c>
    </row>
    <row r="3008" spans="1:7" s="183" customFormat="1">
      <c r="A3008" s="194" t="s">
        <v>16</v>
      </c>
      <c r="B3008" s="195" t="s">
        <v>17</v>
      </c>
      <c r="C3008" s="194"/>
      <c r="D3008" s="196"/>
      <c r="E3008" s="199"/>
      <c r="F3008" s="217"/>
      <c r="G3008" s="217"/>
    </row>
    <row r="3009" spans="1:7" s="183" customFormat="1" ht="30">
      <c r="A3009" s="203" t="s">
        <v>208</v>
      </c>
      <c r="B3009" s="204" t="s">
        <v>867</v>
      </c>
      <c r="C3009" s="203"/>
      <c r="D3009" s="205" t="s">
        <v>86</v>
      </c>
      <c r="E3009" s="206" t="s">
        <v>87</v>
      </c>
      <c r="F3009" s="200">
        <f>VLOOKUP(B3009,'HSD UPAH,BAHAN,ALAT'!$C$6:F2767,4,FALSE)</f>
        <v>10000</v>
      </c>
      <c r="G3009" s="201">
        <f t="shared" ref="G3009:G3017" si="361">E3009*F3009</f>
        <v>10500</v>
      </c>
    </row>
    <row r="3010" spans="1:7" s="183" customFormat="1">
      <c r="A3010" s="194">
        <v>2</v>
      </c>
      <c r="B3010" s="195" t="s">
        <v>18</v>
      </c>
      <c r="C3010" s="194"/>
      <c r="D3010" s="196" t="s">
        <v>19</v>
      </c>
      <c r="E3010" s="199">
        <v>0.02</v>
      </c>
      <c r="F3010" s="200">
        <f>VLOOKUP(B3010,'HSD UPAH,BAHAN,ALAT'!$C$6:F2768,4,FALSE)</f>
        <v>10000</v>
      </c>
      <c r="G3010" s="201">
        <f t="shared" si="361"/>
        <v>200</v>
      </c>
    </row>
    <row r="3011" spans="1:7" s="183" customFormat="1">
      <c r="A3011" s="194">
        <v>3</v>
      </c>
      <c r="B3011" s="195" t="s">
        <v>21</v>
      </c>
      <c r="C3011" s="194"/>
      <c r="D3011" s="196"/>
      <c r="E3011" s="199"/>
      <c r="F3011" s="200"/>
      <c r="G3011" s="201">
        <f t="shared" si="361"/>
        <v>0</v>
      </c>
    </row>
    <row r="3012" spans="1:7" s="183" customFormat="1">
      <c r="A3012" s="194" t="s">
        <v>22</v>
      </c>
      <c r="B3012" s="195" t="s">
        <v>54</v>
      </c>
      <c r="C3012" s="194"/>
      <c r="D3012" s="196" t="s">
        <v>24</v>
      </c>
      <c r="E3012" s="199">
        <v>18</v>
      </c>
      <c r="F3012" s="200">
        <f>VLOOKUP(B3012,'HSD UPAH,BAHAN,ALAT'!$C$6:F2770,4,FALSE)</f>
        <v>10000</v>
      </c>
      <c r="G3012" s="201">
        <f t="shared" si="361"/>
        <v>180000</v>
      </c>
    </row>
    <row r="3013" spans="1:7" s="183" customFormat="1">
      <c r="A3013" s="194" t="s">
        <v>30</v>
      </c>
      <c r="B3013" s="195" t="s">
        <v>56</v>
      </c>
      <c r="C3013" s="194"/>
      <c r="D3013" s="196" t="s">
        <v>24</v>
      </c>
      <c r="E3013" s="199" t="s">
        <v>57</v>
      </c>
      <c r="F3013" s="200">
        <f>VLOOKUP(B3013,'HSD UPAH,BAHAN,ALAT'!$C$6:F2771,4,FALSE)</f>
        <v>10000</v>
      </c>
      <c r="G3013" s="201">
        <f t="shared" si="361"/>
        <v>100000</v>
      </c>
    </row>
    <row r="3014" spans="1:7" s="183" customFormat="1">
      <c r="A3014" s="194">
        <v>4</v>
      </c>
      <c r="B3014" s="195" t="s">
        <v>26</v>
      </c>
      <c r="C3014" s="194"/>
      <c r="D3014" s="196"/>
      <c r="E3014" s="199"/>
      <c r="F3014" s="200"/>
      <c r="G3014" s="201">
        <f t="shared" si="361"/>
        <v>0</v>
      </c>
    </row>
    <row r="3015" spans="1:7" s="183" customFormat="1">
      <c r="A3015" s="194" t="s">
        <v>22</v>
      </c>
      <c r="B3015" s="195" t="s">
        <v>27</v>
      </c>
      <c r="C3015" s="194"/>
      <c r="D3015" s="196" t="s">
        <v>28</v>
      </c>
      <c r="E3015" s="199">
        <v>9.8000000000000004E-2</v>
      </c>
      <c r="F3015" s="200">
        <f>VLOOKUP(B3015,'HSD UPAH,BAHAN,ALAT'!$C$6:F2773,4,FALSE)</f>
        <v>10000</v>
      </c>
      <c r="G3015" s="201">
        <f t="shared" si="361"/>
        <v>980</v>
      </c>
    </row>
    <row r="3016" spans="1:7" s="183" customFormat="1">
      <c r="A3016" s="194" t="s">
        <v>30</v>
      </c>
      <c r="B3016" s="195" t="s">
        <v>31</v>
      </c>
      <c r="C3016" s="194"/>
      <c r="D3016" s="196" t="s">
        <v>28</v>
      </c>
      <c r="E3016" s="199">
        <v>2.5999999999999999E-2</v>
      </c>
      <c r="F3016" s="200">
        <f>VLOOKUP(B3016,'HSD UPAH,BAHAN,ALAT'!$C$6:F2774,4,FALSE)</f>
        <v>10000</v>
      </c>
      <c r="G3016" s="201">
        <f t="shared" si="361"/>
        <v>260</v>
      </c>
    </row>
    <row r="3017" spans="1:7" s="183" customFormat="1">
      <c r="A3017" s="194" t="s">
        <v>33</v>
      </c>
      <c r="B3017" s="195" t="s">
        <v>34</v>
      </c>
      <c r="C3017" s="194"/>
      <c r="D3017" s="196" t="s">
        <v>28</v>
      </c>
      <c r="E3017" s="199">
        <v>7.0000000000000001E-3</v>
      </c>
      <c r="F3017" s="200">
        <f>VLOOKUP(B3017,'HSD UPAH,BAHAN,ALAT'!$C$6:F2775,4,FALSE)</f>
        <v>10000</v>
      </c>
      <c r="G3017" s="201">
        <f t="shared" si="361"/>
        <v>70</v>
      </c>
    </row>
    <row r="3018" spans="1:7" s="183" customFormat="1">
      <c r="A3018" s="260" t="s">
        <v>421</v>
      </c>
      <c r="B3018" s="260"/>
      <c r="C3018" s="260"/>
      <c r="D3018" s="260"/>
      <c r="E3018" s="260"/>
      <c r="F3018" s="260"/>
      <c r="G3018" s="202">
        <f>SUM(G3009:G3017)</f>
        <v>292010</v>
      </c>
    </row>
    <row r="3019" spans="1:7" s="183" customFormat="1">
      <c r="A3019" s="194" t="s">
        <v>36</v>
      </c>
      <c r="B3019" s="195" t="s">
        <v>37</v>
      </c>
      <c r="C3019" s="194"/>
      <c r="D3019" s="196"/>
      <c r="E3019" s="199"/>
      <c r="F3019" s="217"/>
      <c r="G3019" s="217"/>
    </row>
    <row r="3020" spans="1:7">
      <c r="A3020" s="8">
        <v>1</v>
      </c>
      <c r="B3020" s="1" t="s">
        <v>71</v>
      </c>
      <c r="C3020" s="8"/>
      <c r="D3020" s="9" t="s">
        <v>72</v>
      </c>
      <c r="E3020" s="10" t="s">
        <v>73</v>
      </c>
      <c r="F3020" s="83">
        <f>VLOOKUP(B3020,'HSD UPAH,BAHAN,ALAT'!$C$6:F2572,4,FALSE)</f>
        <v>10000</v>
      </c>
      <c r="G3020" s="84">
        <f t="shared" ref="G3020" si="362">E3020*F3020</f>
        <v>2800.0000000000005</v>
      </c>
    </row>
    <row r="3021" spans="1:7" s="183" customFormat="1">
      <c r="A3021" s="258" t="s">
        <v>419</v>
      </c>
      <c r="B3021" s="258"/>
      <c r="C3021" s="258"/>
      <c r="D3021" s="258"/>
      <c r="E3021" s="258"/>
      <c r="F3021" s="258"/>
      <c r="G3021" s="207">
        <f>SUM(G3019:G3020)</f>
        <v>2800.0000000000005</v>
      </c>
    </row>
    <row r="3022" spans="1:7" s="183" customFormat="1">
      <c r="A3022" s="208" t="s">
        <v>38</v>
      </c>
      <c r="B3022" s="259" t="s">
        <v>39</v>
      </c>
      <c r="C3022" s="259"/>
      <c r="D3022" s="259"/>
      <c r="E3022" s="259"/>
      <c r="F3022" s="259"/>
      <c r="G3022" s="207">
        <f>SUM(G3004:G3021)/2</f>
        <v>301880</v>
      </c>
    </row>
    <row r="3023" spans="1:7" s="183" customFormat="1">
      <c r="A3023" s="208" t="s">
        <v>40</v>
      </c>
      <c r="B3023" s="259" t="s">
        <v>180</v>
      </c>
      <c r="C3023" s="259"/>
      <c r="D3023" s="259"/>
      <c r="E3023" s="259"/>
      <c r="F3023" s="209">
        <v>0.1</v>
      </c>
      <c r="G3023" s="207">
        <f>G3022*F3023</f>
        <v>30188</v>
      </c>
    </row>
    <row r="3024" spans="1:7" s="183" customFormat="1">
      <c r="A3024" s="208" t="s">
        <v>41</v>
      </c>
      <c r="B3024" s="259" t="s">
        <v>42</v>
      </c>
      <c r="C3024" s="259"/>
      <c r="D3024" s="259"/>
      <c r="E3024" s="259"/>
      <c r="F3024" s="259"/>
      <c r="G3024" s="207">
        <f>G3022+G3023</f>
        <v>332068</v>
      </c>
    </row>
    <row r="3025" spans="1:7" s="183" customFormat="1">
      <c r="A3025" s="210"/>
      <c r="B3025" s="211"/>
      <c r="C3025" s="211"/>
      <c r="D3025" s="211"/>
      <c r="E3025" s="211"/>
      <c r="F3025" s="211"/>
      <c r="G3025" s="212"/>
    </row>
    <row r="3026" spans="1:7" s="183" customFormat="1">
      <c r="A3026" s="213" t="s">
        <v>797</v>
      </c>
      <c r="B3026" s="211"/>
      <c r="C3026" s="211"/>
      <c r="D3026" s="211"/>
      <c r="E3026" s="211"/>
      <c r="F3026" s="211"/>
      <c r="G3026" s="212"/>
    </row>
    <row r="3027" spans="1:7" s="183" customFormat="1" ht="30">
      <c r="A3027" s="193" t="s">
        <v>0</v>
      </c>
      <c r="B3027" s="193" t="s">
        <v>1</v>
      </c>
      <c r="C3027" s="193" t="s">
        <v>207</v>
      </c>
      <c r="D3027" s="193" t="s">
        <v>3</v>
      </c>
      <c r="E3027" s="193" t="s">
        <v>2</v>
      </c>
      <c r="F3027" s="193" t="s">
        <v>417</v>
      </c>
      <c r="G3027" s="193" t="s">
        <v>418</v>
      </c>
    </row>
    <row r="3028" spans="1:7" s="183" customFormat="1">
      <c r="A3028" s="194" t="s">
        <v>4</v>
      </c>
      <c r="B3028" s="195" t="s">
        <v>5</v>
      </c>
      <c r="C3028" s="194"/>
      <c r="D3028" s="196"/>
      <c r="E3028" s="199"/>
      <c r="F3028" s="217"/>
      <c r="G3028" s="217"/>
    </row>
    <row r="3029" spans="1:7" s="183" customFormat="1">
      <c r="A3029" s="194">
        <v>1</v>
      </c>
      <c r="B3029" s="195" t="s">
        <v>48</v>
      </c>
      <c r="C3029" s="194" t="s">
        <v>49</v>
      </c>
      <c r="D3029" s="196" t="s">
        <v>8</v>
      </c>
      <c r="E3029" s="199">
        <v>0.04</v>
      </c>
      <c r="F3029" s="200">
        <f>VLOOKUP(B3029,'HSD UPAH,BAHAN,ALAT'!$C$6:F2785,4,FALSE)</f>
        <v>100000</v>
      </c>
      <c r="G3029" s="201">
        <f t="shared" ref="G3029:G3032" si="363">E3029*F3029</f>
        <v>4000</v>
      </c>
    </row>
    <row r="3030" spans="1:7" s="183" customFormat="1">
      <c r="A3030" s="194">
        <v>2</v>
      </c>
      <c r="B3030" s="195" t="s">
        <v>6</v>
      </c>
      <c r="C3030" s="194" t="s">
        <v>7</v>
      </c>
      <c r="D3030" s="196" t="s">
        <v>8</v>
      </c>
      <c r="E3030" s="199">
        <v>0.04</v>
      </c>
      <c r="F3030" s="200">
        <f>VLOOKUP(B3030,'HSD UPAH,BAHAN,ALAT'!$C$6:F2787,4,FALSE)</f>
        <v>100000</v>
      </c>
      <c r="G3030" s="201">
        <f t="shared" si="363"/>
        <v>4000</v>
      </c>
    </row>
    <row r="3031" spans="1:7" s="183" customFormat="1">
      <c r="A3031" s="194">
        <v>3</v>
      </c>
      <c r="B3031" s="195" t="s">
        <v>10</v>
      </c>
      <c r="C3031" s="194" t="s">
        <v>11</v>
      </c>
      <c r="D3031" s="196" t="s">
        <v>8</v>
      </c>
      <c r="E3031" s="199">
        <v>0.02</v>
      </c>
      <c r="F3031" s="200">
        <f>VLOOKUP(B3031,'HSD UPAH,BAHAN,ALAT'!$C$6:F2788,4,FALSE)</f>
        <v>120000</v>
      </c>
      <c r="G3031" s="201">
        <f t="shared" si="363"/>
        <v>2400</v>
      </c>
    </row>
    <row r="3032" spans="1:7" s="183" customFormat="1">
      <c r="A3032" s="194">
        <v>4</v>
      </c>
      <c r="B3032" s="195" t="s">
        <v>13</v>
      </c>
      <c r="C3032" s="194" t="s">
        <v>14</v>
      </c>
      <c r="D3032" s="196" t="s">
        <v>8</v>
      </c>
      <c r="E3032" s="199">
        <v>6.7000000000000002E-3</v>
      </c>
      <c r="F3032" s="200">
        <f>VLOOKUP(B3032,'HSD UPAH,BAHAN,ALAT'!$C$6:F2789,4,FALSE)</f>
        <v>100000</v>
      </c>
      <c r="G3032" s="201">
        <f t="shared" si="363"/>
        <v>670</v>
      </c>
    </row>
    <row r="3033" spans="1:7" s="183" customFormat="1">
      <c r="A3033" s="260" t="s">
        <v>420</v>
      </c>
      <c r="B3033" s="260"/>
      <c r="C3033" s="260"/>
      <c r="D3033" s="260"/>
      <c r="E3033" s="260"/>
      <c r="F3033" s="260"/>
      <c r="G3033" s="202">
        <f>SUM(G3030:G3032)</f>
        <v>7070</v>
      </c>
    </row>
    <row r="3034" spans="1:7" s="183" customFormat="1">
      <c r="A3034" s="194" t="s">
        <v>16</v>
      </c>
      <c r="B3034" s="195" t="s">
        <v>17</v>
      </c>
      <c r="C3034" s="194"/>
      <c r="D3034" s="196"/>
      <c r="E3034" s="199"/>
      <c r="F3034" s="217"/>
      <c r="G3034" s="217"/>
    </row>
    <row r="3035" spans="1:7" s="183" customFormat="1" ht="30">
      <c r="A3035" s="203" t="s">
        <v>208</v>
      </c>
      <c r="B3035" s="204" t="s">
        <v>798</v>
      </c>
      <c r="C3035" s="203"/>
      <c r="D3035" s="205" t="s">
        <v>86</v>
      </c>
      <c r="E3035" s="206" t="s">
        <v>87</v>
      </c>
      <c r="F3035" s="200">
        <f>VLOOKUP(B3035,'HSD UPAH,BAHAN,ALAT'!$C$6:F2792,4,FALSE)</f>
        <v>10000</v>
      </c>
      <c r="G3035" s="201">
        <f t="shared" ref="G3035:G3043" si="364">E3035*F3035</f>
        <v>10500</v>
      </c>
    </row>
    <row r="3036" spans="1:7" s="183" customFormat="1">
      <c r="A3036" s="194">
        <v>2</v>
      </c>
      <c r="B3036" s="195" t="s">
        <v>18</v>
      </c>
      <c r="C3036" s="194"/>
      <c r="D3036" s="196" t="s">
        <v>19</v>
      </c>
      <c r="E3036" s="199">
        <v>0.02</v>
      </c>
      <c r="F3036" s="200">
        <f>VLOOKUP(B3036,'HSD UPAH,BAHAN,ALAT'!$C$6:F2793,4,FALSE)</f>
        <v>10000</v>
      </c>
      <c r="G3036" s="201">
        <f t="shared" si="364"/>
        <v>200</v>
      </c>
    </row>
    <row r="3037" spans="1:7" s="183" customFormat="1">
      <c r="A3037" s="194">
        <v>3</v>
      </c>
      <c r="B3037" s="195" t="s">
        <v>21</v>
      </c>
      <c r="C3037" s="194"/>
      <c r="D3037" s="196"/>
      <c r="E3037" s="199"/>
      <c r="F3037" s="200"/>
      <c r="G3037" s="201">
        <f t="shared" si="364"/>
        <v>0</v>
      </c>
    </row>
    <row r="3038" spans="1:7" s="183" customFormat="1">
      <c r="A3038" s="194" t="s">
        <v>22</v>
      </c>
      <c r="B3038" s="195" t="s">
        <v>54</v>
      </c>
      <c r="C3038" s="194"/>
      <c r="D3038" s="196" t="s">
        <v>24</v>
      </c>
      <c r="E3038" s="199">
        <v>18</v>
      </c>
      <c r="F3038" s="200">
        <f>VLOOKUP(B3038,'HSD UPAH,BAHAN,ALAT'!$C$6:F2795,4,FALSE)</f>
        <v>10000</v>
      </c>
      <c r="G3038" s="201">
        <f t="shared" si="364"/>
        <v>180000</v>
      </c>
    </row>
    <row r="3039" spans="1:7" s="183" customFormat="1">
      <c r="A3039" s="194" t="s">
        <v>30</v>
      </c>
      <c r="B3039" s="195" t="s">
        <v>56</v>
      </c>
      <c r="C3039" s="194"/>
      <c r="D3039" s="196" t="s">
        <v>24</v>
      </c>
      <c r="E3039" s="199" t="s">
        <v>57</v>
      </c>
      <c r="F3039" s="200">
        <f>VLOOKUP(B3039,'HSD UPAH,BAHAN,ALAT'!$C$6:F2796,4,FALSE)</f>
        <v>10000</v>
      </c>
      <c r="G3039" s="201">
        <f t="shared" si="364"/>
        <v>100000</v>
      </c>
    </row>
    <row r="3040" spans="1:7" s="183" customFormat="1">
      <c r="A3040" s="194">
        <v>4</v>
      </c>
      <c r="B3040" s="195" t="s">
        <v>26</v>
      </c>
      <c r="C3040" s="194"/>
      <c r="D3040" s="196"/>
      <c r="E3040" s="199"/>
      <c r="F3040" s="200"/>
      <c r="G3040" s="201">
        <f t="shared" si="364"/>
        <v>0</v>
      </c>
    </row>
    <row r="3041" spans="1:7" s="183" customFormat="1">
      <c r="A3041" s="194" t="s">
        <v>22</v>
      </c>
      <c r="B3041" s="195" t="s">
        <v>27</v>
      </c>
      <c r="C3041" s="194"/>
      <c r="D3041" s="196" t="s">
        <v>28</v>
      </c>
      <c r="E3041" s="199">
        <v>9.8000000000000004E-2</v>
      </c>
      <c r="F3041" s="200">
        <f>VLOOKUP(B3041,'HSD UPAH,BAHAN,ALAT'!$C$6:F2798,4,FALSE)</f>
        <v>10000</v>
      </c>
      <c r="G3041" s="201">
        <f t="shared" si="364"/>
        <v>980</v>
      </c>
    </row>
    <row r="3042" spans="1:7" s="183" customFormat="1">
      <c r="A3042" s="194" t="s">
        <v>30</v>
      </c>
      <c r="B3042" s="195" t="s">
        <v>31</v>
      </c>
      <c r="C3042" s="194"/>
      <c r="D3042" s="196" t="s">
        <v>28</v>
      </c>
      <c r="E3042" s="199">
        <v>2.5999999999999999E-2</v>
      </c>
      <c r="F3042" s="200">
        <f>VLOOKUP(B3042,'HSD UPAH,BAHAN,ALAT'!$C$6:F2799,4,FALSE)</f>
        <v>10000</v>
      </c>
      <c r="G3042" s="201">
        <f t="shared" si="364"/>
        <v>260</v>
      </c>
    </row>
    <row r="3043" spans="1:7" s="183" customFormat="1">
      <c r="A3043" s="194" t="s">
        <v>33</v>
      </c>
      <c r="B3043" s="195" t="s">
        <v>34</v>
      </c>
      <c r="C3043" s="194"/>
      <c r="D3043" s="196" t="s">
        <v>28</v>
      </c>
      <c r="E3043" s="199">
        <v>7.0000000000000001E-3</v>
      </c>
      <c r="F3043" s="200">
        <f>VLOOKUP(B3043,'HSD UPAH,BAHAN,ALAT'!$C$6:F2800,4,FALSE)</f>
        <v>10000</v>
      </c>
      <c r="G3043" s="201">
        <f t="shared" si="364"/>
        <v>70</v>
      </c>
    </row>
    <row r="3044" spans="1:7" s="183" customFormat="1">
      <c r="A3044" s="260" t="s">
        <v>421</v>
      </c>
      <c r="B3044" s="260"/>
      <c r="C3044" s="260"/>
      <c r="D3044" s="260"/>
      <c r="E3044" s="260"/>
      <c r="F3044" s="260"/>
      <c r="G3044" s="202">
        <f>SUM(G3035:G3043)</f>
        <v>292010</v>
      </c>
    </row>
    <row r="3045" spans="1:7" s="183" customFormat="1">
      <c r="A3045" s="194" t="s">
        <v>36</v>
      </c>
      <c r="B3045" s="195" t="s">
        <v>37</v>
      </c>
      <c r="C3045" s="194"/>
      <c r="D3045" s="196"/>
      <c r="E3045" s="199"/>
      <c r="F3045" s="217"/>
      <c r="G3045" s="217"/>
    </row>
    <row r="3046" spans="1:7">
      <c r="A3046" s="8">
        <v>1</v>
      </c>
      <c r="B3046" s="1" t="s">
        <v>71</v>
      </c>
      <c r="C3046" s="8"/>
      <c r="D3046" s="9" t="s">
        <v>72</v>
      </c>
      <c r="E3046" s="10" t="s">
        <v>73</v>
      </c>
      <c r="F3046" s="83">
        <f>VLOOKUP(B3046,'HSD UPAH,BAHAN,ALAT'!$C$6:F2597,4,FALSE)</f>
        <v>10000</v>
      </c>
      <c r="G3046" s="84">
        <f t="shared" ref="G3046" si="365">E3046*F3046</f>
        <v>2800.0000000000005</v>
      </c>
    </row>
    <row r="3047" spans="1:7" s="183" customFormat="1">
      <c r="A3047" s="258" t="s">
        <v>419</v>
      </c>
      <c r="B3047" s="258"/>
      <c r="C3047" s="258"/>
      <c r="D3047" s="258"/>
      <c r="E3047" s="258"/>
      <c r="F3047" s="258"/>
      <c r="G3047" s="207">
        <f>SUM(G3045:G3046)</f>
        <v>2800.0000000000005</v>
      </c>
    </row>
    <row r="3048" spans="1:7" s="183" customFormat="1">
      <c r="A3048" s="208" t="s">
        <v>38</v>
      </c>
      <c r="B3048" s="259" t="s">
        <v>39</v>
      </c>
      <c r="C3048" s="259"/>
      <c r="D3048" s="259"/>
      <c r="E3048" s="259"/>
      <c r="F3048" s="259"/>
      <c r="G3048" s="207">
        <f>SUM(G3030:G3047)/2</f>
        <v>301880</v>
      </c>
    </row>
    <row r="3049" spans="1:7" s="183" customFormat="1">
      <c r="A3049" s="208" t="s">
        <v>40</v>
      </c>
      <c r="B3049" s="259" t="s">
        <v>180</v>
      </c>
      <c r="C3049" s="259"/>
      <c r="D3049" s="259"/>
      <c r="E3049" s="259"/>
      <c r="F3049" s="209">
        <v>0.1</v>
      </c>
      <c r="G3049" s="207">
        <f>G3048*F3049</f>
        <v>30188</v>
      </c>
    </row>
    <row r="3050" spans="1:7" s="183" customFormat="1">
      <c r="A3050" s="208" t="s">
        <v>41</v>
      </c>
      <c r="B3050" s="259" t="s">
        <v>42</v>
      </c>
      <c r="C3050" s="259"/>
      <c r="D3050" s="259"/>
      <c r="E3050" s="259"/>
      <c r="F3050" s="259"/>
      <c r="G3050" s="207">
        <f>G3048+G3049</f>
        <v>332068</v>
      </c>
    </row>
    <row r="3051" spans="1:7" s="183" customFormat="1">
      <c r="A3051" s="210"/>
      <c r="B3051" s="211"/>
      <c r="C3051" s="211"/>
      <c r="D3051" s="211"/>
      <c r="E3051" s="211"/>
      <c r="F3051" s="211"/>
      <c r="G3051" s="212"/>
    </row>
    <row r="3052" spans="1:7" s="183" customFormat="1">
      <c r="A3052" s="213" t="s">
        <v>799</v>
      </c>
      <c r="B3052" s="211"/>
      <c r="C3052" s="211"/>
      <c r="D3052" s="211"/>
      <c r="E3052" s="211"/>
      <c r="F3052" s="211"/>
      <c r="G3052" s="212"/>
    </row>
    <row r="3053" spans="1:7" s="183" customFormat="1" ht="30">
      <c r="A3053" s="193" t="s">
        <v>0</v>
      </c>
      <c r="B3053" s="193" t="s">
        <v>1</v>
      </c>
      <c r="C3053" s="193" t="s">
        <v>207</v>
      </c>
      <c r="D3053" s="193" t="s">
        <v>3</v>
      </c>
      <c r="E3053" s="193" t="s">
        <v>2</v>
      </c>
      <c r="F3053" s="193" t="s">
        <v>417</v>
      </c>
      <c r="G3053" s="193" t="s">
        <v>418</v>
      </c>
    </row>
    <row r="3054" spans="1:7" s="183" customFormat="1">
      <c r="A3054" s="194" t="s">
        <v>4</v>
      </c>
      <c r="B3054" s="195" t="s">
        <v>5</v>
      </c>
      <c r="C3054" s="194"/>
      <c r="D3054" s="196"/>
      <c r="E3054" s="199"/>
      <c r="F3054" s="217"/>
      <c r="G3054" s="217"/>
    </row>
    <row r="3055" spans="1:7" s="183" customFormat="1">
      <c r="A3055" s="194">
        <v>1</v>
      </c>
      <c r="B3055" s="195" t="s">
        <v>48</v>
      </c>
      <c r="C3055" s="194" t="s">
        <v>49</v>
      </c>
      <c r="D3055" s="196" t="s">
        <v>8</v>
      </c>
      <c r="E3055" s="199">
        <v>0.04</v>
      </c>
      <c r="F3055" s="200">
        <f>VLOOKUP(B3055,'HSD UPAH,BAHAN,ALAT'!$C$6:F2810,4,FALSE)</f>
        <v>100000</v>
      </c>
      <c r="G3055" s="201">
        <f t="shared" ref="G3055:G3058" si="366">E3055*F3055</f>
        <v>4000</v>
      </c>
    </row>
    <row r="3056" spans="1:7" s="183" customFormat="1">
      <c r="A3056" s="194">
        <v>2</v>
      </c>
      <c r="B3056" s="195" t="s">
        <v>6</v>
      </c>
      <c r="C3056" s="194" t="s">
        <v>7</v>
      </c>
      <c r="D3056" s="196" t="s">
        <v>8</v>
      </c>
      <c r="E3056" s="199">
        <v>0.04</v>
      </c>
      <c r="F3056" s="200">
        <f>VLOOKUP(B3056,'HSD UPAH,BAHAN,ALAT'!$C$6:F2812,4,FALSE)</f>
        <v>100000</v>
      </c>
      <c r="G3056" s="201">
        <f t="shared" si="366"/>
        <v>4000</v>
      </c>
    </row>
    <row r="3057" spans="1:7" s="183" customFormat="1">
      <c r="A3057" s="194">
        <v>3</v>
      </c>
      <c r="B3057" s="195" t="s">
        <v>10</v>
      </c>
      <c r="C3057" s="194" t="s">
        <v>11</v>
      </c>
      <c r="D3057" s="196" t="s">
        <v>8</v>
      </c>
      <c r="E3057" s="199">
        <v>0.02</v>
      </c>
      <c r="F3057" s="200">
        <f>VLOOKUP(B3057,'HSD UPAH,BAHAN,ALAT'!$C$6:F2813,4,FALSE)</f>
        <v>120000</v>
      </c>
      <c r="G3057" s="201">
        <f t="shared" si="366"/>
        <v>2400</v>
      </c>
    </row>
    <row r="3058" spans="1:7" s="183" customFormat="1">
      <c r="A3058" s="194">
        <v>4</v>
      </c>
      <c r="B3058" s="195" t="s">
        <v>13</v>
      </c>
      <c r="C3058" s="194" t="s">
        <v>14</v>
      </c>
      <c r="D3058" s="196" t="s">
        <v>8</v>
      </c>
      <c r="E3058" s="199">
        <v>6.7000000000000002E-3</v>
      </c>
      <c r="F3058" s="200">
        <f>VLOOKUP(B3058,'HSD UPAH,BAHAN,ALAT'!$C$6:F2814,4,FALSE)</f>
        <v>100000</v>
      </c>
      <c r="G3058" s="201">
        <f t="shared" si="366"/>
        <v>670</v>
      </c>
    </row>
    <row r="3059" spans="1:7" s="183" customFormat="1">
      <c r="A3059" s="260" t="s">
        <v>420</v>
      </c>
      <c r="B3059" s="260"/>
      <c r="C3059" s="260"/>
      <c r="D3059" s="260"/>
      <c r="E3059" s="260"/>
      <c r="F3059" s="260"/>
      <c r="G3059" s="202">
        <f>SUM(G3056:G3058)</f>
        <v>7070</v>
      </c>
    </row>
    <row r="3060" spans="1:7" s="183" customFormat="1">
      <c r="A3060" s="194" t="s">
        <v>16</v>
      </c>
      <c r="B3060" s="195" t="s">
        <v>17</v>
      </c>
      <c r="C3060" s="194"/>
      <c r="D3060" s="196"/>
      <c r="E3060" s="199"/>
      <c r="F3060" s="217"/>
      <c r="G3060" s="217"/>
    </row>
    <row r="3061" spans="1:7" s="183" customFormat="1" ht="30">
      <c r="A3061" s="203" t="s">
        <v>208</v>
      </c>
      <c r="B3061" s="204" t="s">
        <v>800</v>
      </c>
      <c r="C3061" s="203"/>
      <c r="D3061" s="205" t="s">
        <v>86</v>
      </c>
      <c r="E3061" s="206" t="s">
        <v>87</v>
      </c>
      <c r="F3061" s="200">
        <f>VLOOKUP(B3061,'HSD UPAH,BAHAN,ALAT'!$C$6:F2817,4,FALSE)</f>
        <v>10000</v>
      </c>
      <c r="G3061" s="201">
        <f t="shared" ref="G3061:G3069" si="367">E3061*F3061</f>
        <v>10500</v>
      </c>
    </row>
    <row r="3062" spans="1:7" s="183" customFormat="1">
      <c r="A3062" s="194">
        <v>2</v>
      </c>
      <c r="B3062" s="195" t="s">
        <v>18</v>
      </c>
      <c r="C3062" s="194"/>
      <c r="D3062" s="196" t="s">
        <v>19</v>
      </c>
      <c r="E3062" s="199">
        <v>0.02</v>
      </c>
      <c r="F3062" s="200">
        <f>VLOOKUP(B3062,'HSD UPAH,BAHAN,ALAT'!$C$6:F2818,4,FALSE)</f>
        <v>10000</v>
      </c>
      <c r="G3062" s="201">
        <f t="shared" si="367"/>
        <v>200</v>
      </c>
    </row>
    <row r="3063" spans="1:7" s="183" customFormat="1">
      <c r="A3063" s="194">
        <v>3</v>
      </c>
      <c r="B3063" s="195" t="s">
        <v>21</v>
      </c>
      <c r="C3063" s="194"/>
      <c r="D3063" s="196"/>
      <c r="E3063" s="199"/>
      <c r="F3063" s="200"/>
      <c r="G3063" s="201">
        <f t="shared" si="367"/>
        <v>0</v>
      </c>
    </row>
    <row r="3064" spans="1:7" s="183" customFormat="1">
      <c r="A3064" s="194" t="s">
        <v>22</v>
      </c>
      <c r="B3064" s="195" t="s">
        <v>54</v>
      </c>
      <c r="C3064" s="194"/>
      <c r="D3064" s="196" t="s">
        <v>24</v>
      </c>
      <c r="E3064" s="199">
        <v>18</v>
      </c>
      <c r="F3064" s="200">
        <f>VLOOKUP(B3064,'HSD UPAH,BAHAN,ALAT'!$C$6:F2820,4,FALSE)</f>
        <v>10000</v>
      </c>
      <c r="G3064" s="201">
        <f t="shared" si="367"/>
        <v>180000</v>
      </c>
    </row>
    <row r="3065" spans="1:7" s="183" customFormat="1">
      <c r="A3065" s="194" t="s">
        <v>30</v>
      </c>
      <c r="B3065" s="195" t="s">
        <v>56</v>
      </c>
      <c r="C3065" s="194"/>
      <c r="D3065" s="196" t="s">
        <v>24</v>
      </c>
      <c r="E3065" s="199" t="s">
        <v>57</v>
      </c>
      <c r="F3065" s="200">
        <f>VLOOKUP(B3065,'HSD UPAH,BAHAN,ALAT'!$C$6:F2821,4,FALSE)</f>
        <v>10000</v>
      </c>
      <c r="G3065" s="201">
        <f t="shared" si="367"/>
        <v>100000</v>
      </c>
    </row>
    <row r="3066" spans="1:7" s="183" customFormat="1">
      <c r="A3066" s="194">
        <v>4</v>
      </c>
      <c r="B3066" s="195" t="s">
        <v>26</v>
      </c>
      <c r="C3066" s="194"/>
      <c r="D3066" s="196"/>
      <c r="E3066" s="199"/>
      <c r="F3066" s="200"/>
      <c r="G3066" s="201">
        <f t="shared" si="367"/>
        <v>0</v>
      </c>
    </row>
    <row r="3067" spans="1:7" s="183" customFormat="1">
      <c r="A3067" s="194" t="s">
        <v>22</v>
      </c>
      <c r="B3067" s="195" t="s">
        <v>27</v>
      </c>
      <c r="C3067" s="194"/>
      <c r="D3067" s="196" t="s">
        <v>28</v>
      </c>
      <c r="E3067" s="199">
        <v>9.8000000000000004E-2</v>
      </c>
      <c r="F3067" s="200">
        <f>VLOOKUP(B3067,'HSD UPAH,BAHAN,ALAT'!$C$6:F2823,4,FALSE)</f>
        <v>10000</v>
      </c>
      <c r="G3067" s="201">
        <f t="shared" si="367"/>
        <v>980</v>
      </c>
    </row>
    <row r="3068" spans="1:7" s="183" customFormat="1">
      <c r="A3068" s="194" t="s">
        <v>30</v>
      </c>
      <c r="B3068" s="195" t="s">
        <v>31</v>
      </c>
      <c r="C3068" s="194"/>
      <c r="D3068" s="196" t="s">
        <v>28</v>
      </c>
      <c r="E3068" s="199">
        <v>2.5999999999999999E-2</v>
      </c>
      <c r="F3068" s="200">
        <f>VLOOKUP(B3068,'HSD UPAH,BAHAN,ALAT'!$C$6:F2824,4,FALSE)</f>
        <v>10000</v>
      </c>
      <c r="G3068" s="201">
        <f t="shared" si="367"/>
        <v>260</v>
      </c>
    </row>
    <row r="3069" spans="1:7" s="183" customFormat="1">
      <c r="A3069" s="194" t="s">
        <v>33</v>
      </c>
      <c r="B3069" s="195" t="s">
        <v>34</v>
      </c>
      <c r="C3069" s="194"/>
      <c r="D3069" s="196" t="s">
        <v>28</v>
      </c>
      <c r="E3069" s="199">
        <v>7.0000000000000001E-3</v>
      </c>
      <c r="F3069" s="200">
        <f>VLOOKUP(B3069,'HSD UPAH,BAHAN,ALAT'!$C$6:F2825,4,FALSE)</f>
        <v>10000</v>
      </c>
      <c r="G3069" s="201">
        <f t="shared" si="367"/>
        <v>70</v>
      </c>
    </row>
    <row r="3070" spans="1:7" s="183" customFormat="1">
      <c r="A3070" s="260" t="s">
        <v>421</v>
      </c>
      <c r="B3070" s="260"/>
      <c r="C3070" s="260"/>
      <c r="D3070" s="260"/>
      <c r="E3070" s="260"/>
      <c r="F3070" s="260"/>
      <c r="G3070" s="202">
        <f>SUM(G3061:G3069)</f>
        <v>292010</v>
      </c>
    </row>
    <row r="3071" spans="1:7" s="183" customFormat="1">
      <c r="A3071" s="194" t="s">
        <v>36</v>
      </c>
      <c r="B3071" s="195" t="s">
        <v>37</v>
      </c>
      <c r="C3071" s="194"/>
      <c r="D3071" s="196"/>
      <c r="E3071" s="199"/>
      <c r="F3071" s="217"/>
      <c r="G3071" s="217"/>
    </row>
    <row r="3072" spans="1:7">
      <c r="A3072" s="8">
        <v>1</v>
      </c>
      <c r="B3072" s="1" t="s">
        <v>71</v>
      </c>
      <c r="C3072" s="8"/>
      <c r="D3072" s="9" t="s">
        <v>72</v>
      </c>
      <c r="E3072" s="10" t="s">
        <v>73</v>
      </c>
      <c r="F3072" s="83">
        <f>VLOOKUP(B3072,'HSD UPAH,BAHAN,ALAT'!$C$6:F2622,4,FALSE)</f>
        <v>10000</v>
      </c>
      <c r="G3072" s="84">
        <f t="shared" ref="G3072" si="368">E3072*F3072</f>
        <v>2800.0000000000005</v>
      </c>
    </row>
    <row r="3073" spans="1:7" s="183" customFormat="1">
      <c r="A3073" s="258" t="s">
        <v>419</v>
      </c>
      <c r="B3073" s="258"/>
      <c r="C3073" s="258"/>
      <c r="D3073" s="258"/>
      <c r="E3073" s="258"/>
      <c r="F3073" s="258"/>
      <c r="G3073" s="207">
        <f>SUM(G3071:G3072)</f>
        <v>2800.0000000000005</v>
      </c>
    </row>
    <row r="3074" spans="1:7" s="183" customFormat="1">
      <c r="A3074" s="208" t="s">
        <v>38</v>
      </c>
      <c r="B3074" s="259" t="s">
        <v>39</v>
      </c>
      <c r="C3074" s="259"/>
      <c r="D3074" s="259"/>
      <c r="E3074" s="259"/>
      <c r="F3074" s="259"/>
      <c r="G3074" s="207">
        <f>SUM(G3056:G3073)/2</f>
        <v>301880</v>
      </c>
    </row>
    <row r="3075" spans="1:7" s="183" customFormat="1">
      <c r="A3075" s="208" t="s">
        <v>40</v>
      </c>
      <c r="B3075" s="259" t="s">
        <v>180</v>
      </c>
      <c r="C3075" s="259"/>
      <c r="D3075" s="259"/>
      <c r="E3075" s="259"/>
      <c r="F3075" s="209">
        <v>0.1</v>
      </c>
      <c r="G3075" s="207">
        <f>G3074*F3075</f>
        <v>30188</v>
      </c>
    </row>
    <row r="3076" spans="1:7" s="183" customFormat="1">
      <c r="A3076" s="208" t="s">
        <v>41</v>
      </c>
      <c r="B3076" s="259" t="s">
        <v>42</v>
      </c>
      <c r="C3076" s="259"/>
      <c r="D3076" s="259"/>
      <c r="E3076" s="259"/>
      <c r="F3076" s="259"/>
      <c r="G3076" s="207">
        <f>G3074+G3075</f>
        <v>332068</v>
      </c>
    </row>
    <row r="3077" spans="1:7" s="183" customFormat="1">
      <c r="A3077" s="210"/>
      <c r="B3077" s="211"/>
      <c r="C3077" s="211"/>
      <c r="D3077" s="211"/>
      <c r="E3077" s="211"/>
      <c r="F3077" s="211"/>
      <c r="G3077" s="212"/>
    </row>
    <row r="3078" spans="1:7" s="183" customFormat="1">
      <c r="A3078" s="213" t="s">
        <v>801</v>
      </c>
      <c r="B3078" s="211"/>
      <c r="C3078" s="211"/>
      <c r="D3078" s="211"/>
      <c r="E3078" s="211"/>
      <c r="F3078" s="211"/>
      <c r="G3078" s="212"/>
    </row>
    <row r="3079" spans="1:7" s="183" customFormat="1" ht="30">
      <c r="A3079" s="193" t="s">
        <v>0</v>
      </c>
      <c r="B3079" s="193" t="s">
        <v>1</v>
      </c>
      <c r="C3079" s="193" t="s">
        <v>207</v>
      </c>
      <c r="D3079" s="193" t="s">
        <v>3</v>
      </c>
      <c r="E3079" s="193" t="s">
        <v>2</v>
      </c>
      <c r="F3079" s="193" t="s">
        <v>417</v>
      </c>
      <c r="G3079" s="193" t="s">
        <v>418</v>
      </c>
    </row>
    <row r="3080" spans="1:7" s="183" customFormat="1">
      <c r="A3080" s="194" t="s">
        <v>4</v>
      </c>
      <c r="B3080" s="195" t="s">
        <v>5</v>
      </c>
      <c r="C3080" s="194"/>
      <c r="D3080" s="196"/>
      <c r="E3080" s="199"/>
      <c r="F3080" s="217"/>
      <c r="G3080" s="217"/>
    </row>
    <row r="3081" spans="1:7" s="183" customFormat="1">
      <c r="A3081" s="194">
        <v>1</v>
      </c>
      <c r="B3081" s="195" t="s">
        <v>48</v>
      </c>
      <c r="C3081" s="194" t="s">
        <v>49</v>
      </c>
      <c r="D3081" s="196" t="s">
        <v>8</v>
      </c>
      <c r="E3081" s="199">
        <v>0.04</v>
      </c>
      <c r="F3081" s="200">
        <f>VLOOKUP(B3081,'HSD UPAH,BAHAN,ALAT'!$C$6:F2835,4,FALSE)</f>
        <v>100000</v>
      </c>
      <c r="G3081" s="201">
        <f t="shared" ref="G3081:G3084" si="369">E3081*F3081</f>
        <v>4000</v>
      </c>
    </row>
    <row r="3082" spans="1:7" s="183" customFormat="1">
      <c r="A3082" s="194">
        <v>2</v>
      </c>
      <c r="B3082" s="195" t="s">
        <v>6</v>
      </c>
      <c r="C3082" s="194" t="s">
        <v>7</v>
      </c>
      <c r="D3082" s="196" t="s">
        <v>8</v>
      </c>
      <c r="E3082" s="199">
        <v>0.04</v>
      </c>
      <c r="F3082" s="200">
        <f>VLOOKUP(B3082,'HSD UPAH,BAHAN,ALAT'!$C$6:F2837,4,FALSE)</f>
        <v>100000</v>
      </c>
      <c r="G3082" s="201">
        <f t="shared" si="369"/>
        <v>4000</v>
      </c>
    </row>
    <row r="3083" spans="1:7" s="183" customFormat="1">
      <c r="A3083" s="194">
        <v>3</v>
      </c>
      <c r="B3083" s="195" t="s">
        <v>10</v>
      </c>
      <c r="C3083" s="194" t="s">
        <v>11</v>
      </c>
      <c r="D3083" s="196" t="s">
        <v>8</v>
      </c>
      <c r="E3083" s="199">
        <v>0.02</v>
      </c>
      <c r="F3083" s="200">
        <f>VLOOKUP(B3083,'HSD UPAH,BAHAN,ALAT'!$C$6:F2838,4,FALSE)</f>
        <v>120000</v>
      </c>
      <c r="G3083" s="201">
        <f t="shared" si="369"/>
        <v>2400</v>
      </c>
    </row>
    <row r="3084" spans="1:7" s="183" customFormat="1">
      <c r="A3084" s="194">
        <v>4</v>
      </c>
      <c r="B3084" s="195" t="s">
        <v>13</v>
      </c>
      <c r="C3084" s="194" t="s">
        <v>14</v>
      </c>
      <c r="D3084" s="196" t="s">
        <v>8</v>
      </c>
      <c r="E3084" s="199">
        <v>6.7000000000000002E-3</v>
      </c>
      <c r="F3084" s="200">
        <f>VLOOKUP(B3084,'HSD UPAH,BAHAN,ALAT'!$C$6:F2839,4,FALSE)</f>
        <v>100000</v>
      </c>
      <c r="G3084" s="201">
        <f t="shared" si="369"/>
        <v>670</v>
      </c>
    </row>
    <row r="3085" spans="1:7" s="183" customFormat="1">
      <c r="A3085" s="260" t="s">
        <v>420</v>
      </c>
      <c r="B3085" s="260"/>
      <c r="C3085" s="260"/>
      <c r="D3085" s="260"/>
      <c r="E3085" s="260"/>
      <c r="F3085" s="260"/>
      <c r="G3085" s="202">
        <f>SUM(G3082:G3084)</f>
        <v>7070</v>
      </c>
    </row>
    <row r="3086" spans="1:7" s="183" customFormat="1">
      <c r="A3086" s="194" t="s">
        <v>16</v>
      </c>
      <c r="B3086" s="195" t="s">
        <v>17</v>
      </c>
      <c r="C3086" s="194"/>
      <c r="D3086" s="196"/>
      <c r="E3086" s="199"/>
      <c r="F3086" s="217"/>
      <c r="G3086" s="217"/>
    </row>
    <row r="3087" spans="1:7" s="183" customFormat="1" ht="30">
      <c r="A3087" s="203" t="s">
        <v>208</v>
      </c>
      <c r="B3087" s="204" t="s">
        <v>802</v>
      </c>
      <c r="C3087" s="203"/>
      <c r="D3087" s="205" t="s">
        <v>86</v>
      </c>
      <c r="E3087" s="206" t="s">
        <v>87</v>
      </c>
      <c r="F3087" s="200">
        <f>VLOOKUP(B3087,'HSD UPAH,BAHAN,ALAT'!$C$6:F2842,4,FALSE)</f>
        <v>10000</v>
      </c>
      <c r="G3087" s="201">
        <f t="shared" ref="G3087:G3095" si="370">E3087*F3087</f>
        <v>10500</v>
      </c>
    </row>
    <row r="3088" spans="1:7" s="183" customFormat="1">
      <c r="A3088" s="194">
        <v>2</v>
      </c>
      <c r="B3088" s="195" t="s">
        <v>18</v>
      </c>
      <c r="C3088" s="194"/>
      <c r="D3088" s="196" t="s">
        <v>19</v>
      </c>
      <c r="E3088" s="199">
        <v>0.02</v>
      </c>
      <c r="F3088" s="200">
        <f>VLOOKUP(B3088,'HSD UPAH,BAHAN,ALAT'!$C$6:F2843,4,FALSE)</f>
        <v>10000</v>
      </c>
      <c r="G3088" s="201">
        <f t="shared" si="370"/>
        <v>200</v>
      </c>
    </row>
    <row r="3089" spans="1:7" s="183" customFormat="1">
      <c r="A3089" s="194">
        <v>3</v>
      </c>
      <c r="B3089" s="195" t="s">
        <v>21</v>
      </c>
      <c r="C3089" s="194"/>
      <c r="D3089" s="196"/>
      <c r="E3089" s="199"/>
      <c r="F3089" s="200"/>
      <c r="G3089" s="201">
        <f t="shared" si="370"/>
        <v>0</v>
      </c>
    </row>
    <row r="3090" spans="1:7" s="183" customFormat="1">
      <c r="A3090" s="194" t="s">
        <v>22</v>
      </c>
      <c r="B3090" s="195" t="s">
        <v>54</v>
      </c>
      <c r="C3090" s="194"/>
      <c r="D3090" s="196" t="s">
        <v>24</v>
      </c>
      <c r="E3090" s="199">
        <v>18</v>
      </c>
      <c r="F3090" s="200">
        <f>VLOOKUP(B3090,'HSD UPAH,BAHAN,ALAT'!$C$6:F2845,4,FALSE)</f>
        <v>10000</v>
      </c>
      <c r="G3090" s="201">
        <f t="shared" si="370"/>
        <v>180000</v>
      </c>
    </row>
    <row r="3091" spans="1:7" s="183" customFormat="1">
      <c r="A3091" s="194" t="s">
        <v>30</v>
      </c>
      <c r="B3091" s="195" t="s">
        <v>56</v>
      </c>
      <c r="C3091" s="194"/>
      <c r="D3091" s="196" t="s">
        <v>24</v>
      </c>
      <c r="E3091" s="199" t="s">
        <v>57</v>
      </c>
      <c r="F3091" s="200">
        <f>VLOOKUP(B3091,'HSD UPAH,BAHAN,ALAT'!$C$6:F2846,4,FALSE)</f>
        <v>10000</v>
      </c>
      <c r="G3091" s="201">
        <f t="shared" si="370"/>
        <v>100000</v>
      </c>
    </row>
    <row r="3092" spans="1:7" s="183" customFormat="1">
      <c r="A3092" s="194">
        <v>4</v>
      </c>
      <c r="B3092" s="195" t="s">
        <v>26</v>
      </c>
      <c r="C3092" s="194"/>
      <c r="D3092" s="196"/>
      <c r="E3092" s="199"/>
      <c r="F3092" s="200"/>
      <c r="G3092" s="201">
        <f t="shared" si="370"/>
        <v>0</v>
      </c>
    </row>
    <row r="3093" spans="1:7" s="183" customFormat="1">
      <c r="A3093" s="194" t="s">
        <v>22</v>
      </c>
      <c r="B3093" s="195" t="s">
        <v>27</v>
      </c>
      <c r="C3093" s="194"/>
      <c r="D3093" s="196" t="s">
        <v>28</v>
      </c>
      <c r="E3093" s="199">
        <v>9.8000000000000004E-2</v>
      </c>
      <c r="F3093" s="200">
        <f>VLOOKUP(B3093,'HSD UPAH,BAHAN,ALAT'!$C$6:F2848,4,FALSE)</f>
        <v>10000</v>
      </c>
      <c r="G3093" s="201">
        <f t="shared" si="370"/>
        <v>980</v>
      </c>
    </row>
    <row r="3094" spans="1:7" s="183" customFormat="1">
      <c r="A3094" s="194" t="s">
        <v>30</v>
      </c>
      <c r="B3094" s="195" t="s">
        <v>31</v>
      </c>
      <c r="C3094" s="194"/>
      <c r="D3094" s="196" t="s">
        <v>28</v>
      </c>
      <c r="E3094" s="199">
        <v>2.5999999999999999E-2</v>
      </c>
      <c r="F3094" s="200">
        <f>VLOOKUP(B3094,'HSD UPAH,BAHAN,ALAT'!$C$6:F2849,4,FALSE)</f>
        <v>10000</v>
      </c>
      <c r="G3094" s="201">
        <f t="shared" si="370"/>
        <v>260</v>
      </c>
    </row>
    <row r="3095" spans="1:7" s="183" customFormat="1">
      <c r="A3095" s="194" t="s">
        <v>33</v>
      </c>
      <c r="B3095" s="195" t="s">
        <v>34</v>
      </c>
      <c r="C3095" s="194"/>
      <c r="D3095" s="196" t="s">
        <v>28</v>
      </c>
      <c r="E3095" s="199">
        <v>7.0000000000000001E-3</v>
      </c>
      <c r="F3095" s="200">
        <f>VLOOKUP(B3095,'HSD UPAH,BAHAN,ALAT'!$C$6:F2850,4,FALSE)</f>
        <v>10000</v>
      </c>
      <c r="G3095" s="201">
        <f t="shared" si="370"/>
        <v>70</v>
      </c>
    </row>
    <row r="3096" spans="1:7" s="183" customFormat="1">
      <c r="A3096" s="260" t="s">
        <v>421</v>
      </c>
      <c r="B3096" s="260"/>
      <c r="C3096" s="260"/>
      <c r="D3096" s="260"/>
      <c r="E3096" s="260"/>
      <c r="F3096" s="260"/>
      <c r="G3096" s="202">
        <f>SUM(G3087:G3095)</f>
        <v>292010</v>
      </c>
    </row>
    <row r="3097" spans="1:7" s="183" customFormat="1">
      <c r="A3097" s="194" t="s">
        <v>36</v>
      </c>
      <c r="B3097" s="195" t="s">
        <v>37</v>
      </c>
      <c r="C3097" s="194"/>
      <c r="D3097" s="196"/>
      <c r="E3097" s="199"/>
      <c r="F3097" s="217"/>
      <c r="G3097" s="217"/>
    </row>
    <row r="3098" spans="1:7">
      <c r="A3098" s="8">
        <v>1</v>
      </c>
      <c r="B3098" s="1" t="s">
        <v>71</v>
      </c>
      <c r="C3098" s="8"/>
      <c r="D3098" s="9" t="s">
        <v>72</v>
      </c>
      <c r="E3098" s="10" t="s">
        <v>73</v>
      </c>
      <c r="F3098" s="83">
        <f>VLOOKUP(B3098,'HSD UPAH,BAHAN,ALAT'!$C$6:F2647,4,FALSE)</f>
        <v>10000</v>
      </c>
      <c r="G3098" s="84">
        <f t="shared" ref="G3098" si="371">E3098*F3098</f>
        <v>2800.0000000000005</v>
      </c>
    </row>
    <row r="3099" spans="1:7" s="183" customFormat="1">
      <c r="A3099" s="258" t="s">
        <v>419</v>
      </c>
      <c r="B3099" s="258"/>
      <c r="C3099" s="258"/>
      <c r="D3099" s="258"/>
      <c r="E3099" s="258"/>
      <c r="F3099" s="258"/>
      <c r="G3099" s="207">
        <f>SUM(G3097:G3098)</f>
        <v>2800.0000000000005</v>
      </c>
    </row>
    <row r="3100" spans="1:7" s="183" customFormat="1">
      <c r="A3100" s="208" t="s">
        <v>38</v>
      </c>
      <c r="B3100" s="259" t="s">
        <v>39</v>
      </c>
      <c r="C3100" s="259"/>
      <c r="D3100" s="259"/>
      <c r="E3100" s="259"/>
      <c r="F3100" s="259"/>
      <c r="G3100" s="207">
        <f>SUM(G3082:G3099)/2</f>
        <v>301880</v>
      </c>
    </row>
    <row r="3101" spans="1:7" s="183" customFormat="1">
      <c r="A3101" s="208" t="s">
        <v>40</v>
      </c>
      <c r="B3101" s="259" t="s">
        <v>180</v>
      </c>
      <c r="C3101" s="259"/>
      <c r="D3101" s="259"/>
      <c r="E3101" s="259"/>
      <c r="F3101" s="209">
        <v>0.1</v>
      </c>
      <c r="G3101" s="207">
        <f>G3100*F3101</f>
        <v>30188</v>
      </c>
    </row>
    <row r="3102" spans="1:7" s="183" customFormat="1">
      <c r="A3102" s="208" t="s">
        <v>41</v>
      </c>
      <c r="B3102" s="259" t="s">
        <v>42</v>
      </c>
      <c r="C3102" s="259"/>
      <c r="D3102" s="259"/>
      <c r="E3102" s="259"/>
      <c r="F3102" s="259"/>
      <c r="G3102" s="207">
        <f>G3100+G3101</f>
        <v>332068</v>
      </c>
    </row>
    <row r="3103" spans="1:7" s="183" customFormat="1">
      <c r="A3103" s="210"/>
      <c r="B3103" s="211"/>
      <c r="C3103" s="211"/>
      <c r="D3103" s="211"/>
      <c r="E3103" s="211"/>
      <c r="F3103" s="211"/>
      <c r="G3103" s="212"/>
    </row>
    <row r="3104" spans="1:7" s="183" customFormat="1">
      <c r="A3104" s="213" t="s">
        <v>803</v>
      </c>
      <c r="B3104" s="211"/>
      <c r="C3104" s="211"/>
      <c r="D3104" s="211"/>
      <c r="E3104" s="211"/>
      <c r="F3104" s="211"/>
      <c r="G3104" s="212"/>
    </row>
    <row r="3105" spans="1:7" s="183" customFormat="1">
      <c r="A3105" s="213" t="s">
        <v>804</v>
      </c>
      <c r="B3105" s="211"/>
      <c r="C3105" s="211"/>
      <c r="D3105" s="211"/>
      <c r="E3105" s="211"/>
      <c r="F3105" s="211"/>
      <c r="G3105" s="212"/>
    </row>
    <row r="3106" spans="1:7" s="183" customFormat="1" ht="30">
      <c r="A3106" s="193" t="s">
        <v>0</v>
      </c>
      <c r="B3106" s="193" t="s">
        <v>1</v>
      </c>
      <c r="C3106" s="193" t="s">
        <v>207</v>
      </c>
      <c r="D3106" s="193" t="s">
        <v>3</v>
      </c>
      <c r="E3106" s="193" t="s">
        <v>2</v>
      </c>
      <c r="F3106" s="193" t="s">
        <v>417</v>
      </c>
      <c r="G3106" s="193" t="s">
        <v>418</v>
      </c>
    </row>
    <row r="3107" spans="1:7" s="183" customFormat="1">
      <c r="A3107" s="194" t="s">
        <v>4</v>
      </c>
      <c r="B3107" s="195" t="s">
        <v>5</v>
      </c>
      <c r="C3107" s="194"/>
      <c r="D3107" s="196"/>
      <c r="E3107" s="199"/>
      <c r="F3107" s="217"/>
      <c r="G3107" s="217"/>
    </row>
    <row r="3108" spans="1:7" s="183" customFormat="1">
      <c r="A3108" s="194">
        <v>1</v>
      </c>
      <c r="B3108" s="195" t="s">
        <v>48</v>
      </c>
      <c r="C3108" s="194" t="s">
        <v>49</v>
      </c>
      <c r="D3108" s="196" t="s">
        <v>8</v>
      </c>
      <c r="E3108" s="199">
        <v>6.7000000000000004E-2</v>
      </c>
      <c r="F3108" s="200">
        <f>VLOOKUP(B3108,'HSD UPAH,BAHAN,ALAT'!$C$6:F2868,4,FALSE)</f>
        <v>100000</v>
      </c>
      <c r="G3108" s="201">
        <f t="shared" ref="G3108:G3111" si="372">E3108*F3108</f>
        <v>6700</v>
      </c>
    </row>
    <row r="3109" spans="1:7" s="183" customFormat="1">
      <c r="A3109" s="194">
        <v>2</v>
      </c>
      <c r="B3109" s="195" t="s">
        <v>6</v>
      </c>
      <c r="C3109" s="194" t="s">
        <v>7</v>
      </c>
      <c r="D3109" s="196" t="s">
        <v>8</v>
      </c>
      <c r="E3109" s="199">
        <v>6.7000000000000004E-2</v>
      </c>
      <c r="F3109" s="200">
        <f>VLOOKUP(B3109,'HSD UPAH,BAHAN,ALAT'!$C$6:F2870,4,FALSE)</f>
        <v>100000</v>
      </c>
      <c r="G3109" s="201">
        <f t="shared" si="372"/>
        <v>6700</v>
      </c>
    </row>
    <row r="3110" spans="1:7" s="183" customFormat="1">
      <c r="A3110" s="194">
        <v>3</v>
      </c>
      <c r="B3110" s="195" t="s">
        <v>10</v>
      </c>
      <c r="C3110" s="194" t="s">
        <v>11</v>
      </c>
      <c r="D3110" s="196" t="s">
        <v>8</v>
      </c>
      <c r="E3110" s="199">
        <v>3.3000000000000002E-2</v>
      </c>
      <c r="F3110" s="200">
        <f>VLOOKUP(B3110,'HSD UPAH,BAHAN,ALAT'!$C$6:F2871,4,FALSE)</f>
        <v>120000</v>
      </c>
      <c r="G3110" s="201">
        <f t="shared" si="372"/>
        <v>3960</v>
      </c>
    </row>
    <row r="3111" spans="1:7" s="183" customFormat="1">
      <c r="A3111" s="194">
        <v>4</v>
      </c>
      <c r="B3111" s="195" t="s">
        <v>13</v>
      </c>
      <c r="C3111" s="194" t="s">
        <v>14</v>
      </c>
      <c r="D3111" s="196" t="s">
        <v>8</v>
      </c>
      <c r="E3111" s="199">
        <v>1.0999999999999999E-2</v>
      </c>
      <c r="F3111" s="200">
        <f>VLOOKUP(B3111,'HSD UPAH,BAHAN,ALAT'!$C$6:F2872,4,FALSE)</f>
        <v>100000</v>
      </c>
      <c r="G3111" s="201">
        <f t="shared" si="372"/>
        <v>1100</v>
      </c>
    </row>
    <row r="3112" spans="1:7" s="183" customFormat="1">
      <c r="A3112" s="260" t="s">
        <v>420</v>
      </c>
      <c r="B3112" s="260"/>
      <c r="C3112" s="260"/>
      <c r="D3112" s="260"/>
      <c r="E3112" s="260"/>
      <c r="F3112" s="260"/>
      <c r="G3112" s="202">
        <f>SUM(G3109:G3111)</f>
        <v>11760</v>
      </c>
    </row>
    <row r="3113" spans="1:7" s="183" customFormat="1">
      <c r="A3113" s="194" t="s">
        <v>16</v>
      </c>
      <c r="B3113" s="195" t="s">
        <v>17</v>
      </c>
      <c r="C3113" s="194"/>
      <c r="D3113" s="196"/>
      <c r="E3113" s="199"/>
      <c r="F3113" s="217"/>
      <c r="G3113" s="217"/>
    </row>
    <row r="3114" spans="1:7" s="183" customFormat="1" ht="30">
      <c r="A3114" s="203" t="s">
        <v>208</v>
      </c>
      <c r="B3114" s="204" t="s">
        <v>805</v>
      </c>
      <c r="C3114" s="203"/>
      <c r="D3114" s="205" t="s">
        <v>86</v>
      </c>
      <c r="E3114" s="206" t="s">
        <v>87</v>
      </c>
      <c r="F3114" s="200">
        <f>VLOOKUP(B3114,'HSD UPAH,BAHAN,ALAT'!$C$6:F2875,4,FALSE)</f>
        <v>10000</v>
      </c>
      <c r="G3114" s="201">
        <f t="shared" ref="G3114:G3122" si="373">E3114*F3114</f>
        <v>10500</v>
      </c>
    </row>
    <row r="3115" spans="1:7" s="183" customFormat="1">
      <c r="A3115" s="194">
        <v>2</v>
      </c>
      <c r="B3115" s="195" t="s">
        <v>18</v>
      </c>
      <c r="C3115" s="194"/>
      <c r="D3115" s="196" t="s">
        <v>19</v>
      </c>
      <c r="E3115" s="199">
        <v>0.02</v>
      </c>
      <c r="F3115" s="200">
        <f>VLOOKUP(B3115,'HSD UPAH,BAHAN,ALAT'!$C$6:F2876,4,FALSE)</f>
        <v>10000</v>
      </c>
      <c r="G3115" s="201">
        <f t="shared" si="373"/>
        <v>200</v>
      </c>
    </row>
    <row r="3116" spans="1:7" s="183" customFormat="1">
      <c r="A3116" s="194">
        <v>3</v>
      </c>
      <c r="B3116" s="195" t="s">
        <v>21</v>
      </c>
      <c r="C3116" s="194"/>
      <c r="D3116" s="196"/>
      <c r="E3116" s="199"/>
      <c r="F3116" s="200"/>
      <c r="G3116" s="201">
        <f t="shared" si="373"/>
        <v>0</v>
      </c>
    </row>
    <row r="3117" spans="1:7" s="183" customFormat="1">
      <c r="A3117" s="194" t="s">
        <v>22</v>
      </c>
      <c r="B3117" s="195" t="s">
        <v>54</v>
      </c>
      <c r="C3117" s="194"/>
      <c r="D3117" s="196" t="s">
        <v>24</v>
      </c>
      <c r="E3117" s="199">
        <v>18</v>
      </c>
      <c r="F3117" s="200">
        <f>VLOOKUP(B3117,'HSD UPAH,BAHAN,ALAT'!$C$6:F2878,4,FALSE)</f>
        <v>10000</v>
      </c>
      <c r="G3117" s="201">
        <f t="shared" si="373"/>
        <v>180000</v>
      </c>
    </row>
    <row r="3118" spans="1:7" s="183" customFormat="1">
      <c r="A3118" s="194" t="s">
        <v>30</v>
      </c>
      <c r="B3118" s="195" t="s">
        <v>56</v>
      </c>
      <c r="C3118" s="194"/>
      <c r="D3118" s="196" t="s">
        <v>24</v>
      </c>
      <c r="E3118" s="199" t="s">
        <v>57</v>
      </c>
      <c r="F3118" s="200">
        <f>VLOOKUP(B3118,'HSD UPAH,BAHAN,ALAT'!$C$6:F2879,4,FALSE)</f>
        <v>10000</v>
      </c>
      <c r="G3118" s="201">
        <f t="shared" si="373"/>
        <v>100000</v>
      </c>
    </row>
    <row r="3119" spans="1:7" s="183" customFormat="1">
      <c r="A3119" s="194">
        <v>4</v>
      </c>
      <c r="B3119" s="195" t="s">
        <v>26</v>
      </c>
      <c r="C3119" s="194"/>
      <c r="D3119" s="196"/>
      <c r="E3119" s="199"/>
      <c r="F3119" s="200"/>
      <c r="G3119" s="201">
        <f t="shared" si="373"/>
        <v>0</v>
      </c>
    </row>
    <row r="3120" spans="1:7" s="183" customFormat="1">
      <c r="A3120" s="194" t="s">
        <v>22</v>
      </c>
      <c r="B3120" s="195" t="s">
        <v>27</v>
      </c>
      <c r="C3120" s="194"/>
      <c r="D3120" s="196" t="s">
        <v>28</v>
      </c>
      <c r="E3120" s="199">
        <v>0.14599999999999999</v>
      </c>
      <c r="F3120" s="200">
        <f>VLOOKUP(B3120,'HSD UPAH,BAHAN,ALAT'!$C$6:F2881,4,FALSE)</f>
        <v>10000</v>
      </c>
      <c r="G3120" s="201">
        <f t="shared" si="373"/>
        <v>1460</v>
      </c>
    </row>
    <row r="3121" spans="1:7" s="183" customFormat="1">
      <c r="A3121" s="194" t="s">
        <v>30</v>
      </c>
      <c r="B3121" s="195" t="s">
        <v>31</v>
      </c>
      <c r="C3121" s="194"/>
      <c r="D3121" s="196" t="s">
        <v>28</v>
      </c>
      <c r="E3121" s="199">
        <v>3.9E-2</v>
      </c>
      <c r="F3121" s="200">
        <f>VLOOKUP(B3121,'HSD UPAH,BAHAN,ALAT'!$C$6:F2882,4,FALSE)</f>
        <v>10000</v>
      </c>
      <c r="G3121" s="201">
        <f t="shared" si="373"/>
        <v>390</v>
      </c>
    </row>
    <row r="3122" spans="1:7" s="183" customFormat="1">
      <c r="A3122" s="194" t="s">
        <v>33</v>
      </c>
      <c r="B3122" s="195" t="s">
        <v>34</v>
      </c>
      <c r="C3122" s="194"/>
      <c r="D3122" s="196" t="s">
        <v>28</v>
      </c>
      <c r="E3122" s="199">
        <v>0.01</v>
      </c>
      <c r="F3122" s="200">
        <f>VLOOKUP(B3122,'HSD UPAH,BAHAN,ALAT'!$C$6:F2883,4,FALSE)</f>
        <v>10000</v>
      </c>
      <c r="G3122" s="201">
        <f t="shared" si="373"/>
        <v>100</v>
      </c>
    </row>
    <row r="3123" spans="1:7" s="183" customFormat="1">
      <c r="A3123" s="260" t="s">
        <v>421</v>
      </c>
      <c r="B3123" s="260"/>
      <c r="C3123" s="260"/>
      <c r="D3123" s="260"/>
      <c r="E3123" s="260"/>
      <c r="F3123" s="260"/>
      <c r="G3123" s="202">
        <f>SUM(G3114:G3122)</f>
        <v>292650</v>
      </c>
    </row>
    <row r="3124" spans="1:7" s="183" customFormat="1">
      <c r="A3124" s="194" t="s">
        <v>36</v>
      </c>
      <c r="B3124" s="195" t="s">
        <v>37</v>
      </c>
      <c r="C3124" s="194"/>
      <c r="D3124" s="196"/>
      <c r="E3124" s="199"/>
      <c r="F3124" s="217"/>
      <c r="G3124" s="217"/>
    </row>
    <row r="3125" spans="1:7">
      <c r="A3125" s="8">
        <v>1</v>
      </c>
      <c r="B3125" s="1" t="s">
        <v>71</v>
      </c>
      <c r="C3125" s="8"/>
      <c r="D3125" s="9" t="s">
        <v>72</v>
      </c>
      <c r="E3125" s="10">
        <v>0.41</v>
      </c>
      <c r="F3125" s="83">
        <f>VLOOKUP(B3125,'HSD UPAH,BAHAN,ALAT'!$C$6:F2680,4,FALSE)</f>
        <v>10000</v>
      </c>
      <c r="G3125" s="84">
        <f t="shared" ref="G3125" si="374">E3125*F3125</f>
        <v>4100</v>
      </c>
    </row>
    <row r="3126" spans="1:7" s="183" customFormat="1">
      <c r="A3126" s="258" t="s">
        <v>419</v>
      </c>
      <c r="B3126" s="258"/>
      <c r="C3126" s="258"/>
      <c r="D3126" s="258"/>
      <c r="E3126" s="258"/>
      <c r="F3126" s="258"/>
      <c r="G3126" s="207">
        <f>SUM(G3124:G3125)</f>
        <v>4100</v>
      </c>
    </row>
    <row r="3127" spans="1:7" s="183" customFormat="1">
      <c r="A3127" s="208" t="s">
        <v>38</v>
      </c>
      <c r="B3127" s="259" t="s">
        <v>39</v>
      </c>
      <c r="C3127" s="259"/>
      <c r="D3127" s="259"/>
      <c r="E3127" s="259"/>
      <c r="F3127" s="259"/>
      <c r="G3127" s="207">
        <f>SUM(G3109:G3126)/2</f>
        <v>308510</v>
      </c>
    </row>
    <row r="3128" spans="1:7" s="183" customFormat="1">
      <c r="A3128" s="208" t="s">
        <v>40</v>
      </c>
      <c r="B3128" s="259" t="s">
        <v>180</v>
      </c>
      <c r="C3128" s="259"/>
      <c r="D3128" s="259"/>
      <c r="E3128" s="259"/>
      <c r="F3128" s="209">
        <v>0.1</v>
      </c>
      <c r="G3128" s="207">
        <f>G3127*F3128</f>
        <v>30851</v>
      </c>
    </row>
    <row r="3129" spans="1:7" s="183" customFormat="1">
      <c r="A3129" s="208" t="s">
        <v>41</v>
      </c>
      <c r="B3129" s="259" t="s">
        <v>42</v>
      </c>
      <c r="C3129" s="259"/>
      <c r="D3129" s="259"/>
      <c r="E3129" s="259"/>
      <c r="F3129" s="259"/>
      <c r="G3129" s="207">
        <f>G3127+G3128</f>
        <v>339361</v>
      </c>
    </row>
    <row r="3130" spans="1:7" s="183" customFormat="1">
      <c r="A3130" s="210"/>
      <c r="B3130" s="211"/>
      <c r="C3130" s="211"/>
      <c r="D3130" s="211"/>
      <c r="E3130" s="211"/>
      <c r="F3130" s="211"/>
      <c r="G3130" s="212"/>
    </row>
    <row r="3131" spans="1:7" s="183" customFormat="1">
      <c r="A3131" s="213" t="s">
        <v>806</v>
      </c>
      <c r="B3131" s="211"/>
      <c r="C3131" s="211"/>
      <c r="D3131" s="211"/>
      <c r="E3131" s="211"/>
      <c r="F3131" s="211"/>
      <c r="G3131" s="212"/>
    </row>
    <row r="3132" spans="1:7" s="183" customFormat="1" ht="30">
      <c r="A3132" s="193" t="s">
        <v>0</v>
      </c>
      <c r="B3132" s="193" t="s">
        <v>1</v>
      </c>
      <c r="C3132" s="193" t="s">
        <v>207</v>
      </c>
      <c r="D3132" s="193" t="s">
        <v>3</v>
      </c>
      <c r="E3132" s="193" t="s">
        <v>2</v>
      </c>
      <c r="F3132" s="193" t="s">
        <v>417</v>
      </c>
      <c r="G3132" s="193" t="s">
        <v>418</v>
      </c>
    </row>
    <row r="3133" spans="1:7" s="183" customFormat="1">
      <c r="A3133" s="194" t="s">
        <v>4</v>
      </c>
      <c r="B3133" s="195" t="s">
        <v>5</v>
      </c>
      <c r="C3133" s="194"/>
      <c r="D3133" s="196"/>
      <c r="E3133" s="199"/>
      <c r="F3133" s="217"/>
      <c r="G3133" s="217"/>
    </row>
    <row r="3134" spans="1:7" s="183" customFormat="1">
      <c r="A3134" s="194">
        <v>1</v>
      </c>
      <c r="B3134" s="195" t="s">
        <v>48</v>
      </c>
      <c r="C3134" s="194" t="s">
        <v>49</v>
      </c>
      <c r="D3134" s="196" t="s">
        <v>8</v>
      </c>
      <c r="E3134" s="199">
        <v>6.7000000000000004E-2</v>
      </c>
      <c r="F3134" s="200">
        <f>VLOOKUP(B3134,'HSD UPAH,BAHAN,ALAT'!$C$6:F2894,4,FALSE)</f>
        <v>100000</v>
      </c>
      <c r="G3134" s="201">
        <f t="shared" ref="G3134:G3137" si="375">E3134*F3134</f>
        <v>6700</v>
      </c>
    </row>
    <row r="3135" spans="1:7" s="183" customFormat="1">
      <c r="A3135" s="194">
        <v>2</v>
      </c>
      <c r="B3135" s="195" t="s">
        <v>6</v>
      </c>
      <c r="C3135" s="194" t="s">
        <v>7</v>
      </c>
      <c r="D3135" s="196" t="s">
        <v>8</v>
      </c>
      <c r="E3135" s="199">
        <v>6.7000000000000004E-2</v>
      </c>
      <c r="F3135" s="200">
        <f>VLOOKUP(B3135,'HSD UPAH,BAHAN,ALAT'!$C$6:F2896,4,FALSE)</f>
        <v>100000</v>
      </c>
      <c r="G3135" s="201">
        <f t="shared" si="375"/>
        <v>6700</v>
      </c>
    </row>
    <row r="3136" spans="1:7" s="183" customFormat="1">
      <c r="A3136" s="194">
        <v>3</v>
      </c>
      <c r="B3136" s="195" t="s">
        <v>10</v>
      </c>
      <c r="C3136" s="194" t="s">
        <v>11</v>
      </c>
      <c r="D3136" s="196" t="s">
        <v>8</v>
      </c>
      <c r="E3136" s="199">
        <v>3.3000000000000002E-2</v>
      </c>
      <c r="F3136" s="200">
        <f>VLOOKUP(B3136,'HSD UPAH,BAHAN,ALAT'!$C$6:F2897,4,FALSE)</f>
        <v>120000</v>
      </c>
      <c r="G3136" s="201">
        <f t="shared" si="375"/>
        <v>3960</v>
      </c>
    </row>
    <row r="3137" spans="1:7" s="183" customFormat="1">
      <c r="A3137" s="194">
        <v>4</v>
      </c>
      <c r="B3137" s="195" t="s">
        <v>13</v>
      </c>
      <c r="C3137" s="194" t="s">
        <v>14</v>
      </c>
      <c r="D3137" s="196" t="s">
        <v>8</v>
      </c>
      <c r="E3137" s="199">
        <v>1.0999999999999999E-2</v>
      </c>
      <c r="F3137" s="200">
        <f>VLOOKUP(B3137,'HSD UPAH,BAHAN,ALAT'!$C$6:F2898,4,FALSE)</f>
        <v>100000</v>
      </c>
      <c r="G3137" s="201">
        <f t="shared" si="375"/>
        <v>1100</v>
      </c>
    </row>
    <row r="3138" spans="1:7" s="183" customFormat="1">
      <c r="A3138" s="260" t="s">
        <v>420</v>
      </c>
      <c r="B3138" s="260"/>
      <c r="C3138" s="260"/>
      <c r="D3138" s="260"/>
      <c r="E3138" s="260"/>
      <c r="F3138" s="260"/>
      <c r="G3138" s="202">
        <f>SUM(G3135:G3137)</f>
        <v>11760</v>
      </c>
    </row>
    <row r="3139" spans="1:7" s="183" customFormat="1">
      <c r="A3139" s="194" t="s">
        <v>16</v>
      </c>
      <c r="B3139" s="195" t="s">
        <v>17</v>
      </c>
      <c r="C3139" s="194"/>
      <c r="D3139" s="196"/>
      <c r="E3139" s="199"/>
      <c r="F3139" s="217"/>
      <c r="G3139" s="217"/>
    </row>
    <row r="3140" spans="1:7" s="183" customFormat="1" ht="30">
      <c r="A3140" s="203" t="s">
        <v>208</v>
      </c>
      <c r="B3140" s="204" t="s">
        <v>807</v>
      </c>
      <c r="C3140" s="203"/>
      <c r="D3140" s="205" t="s">
        <v>86</v>
      </c>
      <c r="E3140" s="206" t="s">
        <v>87</v>
      </c>
      <c r="F3140" s="200">
        <f>VLOOKUP(B3140,'HSD UPAH,BAHAN,ALAT'!$C$6:F2901,4,FALSE)</f>
        <v>10000</v>
      </c>
      <c r="G3140" s="201">
        <f t="shared" ref="G3140:G3148" si="376">E3140*F3140</f>
        <v>10500</v>
      </c>
    </row>
    <row r="3141" spans="1:7" s="183" customFormat="1">
      <c r="A3141" s="194">
        <v>2</v>
      </c>
      <c r="B3141" s="195" t="s">
        <v>18</v>
      </c>
      <c r="C3141" s="194"/>
      <c r="D3141" s="196" t="s">
        <v>19</v>
      </c>
      <c r="E3141" s="199">
        <v>0.02</v>
      </c>
      <c r="F3141" s="200">
        <f>VLOOKUP(B3141,'HSD UPAH,BAHAN,ALAT'!$C$6:F2902,4,FALSE)</f>
        <v>10000</v>
      </c>
      <c r="G3141" s="201">
        <f t="shared" si="376"/>
        <v>200</v>
      </c>
    </row>
    <row r="3142" spans="1:7" s="183" customFormat="1">
      <c r="A3142" s="194">
        <v>3</v>
      </c>
      <c r="B3142" s="195" t="s">
        <v>21</v>
      </c>
      <c r="C3142" s="194"/>
      <c r="D3142" s="196"/>
      <c r="E3142" s="199"/>
      <c r="F3142" s="200"/>
      <c r="G3142" s="201">
        <f t="shared" si="376"/>
        <v>0</v>
      </c>
    </row>
    <row r="3143" spans="1:7" s="183" customFormat="1">
      <c r="A3143" s="194" t="s">
        <v>22</v>
      </c>
      <c r="B3143" s="195" t="s">
        <v>54</v>
      </c>
      <c r="C3143" s="194"/>
      <c r="D3143" s="196" t="s">
        <v>24</v>
      </c>
      <c r="E3143" s="199">
        <v>18</v>
      </c>
      <c r="F3143" s="200">
        <f>VLOOKUP(B3143,'HSD UPAH,BAHAN,ALAT'!$C$6:F2904,4,FALSE)</f>
        <v>10000</v>
      </c>
      <c r="G3143" s="201">
        <f t="shared" si="376"/>
        <v>180000</v>
      </c>
    </row>
    <row r="3144" spans="1:7" s="183" customFormat="1">
      <c r="A3144" s="194" t="s">
        <v>30</v>
      </c>
      <c r="B3144" s="195" t="s">
        <v>56</v>
      </c>
      <c r="C3144" s="194"/>
      <c r="D3144" s="196" t="s">
        <v>24</v>
      </c>
      <c r="E3144" s="199" t="s">
        <v>57</v>
      </c>
      <c r="F3144" s="200">
        <f>VLOOKUP(B3144,'HSD UPAH,BAHAN,ALAT'!$C$6:F2905,4,FALSE)</f>
        <v>10000</v>
      </c>
      <c r="G3144" s="201">
        <f t="shared" si="376"/>
        <v>100000</v>
      </c>
    </row>
    <row r="3145" spans="1:7" s="183" customFormat="1">
      <c r="A3145" s="194">
        <v>4</v>
      </c>
      <c r="B3145" s="195" t="s">
        <v>26</v>
      </c>
      <c r="C3145" s="194"/>
      <c r="D3145" s="196"/>
      <c r="E3145" s="199"/>
      <c r="F3145" s="200"/>
      <c r="G3145" s="201">
        <f t="shared" si="376"/>
        <v>0</v>
      </c>
    </row>
    <row r="3146" spans="1:7" s="183" customFormat="1">
      <c r="A3146" s="194" t="s">
        <v>22</v>
      </c>
      <c r="B3146" s="195" t="s">
        <v>27</v>
      </c>
      <c r="C3146" s="194"/>
      <c r="D3146" s="196" t="s">
        <v>28</v>
      </c>
      <c r="E3146" s="199">
        <v>0.14599999999999999</v>
      </c>
      <c r="F3146" s="200">
        <f>VLOOKUP(B3146,'HSD UPAH,BAHAN,ALAT'!$C$6:F2907,4,FALSE)</f>
        <v>10000</v>
      </c>
      <c r="G3146" s="201">
        <f t="shared" si="376"/>
        <v>1460</v>
      </c>
    </row>
    <row r="3147" spans="1:7" s="183" customFormat="1">
      <c r="A3147" s="194" t="s">
        <v>30</v>
      </c>
      <c r="B3147" s="195" t="s">
        <v>31</v>
      </c>
      <c r="C3147" s="194"/>
      <c r="D3147" s="196" t="s">
        <v>28</v>
      </c>
      <c r="E3147" s="199">
        <v>3.9E-2</v>
      </c>
      <c r="F3147" s="200">
        <f>VLOOKUP(B3147,'HSD UPAH,BAHAN,ALAT'!$C$6:F2908,4,FALSE)</f>
        <v>10000</v>
      </c>
      <c r="G3147" s="201">
        <f t="shared" si="376"/>
        <v>390</v>
      </c>
    </row>
    <row r="3148" spans="1:7" s="183" customFormat="1">
      <c r="A3148" s="194" t="s">
        <v>33</v>
      </c>
      <c r="B3148" s="195" t="s">
        <v>34</v>
      </c>
      <c r="C3148" s="194"/>
      <c r="D3148" s="196" t="s">
        <v>28</v>
      </c>
      <c r="E3148" s="199">
        <v>0.01</v>
      </c>
      <c r="F3148" s="200">
        <f>VLOOKUP(B3148,'HSD UPAH,BAHAN,ALAT'!$C$6:F2909,4,FALSE)</f>
        <v>10000</v>
      </c>
      <c r="G3148" s="201">
        <f t="shared" si="376"/>
        <v>100</v>
      </c>
    </row>
    <row r="3149" spans="1:7" s="183" customFormat="1">
      <c r="A3149" s="260" t="s">
        <v>421</v>
      </c>
      <c r="B3149" s="260"/>
      <c r="C3149" s="260"/>
      <c r="D3149" s="260"/>
      <c r="E3149" s="260"/>
      <c r="F3149" s="260"/>
      <c r="G3149" s="202">
        <f>SUM(G3140:G3148)</f>
        <v>292650</v>
      </c>
    </row>
    <row r="3150" spans="1:7" s="183" customFormat="1">
      <c r="A3150" s="194" t="s">
        <v>36</v>
      </c>
      <c r="B3150" s="195" t="s">
        <v>37</v>
      </c>
      <c r="C3150" s="194"/>
      <c r="D3150" s="196"/>
      <c r="E3150" s="199"/>
      <c r="F3150" s="217"/>
      <c r="G3150" s="217"/>
    </row>
    <row r="3151" spans="1:7">
      <c r="A3151" s="8">
        <v>1</v>
      </c>
      <c r="B3151" s="1" t="s">
        <v>71</v>
      </c>
      <c r="C3151" s="8"/>
      <c r="D3151" s="9" t="s">
        <v>72</v>
      </c>
      <c r="E3151" s="10">
        <v>0.41</v>
      </c>
      <c r="F3151" s="83">
        <f>VLOOKUP(B3151,'HSD UPAH,BAHAN,ALAT'!$C$6:F2706,4,FALSE)</f>
        <v>10000</v>
      </c>
      <c r="G3151" s="84">
        <f t="shared" ref="G3151" si="377">E3151*F3151</f>
        <v>4100</v>
      </c>
    </row>
    <row r="3152" spans="1:7" s="183" customFormat="1">
      <c r="A3152" s="258" t="s">
        <v>419</v>
      </c>
      <c r="B3152" s="258"/>
      <c r="C3152" s="258"/>
      <c r="D3152" s="258"/>
      <c r="E3152" s="258"/>
      <c r="F3152" s="258"/>
      <c r="G3152" s="207">
        <f>SUM(G3150:G3151)</f>
        <v>4100</v>
      </c>
    </row>
    <row r="3153" spans="1:7" s="183" customFormat="1">
      <c r="A3153" s="208" t="s">
        <v>38</v>
      </c>
      <c r="B3153" s="259" t="s">
        <v>39</v>
      </c>
      <c r="C3153" s="259"/>
      <c r="D3153" s="259"/>
      <c r="E3153" s="259"/>
      <c r="F3153" s="259"/>
      <c r="G3153" s="207">
        <f>SUM(G3135:G3152)/2</f>
        <v>308510</v>
      </c>
    </row>
    <row r="3154" spans="1:7" s="183" customFormat="1">
      <c r="A3154" s="208" t="s">
        <v>40</v>
      </c>
      <c r="B3154" s="259" t="s">
        <v>180</v>
      </c>
      <c r="C3154" s="259"/>
      <c r="D3154" s="259"/>
      <c r="E3154" s="259"/>
      <c r="F3154" s="209">
        <v>0.1</v>
      </c>
      <c r="G3154" s="207">
        <f>G3153*F3154</f>
        <v>30851</v>
      </c>
    </row>
    <row r="3155" spans="1:7" s="183" customFormat="1">
      <c r="A3155" s="208" t="s">
        <v>41</v>
      </c>
      <c r="B3155" s="259" t="s">
        <v>42</v>
      </c>
      <c r="C3155" s="259"/>
      <c r="D3155" s="259"/>
      <c r="E3155" s="259"/>
      <c r="F3155" s="259"/>
      <c r="G3155" s="207">
        <f>G3153+G3154</f>
        <v>339361</v>
      </c>
    </row>
    <row r="3156" spans="1:7" s="183" customFormat="1">
      <c r="A3156" s="210"/>
      <c r="B3156" s="211"/>
      <c r="C3156" s="211"/>
      <c r="D3156" s="211"/>
      <c r="E3156" s="211"/>
      <c r="F3156" s="211"/>
      <c r="G3156" s="212"/>
    </row>
    <row r="3157" spans="1:7" s="183" customFormat="1">
      <c r="A3157" s="213" t="s">
        <v>808</v>
      </c>
      <c r="B3157" s="211"/>
      <c r="C3157" s="211"/>
      <c r="D3157" s="211"/>
      <c r="E3157" s="211"/>
      <c r="F3157" s="211"/>
      <c r="G3157" s="212"/>
    </row>
    <row r="3158" spans="1:7" s="183" customFormat="1" ht="30">
      <c r="A3158" s="193" t="s">
        <v>0</v>
      </c>
      <c r="B3158" s="193" t="s">
        <v>1</v>
      </c>
      <c r="C3158" s="193" t="s">
        <v>207</v>
      </c>
      <c r="D3158" s="193" t="s">
        <v>3</v>
      </c>
      <c r="E3158" s="193" t="s">
        <v>2</v>
      </c>
      <c r="F3158" s="193" t="s">
        <v>417</v>
      </c>
      <c r="G3158" s="193" t="s">
        <v>418</v>
      </c>
    </row>
    <row r="3159" spans="1:7" s="183" customFormat="1">
      <c r="A3159" s="194" t="s">
        <v>4</v>
      </c>
      <c r="B3159" s="195" t="s">
        <v>5</v>
      </c>
      <c r="C3159" s="194"/>
      <c r="D3159" s="196"/>
      <c r="E3159" s="199"/>
      <c r="F3159" s="217"/>
      <c r="G3159" s="217"/>
    </row>
    <row r="3160" spans="1:7" s="183" customFormat="1">
      <c r="A3160" s="194">
        <v>1</v>
      </c>
      <c r="B3160" s="195" t="s">
        <v>48</v>
      </c>
      <c r="C3160" s="194" t="s">
        <v>49</v>
      </c>
      <c r="D3160" s="196" t="s">
        <v>8</v>
      </c>
      <c r="E3160" s="199">
        <v>6.7000000000000004E-2</v>
      </c>
      <c r="F3160" s="200">
        <f>VLOOKUP(B3160,'HSD UPAH,BAHAN,ALAT'!$C$6:F2919,4,FALSE)</f>
        <v>100000</v>
      </c>
      <c r="G3160" s="201">
        <f t="shared" ref="G3160:G3163" si="378">E3160*F3160</f>
        <v>6700</v>
      </c>
    </row>
    <row r="3161" spans="1:7" s="183" customFormat="1">
      <c r="A3161" s="194">
        <v>2</v>
      </c>
      <c r="B3161" s="195" t="s">
        <v>6</v>
      </c>
      <c r="C3161" s="194" t="s">
        <v>7</v>
      </c>
      <c r="D3161" s="196" t="s">
        <v>8</v>
      </c>
      <c r="E3161" s="199">
        <v>6.7000000000000004E-2</v>
      </c>
      <c r="F3161" s="200">
        <f>VLOOKUP(B3161,'HSD UPAH,BAHAN,ALAT'!$C$6:F2921,4,FALSE)</f>
        <v>100000</v>
      </c>
      <c r="G3161" s="201">
        <f t="shared" si="378"/>
        <v>6700</v>
      </c>
    </row>
    <row r="3162" spans="1:7" s="183" customFormat="1">
      <c r="A3162" s="194">
        <v>3</v>
      </c>
      <c r="B3162" s="195" t="s">
        <v>10</v>
      </c>
      <c r="C3162" s="194" t="s">
        <v>11</v>
      </c>
      <c r="D3162" s="196" t="s">
        <v>8</v>
      </c>
      <c r="E3162" s="199">
        <v>3.3000000000000002E-2</v>
      </c>
      <c r="F3162" s="200">
        <f>VLOOKUP(B3162,'HSD UPAH,BAHAN,ALAT'!$C$6:F2922,4,FALSE)</f>
        <v>120000</v>
      </c>
      <c r="G3162" s="201">
        <f t="shared" si="378"/>
        <v>3960</v>
      </c>
    </row>
    <row r="3163" spans="1:7" s="183" customFormat="1">
      <c r="A3163" s="194">
        <v>4</v>
      </c>
      <c r="B3163" s="195" t="s">
        <v>13</v>
      </c>
      <c r="C3163" s="194" t="s">
        <v>14</v>
      </c>
      <c r="D3163" s="196" t="s">
        <v>8</v>
      </c>
      <c r="E3163" s="199">
        <v>1.0999999999999999E-2</v>
      </c>
      <c r="F3163" s="200">
        <f>VLOOKUP(B3163,'HSD UPAH,BAHAN,ALAT'!$C$6:F2923,4,FALSE)</f>
        <v>100000</v>
      </c>
      <c r="G3163" s="201">
        <f t="shared" si="378"/>
        <v>1100</v>
      </c>
    </row>
    <row r="3164" spans="1:7" s="183" customFormat="1">
      <c r="A3164" s="260" t="s">
        <v>420</v>
      </c>
      <c r="B3164" s="260"/>
      <c r="C3164" s="260"/>
      <c r="D3164" s="260"/>
      <c r="E3164" s="260"/>
      <c r="F3164" s="260"/>
      <c r="G3164" s="202">
        <f>SUM(G3161:G3163)</f>
        <v>11760</v>
      </c>
    </row>
    <row r="3165" spans="1:7" s="183" customFormat="1">
      <c r="A3165" s="194" t="s">
        <v>16</v>
      </c>
      <c r="B3165" s="195" t="s">
        <v>17</v>
      </c>
      <c r="C3165" s="194"/>
      <c r="D3165" s="196"/>
      <c r="E3165" s="199"/>
      <c r="F3165" s="217"/>
      <c r="G3165" s="217"/>
    </row>
    <row r="3166" spans="1:7" s="183" customFormat="1" ht="30">
      <c r="A3166" s="203" t="s">
        <v>208</v>
      </c>
      <c r="B3166" s="204" t="s">
        <v>809</v>
      </c>
      <c r="C3166" s="203"/>
      <c r="D3166" s="205" t="s">
        <v>86</v>
      </c>
      <c r="E3166" s="206" t="s">
        <v>87</v>
      </c>
      <c r="F3166" s="200">
        <f>VLOOKUP(B3166,'HSD UPAH,BAHAN,ALAT'!$C$6:F2926,4,FALSE)</f>
        <v>10000</v>
      </c>
      <c r="G3166" s="201">
        <f t="shared" ref="G3166:G3174" si="379">E3166*F3166</f>
        <v>10500</v>
      </c>
    </row>
    <row r="3167" spans="1:7" s="183" customFormat="1">
      <c r="A3167" s="194">
        <v>2</v>
      </c>
      <c r="B3167" s="195" t="s">
        <v>18</v>
      </c>
      <c r="C3167" s="194"/>
      <c r="D3167" s="196" t="s">
        <v>19</v>
      </c>
      <c r="E3167" s="199">
        <v>0.02</v>
      </c>
      <c r="F3167" s="200">
        <f>VLOOKUP(B3167,'HSD UPAH,BAHAN,ALAT'!$C$6:F2927,4,FALSE)</f>
        <v>10000</v>
      </c>
      <c r="G3167" s="201">
        <f t="shared" si="379"/>
        <v>200</v>
      </c>
    </row>
    <row r="3168" spans="1:7" s="183" customFormat="1">
      <c r="A3168" s="194">
        <v>3</v>
      </c>
      <c r="B3168" s="195" t="s">
        <v>21</v>
      </c>
      <c r="C3168" s="194"/>
      <c r="D3168" s="196"/>
      <c r="E3168" s="199"/>
      <c r="F3168" s="200"/>
      <c r="G3168" s="201">
        <f t="shared" si="379"/>
        <v>0</v>
      </c>
    </row>
    <row r="3169" spans="1:7" s="183" customFormat="1">
      <c r="A3169" s="194" t="s">
        <v>22</v>
      </c>
      <c r="B3169" s="195" t="s">
        <v>54</v>
      </c>
      <c r="C3169" s="194"/>
      <c r="D3169" s="196" t="s">
        <v>24</v>
      </c>
      <c r="E3169" s="199">
        <v>18</v>
      </c>
      <c r="F3169" s="200">
        <f>VLOOKUP(B3169,'HSD UPAH,BAHAN,ALAT'!$C$6:F2929,4,FALSE)</f>
        <v>10000</v>
      </c>
      <c r="G3169" s="201">
        <f t="shared" si="379"/>
        <v>180000</v>
      </c>
    </row>
    <row r="3170" spans="1:7" s="183" customFormat="1">
      <c r="A3170" s="194" t="s">
        <v>30</v>
      </c>
      <c r="B3170" s="195" t="s">
        <v>56</v>
      </c>
      <c r="C3170" s="194"/>
      <c r="D3170" s="196" t="s">
        <v>24</v>
      </c>
      <c r="E3170" s="199" t="s">
        <v>57</v>
      </c>
      <c r="F3170" s="200">
        <f>VLOOKUP(B3170,'HSD UPAH,BAHAN,ALAT'!$C$6:F2930,4,FALSE)</f>
        <v>10000</v>
      </c>
      <c r="G3170" s="201">
        <f t="shared" si="379"/>
        <v>100000</v>
      </c>
    </row>
    <row r="3171" spans="1:7" s="183" customFormat="1">
      <c r="A3171" s="194">
        <v>4</v>
      </c>
      <c r="B3171" s="195" t="s">
        <v>26</v>
      </c>
      <c r="C3171" s="194"/>
      <c r="D3171" s="196"/>
      <c r="E3171" s="199"/>
      <c r="F3171" s="200"/>
      <c r="G3171" s="201">
        <f t="shared" si="379"/>
        <v>0</v>
      </c>
    </row>
    <row r="3172" spans="1:7" s="183" customFormat="1">
      <c r="A3172" s="194" t="s">
        <v>22</v>
      </c>
      <c r="B3172" s="195" t="s">
        <v>27</v>
      </c>
      <c r="C3172" s="194"/>
      <c r="D3172" s="196" t="s">
        <v>28</v>
      </c>
      <c r="E3172" s="199">
        <v>0.14599999999999999</v>
      </c>
      <c r="F3172" s="200">
        <f>VLOOKUP(B3172,'HSD UPAH,BAHAN,ALAT'!$C$6:F2932,4,FALSE)</f>
        <v>10000</v>
      </c>
      <c r="G3172" s="201">
        <f t="shared" si="379"/>
        <v>1460</v>
      </c>
    </row>
    <row r="3173" spans="1:7" s="183" customFormat="1">
      <c r="A3173" s="194" t="s">
        <v>30</v>
      </c>
      <c r="B3173" s="195" t="s">
        <v>31</v>
      </c>
      <c r="C3173" s="194"/>
      <c r="D3173" s="196" t="s">
        <v>28</v>
      </c>
      <c r="E3173" s="199">
        <v>3.9E-2</v>
      </c>
      <c r="F3173" s="200">
        <f>VLOOKUP(B3173,'HSD UPAH,BAHAN,ALAT'!$C$6:F2933,4,FALSE)</f>
        <v>10000</v>
      </c>
      <c r="G3173" s="201">
        <f t="shared" si="379"/>
        <v>390</v>
      </c>
    </row>
    <row r="3174" spans="1:7" s="183" customFormat="1">
      <c r="A3174" s="194" t="s">
        <v>33</v>
      </c>
      <c r="B3174" s="195" t="s">
        <v>34</v>
      </c>
      <c r="C3174" s="194"/>
      <c r="D3174" s="196" t="s">
        <v>28</v>
      </c>
      <c r="E3174" s="199">
        <v>0.01</v>
      </c>
      <c r="F3174" s="200">
        <f>VLOOKUP(B3174,'HSD UPAH,BAHAN,ALAT'!$C$6:F2934,4,FALSE)</f>
        <v>10000</v>
      </c>
      <c r="G3174" s="201">
        <f t="shared" si="379"/>
        <v>100</v>
      </c>
    </row>
    <row r="3175" spans="1:7" s="183" customFormat="1">
      <c r="A3175" s="260" t="s">
        <v>421</v>
      </c>
      <c r="B3175" s="260"/>
      <c r="C3175" s="260"/>
      <c r="D3175" s="260"/>
      <c r="E3175" s="260"/>
      <c r="F3175" s="260"/>
      <c r="G3175" s="202">
        <f>SUM(G3166:G3174)</f>
        <v>292650</v>
      </c>
    </row>
    <row r="3176" spans="1:7" s="183" customFormat="1">
      <c r="A3176" s="194" t="s">
        <v>36</v>
      </c>
      <c r="B3176" s="195" t="s">
        <v>37</v>
      </c>
      <c r="C3176" s="194"/>
      <c r="D3176" s="196"/>
      <c r="E3176" s="199"/>
      <c r="F3176" s="217"/>
      <c r="G3176" s="217"/>
    </row>
    <row r="3177" spans="1:7">
      <c r="A3177" s="8">
        <v>1</v>
      </c>
      <c r="B3177" s="1" t="s">
        <v>71</v>
      </c>
      <c r="C3177" s="8"/>
      <c r="D3177" s="9" t="s">
        <v>72</v>
      </c>
      <c r="E3177" s="10">
        <v>0.41</v>
      </c>
      <c r="F3177" s="83">
        <f>VLOOKUP(B3177,'HSD UPAH,BAHAN,ALAT'!$C$6:F2731,4,FALSE)</f>
        <v>10000</v>
      </c>
      <c r="G3177" s="84">
        <f t="shared" ref="G3177" si="380">E3177*F3177</f>
        <v>4100</v>
      </c>
    </row>
    <row r="3178" spans="1:7" s="183" customFormat="1">
      <c r="A3178" s="258" t="s">
        <v>419</v>
      </c>
      <c r="B3178" s="258"/>
      <c r="C3178" s="258"/>
      <c r="D3178" s="258"/>
      <c r="E3178" s="258"/>
      <c r="F3178" s="258"/>
      <c r="G3178" s="207">
        <f>SUM(G3176:G3177)</f>
        <v>4100</v>
      </c>
    </row>
    <row r="3179" spans="1:7" s="183" customFormat="1">
      <c r="A3179" s="208" t="s">
        <v>38</v>
      </c>
      <c r="B3179" s="259" t="s">
        <v>39</v>
      </c>
      <c r="C3179" s="259"/>
      <c r="D3179" s="259"/>
      <c r="E3179" s="259"/>
      <c r="F3179" s="259"/>
      <c r="G3179" s="207">
        <f>SUM(G3161:G3178)/2</f>
        <v>308510</v>
      </c>
    </row>
    <row r="3180" spans="1:7" s="183" customFormat="1">
      <c r="A3180" s="208" t="s">
        <v>40</v>
      </c>
      <c r="B3180" s="259" t="s">
        <v>180</v>
      </c>
      <c r="C3180" s="259"/>
      <c r="D3180" s="259"/>
      <c r="E3180" s="259"/>
      <c r="F3180" s="209">
        <v>0.1</v>
      </c>
      <c r="G3180" s="207">
        <f>G3179*F3180</f>
        <v>30851</v>
      </c>
    </row>
    <row r="3181" spans="1:7" s="183" customFormat="1">
      <c r="A3181" s="208" t="s">
        <v>41</v>
      </c>
      <c r="B3181" s="259" t="s">
        <v>42</v>
      </c>
      <c r="C3181" s="259"/>
      <c r="D3181" s="259"/>
      <c r="E3181" s="259"/>
      <c r="F3181" s="259"/>
      <c r="G3181" s="207">
        <f>G3179+G3180</f>
        <v>339361</v>
      </c>
    </row>
    <row r="3182" spans="1:7" s="183" customFormat="1">
      <c r="A3182" s="210"/>
      <c r="B3182" s="211"/>
      <c r="C3182" s="211"/>
      <c r="D3182" s="211"/>
      <c r="E3182" s="211"/>
      <c r="F3182" s="211"/>
      <c r="G3182" s="212"/>
    </row>
    <row r="3183" spans="1:7" s="183" customFormat="1">
      <c r="A3183" s="213" t="s">
        <v>810</v>
      </c>
      <c r="B3183" s="211"/>
      <c r="C3183" s="211"/>
      <c r="D3183" s="211"/>
      <c r="E3183" s="211"/>
      <c r="F3183" s="211"/>
      <c r="G3183" s="212"/>
    </row>
    <row r="3184" spans="1:7" s="183" customFormat="1" ht="30">
      <c r="A3184" s="193" t="s">
        <v>0</v>
      </c>
      <c r="B3184" s="193" t="s">
        <v>1</v>
      </c>
      <c r="C3184" s="193" t="s">
        <v>207</v>
      </c>
      <c r="D3184" s="193" t="s">
        <v>3</v>
      </c>
      <c r="E3184" s="193" t="s">
        <v>2</v>
      </c>
      <c r="F3184" s="193" t="s">
        <v>417</v>
      </c>
      <c r="G3184" s="193" t="s">
        <v>418</v>
      </c>
    </row>
    <row r="3185" spans="1:7" s="183" customFormat="1">
      <c r="A3185" s="194" t="s">
        <v>4</v>
      </c>
      <c r="B3185" s="195" t="s">
        <v>5</v>
      </c>
      <c r="C3185" s="194"/>
      <c r="D3185" s="196"/>
      <c r="E3185" s="199"/>
      <c r="F3185" s="217"/>
      <c r="G3185" s="217"/>
    </row>
    <row r="3186" spans="1:7" s="183" customFormat="1">
      <c r="A3186" s="194">
        <v>1</v>
      </c>
      <c r="B3186" s="195" t="s">
        <v>48</v>
      </c>
      <c r="C3186" s="194" t="s">
        <v>49</v>
      </c>
      <c r="D3186" s="196" t="s">
        <v>8</v>
      </c>
      <c r="E3186" s="199">
        <v>6.7000000000000004E-2</v>
      </c>
      <c r="F3186" s="200">
        <f>VLOOKUP(B3186,'HSD UPAH,BAHAN,ALAT'!$C$6:F2944,4,FALSE)</f>
        <v>100000</v>
      </c>
      <c r="G3186" s="201">
        <f t="shared" ref="G3186:G3189" si="381">E3186*F3186</f>
        <v>6700</v>
      </c>
    </row>
    <row r="3187" spans="1:7" s="183" customFormat="1">
      <c r="A3187" s="194">
        <v>2</v>
      </c>
      <c r="B3187" s="195" t="s">
        <v>6</v>
      </c>
      <c r="C3187" s="194" t="s">
        <v>7</v>
      </c>
      <c r="D3187" s="196" t="s">
        <v>8</v>
      </c>
      <c r="E3187" s="199">
        <v>6.7000000000000004E-2</v>
      </c>
      <c r="F3187" s="200">
        <f>VLOOKUP(B3187,'HSD UPAH,BAHAN,ALAT'!$C$6:F2946,4,FALSE)</f>
        <v>100000</v>
      </c>
      <c r="G3187" s="201">
        <f t="shared" si="381"/>
        <v>6700</v>
      </c>
    </row>
    <row r="3188" spans="1:7" s="183" customFormat="1">
      <c r="A3188" s="194">
        <v>3</v>
      </c>
      <c r="B3188" s="195" t="s">
        <v>10</v>
      </c>
      <c r="C3188" s="194" t="s">
        <v>11</v>
      </c>
      <c r="D3188" s="196" t="s">
        <v>8</v>
      </c>
      <c r="E3188" s="199">
        <v>3.3000000000000002E-2</v>
      </c>
      <c r="F3188" s="200">
        <f>VLOOKUP(B3188,'HSD UPAH,BAHAN,ALAT'!$C$6:F2947,4,FALSE)</f>
        <v>120000</v>
      </c>
      <c r="G3188" s="201">
        <f t="shared" si="381"/>
        <v>3960</v>
      </c>
    </row>
    <row r="3189" spans="1:7" s="183" customFormat="1">
      <c r="A3189" s="194">
        <v>4</v>
      </c>
      <c r="B3189" s="195" t="s">
        <v>13</v>
      </c>
      <c r="C3189" s="194" t="s">
        <v>14</v>
      </c>
      <c r="D3189" s="196" t="s">
        <v>8</v>
      </c>
      <c r="E3189" s="199">
        <v>1.0999999999999999E-2</v>
      </c>
      <c r="F3189" s="200">
        <f>VLOOKUP(B3189,'HSD UPAH,BAHAN,ALAT'!$C$6:F2948,4,FALSE)</f>
        <v>100000</v>
      </c>
      <c r="G3189" s="201">
        <f t="shared" si="381"/>
        <v>1100</v>
      </c>
    </row>
    <row r="3190" spans="1:7" s="183" customFormat="1">
      <c r="A3190" s="260" t="s">
        <v>420</v>
      </c>
      <c r="B3190" s="260"/>
      <c r="C3190" s="260"/>
      <c r="D3190" s="260"/>
      <c r="E3190" s="260"/>
      <c r="F3190" s="260"/>
      <c r="G3190" s="202">
        <f>SUM(G3187:G3189)</f>
        <v>11760</v>
      </c>
    </row>
    <row r="3191" spans="1:7" s="183" customFormat="1">
      <c r="A3191" s="194" t="s">
        <v>16</v>
      </c>
      <c r="B3191" s="195" t="s">
        <v>17</v>
      </c>
      <c r="C3191" s="194"/>
      <c r="D3191" s="196"/>
      <c r="E3191" s="199"/>
      <c r="F3191" s="217"/>
      <c r="G3191" s="217"/>
    </row>
    <row r="3192" spans="1:7" s="183" customFormat="1" ht="30">
      <c r="A3192" s="203" t="s">
        <v>208</v>
      </c>
      <c r="B3192" s="204" t="s">
        <v>811</v>
      </c>
      <c r="C3192" s="203"/>
      <c r="D3192" s="205" t="s">
        <v>86</v>
      </c>
      <c r="E3192" s="206" t="s">
        <v>87</v>
      </c>
      <c r="F3192" s="200">
        <f>VLOOKUP(B3192,'HSD UPAH,BAHAN,ALAT'!$C$6:F2951,4,FALSE)</f>
        <v>10000</v>
      </c>
      <c r="G3192" s="201">
        <f t="shared" ref="G3192:G3200" si="382">E3192*F3192</f>
        <v>10500</v>
      </c>
    </row>
    <row r="3193" spans="1:7" s="183" customFormat="1">
      <c r="A3193" s="194">
        <v>2</v>
      </c>
      <c r="B3193" s="195" t="s">
        <v>18</v>
      </c>
      <c r="C3193" s="194"/>
      <c r="D3193" s="196" t="s">
        <v>19</v>
      </c>
      <c r="E3193" s="199">
        <v>0.02</v>
      </c>
      <c r="F3193" s="200">
        <f>VLOOKUP(B3193,'HSD UPAH,BAHAN,ALAT'!$C$6:F2952,4,FALSE)</f>
        <v>10000</v>
      </c>
      <c r="G3193" s="201">
        <f t="shared" si="382"/>
        <v>200</v>
      </c>
    </row>
    <row r="3194" spans="1:7" s="183" customFormat="1">
      <c r="A3194" s="194">
        <v>3</v>
      </c>
      <c r="B3194" s="195" t="s">
        <v>21</v>
      </c>
      <c r="C3194" s="194"/>
      <c r="D3194" s="196"/>
      <c r="E3194" s="199"/>
      <c r="F3194" s="200"/>
      <c r="G3194" s="201">
        <f t="shared" si="382"/>
        <v>0</v>
      </c>
    </row>
    <row r="3195" spans="1:7" s="183" customFormat="1">
      <c r="A3195" s="194" t="s">
        <v>22</v>
      </c>
      <c r="B3195" s="195" t="s">
        <v>54</v>
      </c>
      <c r="C3195" s="194"/>
      <c r="D3195" s="196" t="s">
        <v>24</v>
      </c>
      <c r="E3195" s="199">
        <v>18</v>
      </c>
      <c r="F3195" s="200">
        <f>VLOOKUP(B3195,'HSD UPAH,BAHAN,ALAT'!$C$6:F2954,4,FALSE)</f>
        <v>10000</v>
      </c>
      <c r="G3195" s="201">
        <f t="shared" si="382"/>
        <v>180000</v>
      </c>
    </row>
    <row r="3196" spans="1:7" s="183" customFormat="1">
      <c r="A3196" s="194" t="s">
        <v>30</v>
      </c>
      <c r="B3196" s="195" t="s">
        <v>56</v>
      </c>
      <c r="C3196" s="194"/>
      <c r="D3196" s="196" t="s">
        <v>24</v>
      </c>
      <c r="E3196" s="199" t="s">
        <v>57</v>
      </c>
      <c r="F3196" s="200">
        <f>VLOOKUP(B3196,'HSD UPAH,BAHAN,ALAT'!$C$6:F2955,4,FALSE)</f>
        <v>10000</v>
      </c>
      <c r="G3196" s="201">
        <f t="shared" si="382"/>
        <v>100000</v>
      </c>
    </row>
    <row r="3197" spans="1:7" s="183" customFormat="1">
      <c r="A3197" s="194">
        <v>4</v>
      </c>
      <c r="B3197" s="195" t="s">
        <v>26</v>
      </c>
      <c r="C3197" s="194"/>
      <c r="D3197" s="196"/>
      <c r="E3197" s="199"/>
      <c r="F3197" s="200"/>
      <c r="G3197" s="201">
        <f t="shared" si="382"/>
        <v>0</v>
      </c>
    </row>
    <row r="3198" spans="1:7" s="183" customFormat="1">
      <c r="A3198" s="194" t="s">
        <v>22</v>
      </c>
      <c r="B3198" s="195" t="s">
        <v>27</v>
      </c>
      <c r="C3198" s="194"/>
      <c r="D3198" s="196" t="s">
        <v>28</v>
      </c>
      <c r="E3198" s="199">
        <v>0.14599999999999999</v>
      </c>
      <c r="F3198" s="200">
        <f>VLOOKUP(B3198,'HSD UPAH,BAHAN,ALAT'!$C$6:F2957,4,FALSE)</f>
        <v>10000</v>
      </c>
      <c r="G3198" s="201">
        <f t="shared" si="382"/>
        <v>1460</v>
      </c>
    </row>
    <row r="3199" spans="1:7" s="183" customFormat="1">
      <c r="A3199" s="194" t="s">
        <v>30</v>
      </c>
      <c r="B3199" s="195" t="s">
        <v>31</v>
      </c>
      <c r="C3199" s="194"/>
      <c r="D3199" s="196" t="s">
        <v>28</v>
      </c>
      <c r="E3199" s="199">
        <v>3.9E-2</v>
      </c>
      <c r="F3199" s="200">
        <f>VLOOKUP(B3199,'HSD UPAH,BAHAN,ALAT'!$C$6:F2958,4,FALSE)</f>
        <v>10000</v>
      </c>
      <c r="G3199" s="201">
        <f t="shared" si="382"/>
        <v>390</v>
      </c>
    </row>
    <row r="3200" spans="1:7" s="183" customFormat="1">
      <c r="A3200" s="194" t="s">
        <v>33</v>
      </c>
      <c r="B3200" s="195" t="s">
        <v>34</v>
      </c>
      <c r="C3200" s="194"/>
      <c r="D3200" s="196" t="s">
        <v>28</v>
      </c>
      <c r="E3200" s="199">
        <v>0.01</v>
      </c>
      <c r="F3200" s="200">
        <f>VLOOKUP(B3200,'HSD UPAH,BAHAN,ALAT'!$C$6:F2959,4,FALSE)</f>
        <v>10000</v>
      </c>
      <c r="G3200" s="201">
        <f t="shared" si="382"/>
        <v>100</v>
      </c>
    </row>
    <row r="3201" spans="1:7" s="183" customFormat="1">
      <c r="A3201" s="260" t="s">
        <v>421</v>
      </c>
      <c r="B3201" s="260"/>
      <c r="C3201" s="260"/>
      <c r="D3201" s="260"/>
      <c r="E3201" s="260"/>
      <c r="F3201" s="260"/>
      <c r="G3201" s="202">
        <f>SUM(G3192:G3200)</f>
        <v>292650</v>
      </c>
    </row>
    <row r="3202" spans="1:7" s="183" customFormat="1">
      <c r="A3202" s="194" t="s">
        <v>36</v>
      </c>
      <c r="B3202" s="195" t="s">
        <v>37</v>
      </c>
      <c r="C3202" s="194"/>
      <c r="D3202" s="196"/>
      <c r="E3202" s="199"/>
      <c r="F3202" s="217"/>
      <c r="G3202" s="217"/>
    </row>
    <row r="3203" spans="1:7">
      <c r="A3203" s="8">
        <v>1</v>
      </c>
      <c r="B3203" s="1" t="s">
        <v>71</v>
      </c>
      <c r="C3203" s="8"/>
      <c r="D3203" s="9" t="s">
        <v>72</v>
      </c>
      <c r="E3203" s="10">
        <v>0.41</v>
      </c>
      <c r="F3203" s="83">
        <f>VLOOKUP(B3203,'HSD UPAH,BAHAN,ALAT'!$C$6:F2756,4,FALSE)</f>
        <v>10000</v>
      </c>
      <c r="G3203" s="84">
        <f t="shared" ref="G3203" si="383">E3203*F3203</f>
        <v>4100</v>
      </c>
    </row>
    <row r="3204" spans="1:7" s="183" customFormat="1">
      <c r="A3204" s="258" t="s">
        <v>419</v>
      </c>
      <c r="B3204" s="258"/>
      <c r="C3204" s="258"/>
      <c r="D3204" s="258"/>
      <c r="E3204" s="258"/>
      <c r="F3204" s="258"/>
      <c r="G3204" s="207">
        <f>SUM(G3202:G3203)</f>
        <v>4100</v>
      </c>
    </row>
    <row r="3205" spans="1:7" s="183" customFormat="1">
      <c r="A3205" s="208" t="s">
        <v>38</v>
      </c>
      <c r="B3205" s="259" t="s">
        <v>39</v>
      </c>
      <c r="C3205" s="259"/>
      <c r="D3205" s="259"/>
      <c r="E3205" s="259"/>
      <c r="F3205" s="259"/>
      <c r="G3205" s="207">
        <f>SUM(G3187:G3204)/2</f>
        <v>308510</v>
      </c>
    </row>
    <row r="3206" spans="1:7" s="183" customFormat="1">
      <c r="A3206" s="208" t="s">
        <v>40</v>
      </c>
      <c r="B3206" s="259" t="s">
        <v>180</v>
      </c>
      <c r="C3206" s="259"/>
      <c r="D3206" s="259"/>
      <c r="E3206" s="259"/>
      <c r="F3206" s="209">
        <v>0.1</v>
      </c>
      <c r="G3206" s="207">
        <f>G3205*F3206</f>
        <v>30851</v>
      </c>
    </row>
    <row r="3207" spans="1:7" s="183" customFormat="1">
      <c r="A3207" s="208" t="s">
        <v>41</v>
      </c>
      <c r="B3207" s="259" t="s">
        <v>42</v>
      </c>
      <c r="C3207" s="259"/>
      <c r="D3207" s="259"/>
      <c r="E3207" s="259"/>
      <c r="F3207" s="259"/>
      <c r="G3207" s="207">
        <f>G3205+G3206</f>
        <v>339361</v>
      </c>
    </row>
    <row r="3208" spans="1:7" s="183" customFormat="1">
      <c r="A3208" s="210"/>
      <c r="B3208" s="211"/>
      <c r="C3208" s="211"/>
      <c r="D3208" s="211"/>
      <c r="E3208" s="211"/>
      <c r="F3208" s="211"/>
      <c r="G3208" s="212"/>
    </row>
    <row r="3209" spans="1:7" s="183" customFormat="1">
      <c r="A3209" s="213" t="s">
        <v>812</v>
      </c>
      <c r="B3209" s="211"/>
      <c r="C3209" s="211"/>
      <c r="D3209" s="211"/>
      <c r="E3209" s="211"/>
      <c r="F3209" s="211"/>
      <c r="G3209" s="212"/>
    </row>
    <row r="3210" spans="1:7" s="183" customFormat="1" ht="30">
      <c r="A3210" s="193" t="s">
        <v>0</v>
      </c>
      <c r="B3210" s="193" t="s">
        <v>1</v>
      </c>
      <c r="C3210" s="193" t="s">
        <v>207</v>
      </c>
      <c r="D3210" s="193" t="s">
        <v>3</v>
      </c>
      <c r="E3210" s="193" t="s">
        <v>2</v>
      </c>
      <c r="F3210" s="193" t="s">
        <v>417</v>
      </c>
      <c r="G3210" s="193" t="s">
        <v>418</v>
      </c>
    </row>
    <row r="3211" spans="1:7" s="183" customFormat="1">
      <c r="A3211" s="194" t="s">
        <v>4</v>
      </c>
      <c r="B3211" s="195" t="s">
        <v>5</v>
      </c>
      <c r="C3211" s="194"/>
      <c r="D3211" s="196"/>
      <c r="E3211" s="199"/>
      <c r="F3211" s="217"/>
      <c r="G3211" s="217"/>
    </row>
    <row r="3212" spans="1:7" s="183" customFormat="1">
      <c r="A3212" s="194">
        <v>1</v>
      </c>
      <c r="B3212" s="195" t="s">
        <v>48</v>
      </c>
      <c r="C3212" s="194" t="s">
        <v>49</v>
      </c>
      <c r="D3212" s="196" t="s">
        <v>8</v>
      </c>
      <c r="E3212" s="199">
        <v>6.7000000000000004E-2</v>
      </c>
      <c r="F3212" s="200">
        <f>VLOOKUP(B3212,'HSD UPAH,BAHAN,ALAT'!$C$6:F2969,4,FALSE)</f>
        <v>100000</v>
      </c>
      <c r="G3212" s="201">
        <f t="shared" ref="G3212:G3215" si="384">E3212*F3212</f>
        <v>6700</v>
      </c>
    </row>
    <row r="3213" spans="1:7" s="183" customFormat="1">
      <c r="A3213" s="194">
        <v>2</v>
      </c>
      <c r="B3213" s="195" t="s">
        <v>6</v>
      </c>
      <c r="C3213" s="194" t="s">
        <v>7</v>
      </c>
      <c r="D3213" s="196" t="s">
        <v>8</v>
      </c>
      <c r="E3213" s="199">
        <v>6.7000000000000004E-2</v>
      </c>
      <c r="F3213" s="200">
        <f>VLOOKUP(B3213,'HSD UPAH,BAHAN,ALAT'!$C$6:F2971,4,FALSE)</f>
        <v>100000</v>
      </c>
      <c r="G3213" s="201">
        <f t="shared" si="384"/>
        <v>6700</v>
      </c>
    </row>
    <row r="3214" spans="1:7" s="183" customFormat="1">
      <c r="A3214" s="194">
        <v>3</v>
      </c>
      <c r="B3214" s="195" t="s">
        <v>10</v>
      </c>
      <c r="C3214" s="194" t="s">
        <v>11</v>
      </c>
      <c r="D3214" s="196" t="s">
        <v>8</v>
      </c>
      <c r="E3214" s="199">
        <v>3.3000000000000002E-2</v>
      </c>
      <c r="F3214" s="200">
        <f>VLOOKUP(B3214,'HSD UPAH,BAHAN,ALAT'!$C$6:F2972,4,FALSE)</f>
        <v>120000</v>
      </c>
      <c r="G3214" s="201">
        <f t="shared" si="384"/>
        <v>3960</v>
      </c>
    </row>
    <row r="3215" spans="1:7" s="183" customFormat="1">
      <c r="A3215" s="194">
        <v>4</v>
      </c>
      <c r="B3215" s="195" t="s">
        <v>13</v>
      </c>
      <c r="C3215" s="194" t="s">
        <v>14</v>
      </c>
      <c r="D3215" s="196" t="s">
        <v>8</v>
      </c>
      <c r="E3215" s="199">
        <v>1.0999999999999999E-2</v>
      </c>
      <c r="F3215" s="200">
        <f>VLOOKUP(B3215,'HSD UPAH,BAHAN,ALAT'!$C$6:F2973,4,FALSE)</f>
        <v>100000</v>
      </c>
      <c r="G3215" s="201">
        <f t="shared" si="384"/>
        <v>1100</v>
      </c>
    </row>
    <row r="3216" spans="1:7" s="183" customFormat="1">
      <c r="A3216" s="260" t="s">
        <v>420</v>
      </c>
      <c r="B3216" s="260"/>
      <c r="C3216" s="260"/>
      <c r="D3216" s="260"/>
      <c r="E3216" s="260"/>
      <c r="F3216" s="260"/>
      <c r="G3216" s="202">
        <f>SUM(G3213:G3215)</f>
        <v>11760</v>
      </c>
    </row>
    <row r="3217" spans="1:7" s="183" customFormat="1">
      <c r="A3217" s="194" t="s">
        <v>16</v>
      </c>
      <c r="B3217" s="195" t="s">
        <v>17</v>
      </c>
      <c r="C3217" s="194"/>
      <c r="D3217" s="196"/>
      <c r="E3217" s="199"/>
      <c r="F3217" s="217"/>
      <c r="G3217" s="217"/>
    </row>
    <row r="3218" spans="1:7" s="183" customFormat="1" ht="30">
      <c r="A3218" s="203" t="s">
        <v>208</v>
      </c>
      <c r="B3218" s="204" t="s">
        <v>868</v>
      </c>
      <c r="C3218" s="203"/>
      <c r="D3218" s="205" t="s">
        <v>86</v>
      </c>
      <c r="E3218" s="206" t="s">
        <v>87</v>
      </c>
      <c r="F3218" s="200">
        <f>VLOOKUP(B3218,'HSD UPAH,BAHAN,ALAT'!$C$6:F2976,4,FALSE)</f>
        <v>10000</v>
      </c>
      <c r="G3218" s="201">
        <f t="shared" ref="G3218:G3226" si="385">E3218*F3218</f>
        <v>10500</v>
      </c>
    </row>
    <row r="3219" spans="1:7" s="183" customFormat="1">
      <c r="A3219" s="194">
        <v>2</v>
      </c>
      <c r="B3219" s="195" t="s">
        <v>18</v>
      </c>
      <c r="C3219" s="194"/>
      <c r="D3219" s="196" t="s">
        <v>19</v>
      </c>
      <c r="E3219" s="199">
        <v>0.02</v>
      </c>
      <c r="F3219" s="200">
        <f>VLOOKUP(B3219,'HSD UPAH,BAHAN,ALAT'!$C$6:F2977,4,FALSE)</f>
        <v>10000</v>
      </c>
      <c r="G3219" s="201">
        <f t="shared" si="385"/>
        <v>200</v>
      </c>
    </row>
    <row r="3220" spans="1:7" s="183" customFormat="1">
      <c r="A3220" s="194">
        <v>3</v>
      </c>
      <c r="B3220" s="195" t="s">
        <v>21</v>
      </c>
      <c r="C3220" s="194"/>
      <c r="D3220" s="196"/>
      <c r="E3220" s="199"/>
      <c r="F3220" s="200"/>
      <c r="G3220" s="201">
        <f t="shared" si="385"/>
        <v>0</v>
      </c>
    </row>
    <row r="3221" spans="1:7" s="183" customFormat="1">
      <c r="A3221" s="194" t="s">
        <v>22</v>
      </c>
      <c r="B3221" s="195" t="s">
        <v>54</v>
      </c>
      <c r="C3221" s="194"/>
      <c r="D3221" s="196" t="s">
        <v>24</v>
      </c>
      <c r="E3221" s="199">
        <v>18</v>
      </c>
      <c r="F3221" s="200">
        <f>VLOOKUP(B3221,'HSD UPAH,BAHAN,ALAT'!$C$6:F2979,4,FALSE)</f>
        <v>10000</v>
      </c>
      <c r="G3221" s="201">
        <f t="shared" si="385"/>
        <v>180000</v>
      </c>
    </row>
    <row r="3222" spans="1:7" s="183" customFormat="1">
      <c r="A3222" s="194" t="s">
        <v>30</v>
      </c>
      <c r="B3222" s="195" t="s">
        <v>56</v>
      </c>
      <c r="C3222" s="194"/>
      <c r="D3222" s="196" t="s">
        <v>24</v>
      </c>
      <c r="E3222" s="199" t="s">
        <v>57</v>
      </c>
      <c r="F3222" s="200">
        <f>VLOOKUP(B3222,'HSD UPAH,BAHAN,ALAT'!$C$6:F2980,4,FALSE)</f>
        <v>10000</v>
      </c>
      <c r="G3222" s="201">
        <f t="shared" si="385"/>
        <v>100000</v>
      </c>
    </row>
    <row r="3223" spans="1:7" s="183" customFormat="1">
      <c r="A3223" s="194">
        <v>4</v>
      </c>
      <c r="B3223" s="195" t="s">
        <v>26</v>
      </c>
      <c r="C3223" s="194"/>
      <c r="D3223" s="196"/>
      <c r="E3223" s="199"/>
      <c r="F3223" s="200"/>
      <c r="G3223" s="201">
        <f t="shared" si="385"/>
        <v>0</v>
      </c>
    </row>
    <row r="3224" spans="1:7" s="183" customFormat="1">
      <c r="A3224" s="194" t="s">
        <v>22</v>
      </c>
      <c r="B3224" s="195" t="s">
        <v>27</v>
      </c>
      <c r="C3224" s="194"/>
      <c r="D3224" s="196" t="s">
        <v>28</v>
      </c>
      <c r="E3224" s="199">
        <v>0.14599999999999999</v>
      </c>
      <c r="F3224" s="200">
        <f>VLOOKUP(B3224,'HSD UPAH,BAHAN,ALAT'!$C$6:F2982,4,FALSE)</f>
        <v>10000</v>
      </c>
      <c r="G3224" s="201">
        <f t="shared" si="385"/>
        <v>1460</v>
      </c>
    </row>
    <row r="3225" spans="1:7" s="183" customFormat="1">
      <c r="A3225" s="194" t="s">
        <v>30</v>
      </c>
      <c r="B3225" s="195" t="s">
        <v>31</v>
      </c>
      <c r="C3225" s="194"/>
      <c r="D3225" s="196" t="s">
        <v>28</v>
      </c>
      <c r="E3225" s="199">
        <v>3.9E-2</v>
      </c>
      <c r="F3225" s="200">
        <f>VLOOKUP(B3225,'HSD UPAH,BAHAN,ALAT'!$C$6:F2983,4,FALSE)</f>
        <v>10000</v>
      </c>
      <c r="G3225" s="201">
        <f t="shared" si="385"/>
        <v>390</v>
      </c>
    </row>
    <row r="3226" spans="1:7" s="183" customFormat="1">
      <c r="A3226" s="194" t="s">
        <v>33</v>
      </c>
      <c r="B3226" s="195" t="s">
        <v>34</v>
      </c>
      <c r="C3226" s="194"/>
      <c r="D3226" s="196" t="s">
        <v>28</v>
      </c>
      <c r="E3226" s="199">
        <v>0.01</v>
      </c>
      <c r="F3226" s="200">
        <f>VLOOKUP(B3226,'HSD UPAH,BAHAN,ALAT'!$C$6:F2984,4,FALSE)</f>
        <v>10000</v>
      </c>
      <c r="G3226" s="201">
        <f t="shared" si="385"/>
        <v>100</v>
      </c>
    </row>
    <row r="3227" spans="1:7" s="183" customFormat="1">
      <c r="A3227" s="260" t="s">
        <v>421</v>
      </c>
      <c r="B3227" s="260"/>
      <c r="C3227" s="260"/>
      <c r="D3227" s="260"/>
      <c r="E3227" s="260"/>
      <c r="F3227" s="260"/>
      <c r="G3227" s="202">
        <f>SUM(G3218:G3226)</f>
        <v>292650</v>
      </c>
    </row>
    <row r="3228" spans="1:7" s="183" customFormat="1">
      <c r="A3228" s="194" t="s">
        <v>36</v>
      </c>
      <c r="B3228" s="195" t="s">
        <v>37</v>
      </c>
      <c r="C3228" s="194"/>
      <c r="D3228" s="196"/>
      <c r="E3228" s="199"/>
      <c r="F3228" s="217"/>
      <c r="G3228" s="217"/>
    </row>
    <row r="3229" spans="1:7">
      <c r="A3229" s="8">
        <v>1</v>
      </c>
      <c r="B3229" s="1" t="s">
        <v>71</v>
      </c>
      <c r="C3229" s="8"/>
      <c r="D3229" s="9" t="s">
        <v>72</v>
      </c>
      <c r="E3229" s="10">
        <v>0.41</v>
      </c>
      <c r="F3229" s="83">
        <f>VLOOKUP(B3229,'HSD UPAH,BAHAN,ALAT'!$C$6:F2781,4,FALSE)</f>
        <v>10000</v>
      </c>
      <c r="G3229" s="84">
        <f t="shared" ref="G3229" si="386">E3229*F3229</f>
        <v>4100</v>
      </c>
    </row>
    <row r="3230" spans="1:7" s="183" customFormat="1">
      <c r="A3230" s="258" t="s">
        <v>419</v>
      </c>
      <c r="B3230" s="258"/>
      <c r="C3230" s="258"/>
      <c r="D3230" s="258"/>
      <c r="E3230" s="258"/>
      <c r="F3230" s="258"/>
      <c r="G3230" s="207">
        <f>SUM(G3228:G3229)</f>
        <v>4100</v>
      </c>
    </row>
    <row r="3231" spans="1:7" s="183" customFormat="1">
      <c r="A3231" s="208" t="s">
        <v>38</v>
      </c>
      <c r="B3231" s="259" t="s">
        <v>39</v>
      </c>
      <c r="C3231" s="259"/>
      <c r="D3231" s="259"/>
      <c r="E3231" s="259"/>
      <c r="F3231" s="259"/>
      <c r="G3231" s="207">
        <f>SUM(G3213:G3230)/2</f>
        <v>308510</v>
      </c>
    </row>
    <row r="3232" spans="1:7" s="183" customFormat="1">
      <c r="A3232" s="208" t="s">
        <v>40</v>
      </c>
      <c r="B3232" s="259" t="s">
        <v>180</v>
      </c>
      <c r="C3232" s="259"/>
      <c r="D3232" s="259"/>
      <c r="E3232" s="259"/>
      <c r="F3232" s="209">
        <v>0.1</v>
      </c>
      <c r="G3232" s="207">
        <f>G3231*F3232</f>
        <v>30851</v>
      </c>
    </row>
    <row r="3233" spans="1:7" s="183" customFormat="1">
      <c r="A3233" s="208" t="s">
        <v>41</v>
      </c>
      <c r="B3233" s="259" t="s">
        <v>42</v>
      </c>
      <c r="C3233" s="259"/>
      <c r="D3233" s="259"/>
      <c r="E3233" s="259"/>
      <c r="F3233" s="259"/>
      <c r="G3233" s="207">
        <f>G3231+G3232</f>
        <v>339361</v>
      </c>
    </row>
    <row r="3234" spans="1:7" s="183" customFormat="1">
      <c r="A3234" s="210"/>
      <c r="B3234" s="211"/>
      <c r="C3234" s="211"/>
      <c r="D3234" s="211"/>
      <c r="E3234" s="211"/>
      <c r="F3234" s="211"/>
      <c r="G3234" s="212"/>
    </row>
    <row r="3235" spans="1:7" s="183" customFormat="1">
      <c r="A3235" s="213" t="s">
        <v>813</v>
      </c>
      <c r="B3235" s="211"/>
      <c r="C3235" s="211"/>
      <c r="D3235" s="211"/>
      <c r="E3235" s="211"/>
      <c r="F3235" s="211"/>
      <c r="G3235" s="212"/>
    </row>
    <row r="3236" spans="1:7" s="183" customFormat="1" ht="30">
      <c r="A3236" s="193" t="s">
        <v>0</v>
      </c>
      <c r="B3236" s="193" t="s">
        <v>1</v>
      </c>
      <c r="C3236" s="193" t="s">
        <v>207</v>
      </c>
      <c r="D3236" s="193" t="s">
        <v>3</v>
      </c>
      <c r="E3236" s="193" t="s">
        <v>2</v>
      </c>
      <c r="F3236" s="193" t="s">
        <v>417</v>
      </c>
      <c r="G3236" s="193" t="s">
        <v>418</v>
      </c>
    </row>
    <row r="3237" spans="1:7" s="183" customFormat="1">
      <c r="A3237" s="194" t="s">
        <v>4</v>
      </c>
      <c r="B3237" s="195" t="s">
        <v>5</v>
      </c>
      <c r="C3237" s="194"/>
      <c r="D3237" s="196"/>
      <c r="E3237" s="199"/>
      <c r="F3237" s="217"/>
      <c r="G3237" s="217"/>
    </row>
    <row r="3238" spans="1:7" s="183" customFormat="1">
      <c r="A3238" s="194">
        <v>1</v>
      </c>
      <c r="B3238" s="195" t="s">
        <v>48</v>
      </c>
      <c r="C3238" s="194" t="s">
        <v>49</v>
      </c>
      <c r="D3238" s="196" t="s">
        <v>8</v>
      </c>
      <c r="E3238" s="199">
        <v>6.7000000000000004E-2</v>
      </c>
      <c r="F3238" s="200">
        <f>VLOOKUP(B3238,'HSD UPAH,BAHAN,ALAT'!$C$6:F2994,4,FALSE)</f>
        <v>100000</v>
      </c>
      <c r="G3238" s="201">
        <f t="shared" ref="G3238:G3241" si="387">E3238*F3238</f>
        <v>6700</v>
      </c>
    </row>
    <row r="3239" spans="1:7" s="183" customFormat="1">
      <c r="A3239" s="194">
        <v>2</v>
      </c>
      <c r="B3239" s="195" t="s">
        <v>6</v>
      </c>
      <c r="C3239" s="194" t="s">
        <v>7</v>
      </c>
      <c r="D3239" s="196" t="s">
        <v>8</v>
      </c>
      <c r="E3239" s="199">
        <v>6.7000000000000004E-2</v>
      </c>
      <c r="F3239" s="200">
        <f>VLOOKUP(B3239,'HSD UPAH,BAHAN,ALAT'!$C$6:F2996,4,FALSE)</f>
        <v>100000</v>
      </c>
      <c r="G3239" s="201">
        <f t="shared" si="387"/>
        <v>6700</v>
      </c>
    </row>
    <row r="3240" spans="1:7" s="183" customFormat="1">
      <c r="A3240" s="194">
        <v>3</v>
      </c>
      <c r="B3240" s="195" t="s">
        <v>10</v>
      </c>
      <c r="C3240" s="194" t="s">
        <v>11</v>
      </c>
      <c r="D3240" s="196" t="s">
        <v>8</v>
      </c>
      <c r="E3240" s="199">
        <v>3.3000000000000002E-2</v>
      </c>
      <c r="F3240" s="200">
        <f>VLOOKUP(B3240,'HSD UPAH,BAHAN,ALAT'!$C$6:F2997,4,FALSE)</f>
        <v>120000</v>
      </c>
      <c r="G3240" s="201">
        <f t="shared" si="387"/>
        <v>3960</v>
      </c>
    </row>
    <row r="3241" spans="1:7" s="183" customFormat="1">
      <c r="A3241" s="194">
        <v>4</v>
      </c>
      <c r="B3241" s="195" t="s">
        <v>13</v>
      </c>
      <c r="C3241" s="194" t="s">
        <v>14</v>
      </c>
      <c r="D3241" s="196" t="s">
        <v>8</v>
      </c>
      <c r="E3241" s="199">
        <v>1.0999999999999999E-2</v>
      </c>
      <c r="F3241" s="200">
        <f>VLOOKUP(B3241,'HSD UPAH,BAHAN,ALAT'!$C$6:F2998,4,FALSE)</f>
        <v>100000</v>
      </c>
      <c r="G3241" s="201">
        <f t="shared" si="387"/>
        <v>1100</v>
      </c>
    </row>
    <row r="3242" spans="1:7" s="183" customFormat="1">
      <c r="A3242" s="260" t="s">
        <v>420</v>
      </c>
      <c r="B3242" s="260"/>
      <c r="C3242" s="260"/>
      <c r="D3242" s="260"/>
      <c r="E3242" s="260"/>
      <c r="F3242" s="260"/>
      <c r="G3242" s="202">
        <f>SUM(G3239:G3241)</f>
        <v>11760</v>
      </c>
    </row>
    <row r="3243" spans="1:7" s="183" customFormat="1">
      <c r="A3243" s="194" t="s">
        <v>16</v>
      </c>
      <c r="B3243" s="195" t="s">
        <v>17</v>
      </c>
      <c r="C3243" s="194"/>
      <c r="D3243" s="196"/>
      <c r="E3243" s="199"/>
      <c r="F3243" s="217"/>
      <c r="G3243" s="217"/>
    </row>
    <row r="3244" spans="1:7" s="183" customFormat="1" ht="30">
      <c r="A3244" s="203" t="s">
        <v>208</v>
      </c>
      <c r="B3244" s="204" t="s">
        <v>814</v>
      </c>
      <c r="C3244" s="203"/>
      <c r="D3244" s="205" t="s">
        <v>86</v>
      </c>
      <c r="E3244" s="206" t="s">
        <v>87</v>
      </c>
      <c r="F3244" s="200">
        <f>VLOOKUP(B3244,'HSD UPAH,BAHAN,ALAT'!$C$6:F3001,4,FALSE)</f>
        <v>10000</v>
      </c>
      <c r="G3244" s="201">
        <f t="shared" ref="G3244:G3252" si="388">E3244*F3244</f>
        <v>10500</v>
      </c>
    </row>
    <row r="3245" spans="1:7" s="183" customFormat="1">
      <c r="A3245" s="194">
        <v>2</v>
      </c>
      <c r="B3245" s="195" t="s">
        <v>18</v>
      </c>
      <c r="C3245" s="194"/>
      <c r="D3245" s="196" t="s">
        <v>19</v>
      </c>
      <c r="E3245" s="199">
        <v>0.02</v>
      </c>
      <c r="F3245" s="200">
        <f>VLOOKUP(B3245,'HSD UPAH,BAHAN,ALAT'!$C$6:F3002,4,FALSE)</f>
        <v>10000</v>
      </c>
      <c r="G3245" s="201">
        <f t="shared" si="388"/>
        <v>200</v>
      </c>
    </row>
    <row r="3246" spans="1:7" s="183" customFormat="1">
      <c r="A3246" s="194">
        <v>3</v>
      </c>
      <c r="B3246" s="195" t="s">
        <v>21</v>
      </c>
      <c r="C3246" s="194"/>
      <c r="D3246" s="196"/>
      <c r="E3246" s="199"/>
      <c r="F3246" s="200"/>
      <c r="G3246" s="201">
        <f t="shared" si="388"/>
        <v>0</v>
      </c>
    </row>
    <row r="3247" spans="1:7" s="183" customFormat="1">
      <c r="A3247" s="194" t="s">
        <v>22</v>
      </c>
      <c r="B3247" s="195" t="s">
        <v>54</v>
      </c>
      <c r="C3247" s="194"/>
      <c r="D3247" s="196" t="s">
        <v>24</v>
      </c>
      <c r="E3247" s="199">
        <v>18</v>
      </c>
      <c r="F3247" s="200">
        <f>VLOOKUP(B3247,'HSD UPAH,BAHAN,ALAT'!$C$6:F3004,4,FALSE)</f>
        <v>10000</v>
      </c>
      <c r="G3247" s="201">
        <f t="shared" si="388"/>
        <v>180000</v>
      </c>
    </row>
    <row r="3248" spans="1:7" s="183" customFormat="1">
      <c r="A3248" s="194" t="s">
        <v>30</v>
      </c>
      <c r="B3248" s="195" t="s">
        <v>56</v>
      </c>
      <c r="C3248" s="194"/>
      <c r="D3248" s="196" t="s">
        <v>24</v>
      </c>
      <c r="E3248" s="199" t="s">
        <v>57</v>
      </c>
      <c r="F3248" s="200">
        <f>VLOOKUP(B3248,'HSD UPAH,BAHAN,ALAT'!$C$6:F3005,4,FALSE)</f>
        <v>10000</v>
      </c>
      <c r="G3248" s="201">
        <f t="shared" si="388"/>
        <v>100000</v>
      </c>
    </row>
    <row r="3249" spans="1:7" s="183" customFormat="1">
      <c r="A3249" s="194">
        <v>4</v>
      </c>
      <c r="B3249" s="195" t="s">
        <v>26</v>
      </c>
      <c r="C3249" s="194"/>
      <c r="D3249" s="196"/>
      <c r="E3249" s="199"/>
      <c r="F3249" s="200"/>
      <c r="G3249" s="201">
        <f t="shared" si="388"/>
        <v>0</v>
      </c>
    </row>
    <row r="3250" spans="1:7" s="183" customFormat="1">
      <c r="A3250" s="194" t="s">
        <v>22</v>
      </c>
      <c r="B3250" s="195" t="s">
        <v>27</v>
      </c>
      <c r="C3250" s="194"/>
      <c r="D3250" s="196" t="s">
        <v>28</v>
      </c>
      <c r="E3250" s="199">
        <v>0.14599999999999999</v>
      </c>
      <c r="F3250" s="200">
        <f>VLOOKUP(B3250,'HSD UPAH,BAHAN,ALAT'!$C$6:F3007,4,FALSE)</f>
        <v>10000</v>
      </c>
      <c r="G3250" s="201">
        <f t="shared" si="388"/>
        <v>1460</v>
      </c>
    </row>
    <row r="3251" spans="1:7" s="183" customFormat="1">
      <c r="A3251" s="194" t="s">
        <v>30</v>
      </c>
      <c r="B3251" s="195" t="s">
        <v>31</v>
      </c>
      <c r="C3251" s="194"/>
      <c r="D3251" s="196" t="s">
        <v>28</v>
      </c>
      <c r="E3251" s="199">
        <v>3.9E-2</v>
      </c>
      <c r="F3251" s="200">
        <f>VLOOKUP(B3251,'HSD UPAH,BAHAN,ALAT'!$C$6:F3008,4,FALSE)</f>
        <v>10000</v>
      </c>
      <c r="G3251" s="201">
        <f t="shared" si="388"/>
        <v>390</v>
      </c>
    </row>
    <row r="3252" spans="1:7" s="183" customFormat="1">
      <c r="A3252" s="194" t="s">
        <v>33</v>
      </c>
      <c r="B3252" s="195" t="s">
        <v>34</v>
      </c>
      <c r="C3252" s="194"/>
      <c r="D3252" s="196" t="s">
        <v>28</v>
      </c>
      <c r="E3252" s="199">
        <v>0.01</v>
      </c>
      <c r="F3252" s="200">
        <f>VLOOKUP(B3252,'HSD UPAH,BAHAN,ALAT'!$C$6:F3009,4,FALSE)</f>
        <v>10000</v>
      </c>
      <c r="G3252" s="201">
        <f t="shared" si="388"/>
        <v>100</v>
      </c>
    </row>
    <row r="3253" spans="1:7" s="183" customFormat="1">
      <c r="A3253" s="260" t="s">
        <v>421</v>
      </c>
      <c r="B3253" s="260"/>
      <c r="C3253" s="260"/>
      <c r="D3253" s="260"/>
      <c r="E3253" s="260"/>
      <c r="F3253" s="260"/>
      <c r="G3253" s="202">
        <f>SUM(G3244:G3252)</f>
        <v>292650</v>
      </c>
    </row>
    <row r="3254" spans="1:7" s="183" customFormat="1">
      <c r="A3254" s="194" t="s">
        <v>36</v>
      </c>
      <c r="B3254" s="195" t="s">
        <v>37</v>
      </c>
      <c r="C3254" s="194"/>
      <c r="D3254" s="196"/>
      <c r="E3254" s="199"/>
      <c r="F3254" s="217"/>
      <c r="G3254" s="217"/>
    </row>
    <row r="3255" spans="1:7">
      <c r="A3255" s="8">
        <v>1</v>
      </c>
      <c r="B3255" s="1" t="s">
        <v>71</v>
      </c>
      <c r="C3255" s="8"/>
      <c r="D3255" s="9" t="s">
        <v>72</v>
      </c>
      <c r="E3255" s="10">
        <v>0.41</v>
      </c>
      <c r="F3255" s="83">
        <f>VLOOKUP(B3255,'HSD UPAH,BAHAN,ALAT'!$C$6:F2806,4,FALSE)</f>
        <v>10000</v>
      </c>
      <c r="G3255" s="84">
        <f t="shared" ref="G3255" si="389">E3255*F3255</f>
        <v>4100</v>
      </c>
    </row>
    <row r="3256" spans="1:7" s="183" customFormat="1">
      <c r="A3256" s="258" t="s">
        <v>419</v>
      </c>
      <c r="B3256" s="258"/>
      <c r="C3256" s="258"/>
      <c r="D3256" s="258"/>
      <c r="E3256" s="258"/>
      <c r="F3256" s="258"/>
      <c r="G3256" s="207">
        <f>SUM(G3254:G3255)</f>
        <v>4100</v>
      </c>
    </row>
    <row r="3257" spans="1:7" s="183" customFormat="1">
      <c r="A3257" s="208" t="s">
        <v>38</v>
      </c>
      <c r="B3257" s="259" t="s">
        <v>39</v>
      </c>
      <c r="C3257" s="259"/>
      <c r="D3257" s="259"/>
      <c r="E3257" s="259"/>
      <c r="F3257" s="259"/>
      <c r="G3257" s="207">
        <f>SUM(G3239:G3256)/2</f>
        <v>308510</v>
      </c>
    </row>
    <row r="3258" spans="1:7" s="183" customFormat="1">
      <c r="A3258" s="208" t="s">
        <v>40</v>
      </c>
      <c r="B3258" s="259" t="s">
        <v>180</v>
      </c>
      <c r="C3258" s="259"/>
      <c r="D3258" s="259"/>
      <c r="E3258" s="259"/>
      <c r="F3258" s="209">
        <v>0.1</v>
      </c>
      <c r="G3258" s="207">
        <f>G3257*F3258</f>
        <v>30851</v>
      </c>
    </row>
    <row r="3259" spans="1:7" s="183" customFormat="1">
      <c r="A3259" s="208" t="s">
        <v>41</v>
      </c>
      <c r="B3259" s="259" t="s">
        <v>42</v>
      </c>
      <c r="C3259" s="259"/>
      <c r="D3259" s="259"/>
      <c r="E3259" s="259"/>
      <c r="F3259" s="259"/>
      <c r="G3259" s="207">
        <f>G3257+G3258</f>
        <v>339361</v>
      </c>
    </row>
    <row r="3260" spans="1:7" s="183" customFormat="1">
      <c r="A3260" s="210"/>
      <c r="B3260" s="211"/>
      <c r="C3260" s="211"/>
      <c r="D3260" s="211"/>
      <c r="E3260" s="211"/>
      <c r="F3260" s="211"/>
      <c r="G3260" s="212"/>
    </row>
    <row r="3261" spans="1:7" s="183" customFormat="1">
      <c r="A3261" s="213" t="s">
        <v>815</v>
      </c>
      <c r="B3261" s="211"/>
      <c r="C3261" s="211"/>
      <c r="D3261" s="211"/>
      <c r="E3261" s="211"/>
      <c r="F3261" s="211"/>
      <c r="G3261" s="212"/>
    </row>
    <row r="3262" spans="1:7" s="183" customFormat="1" ht="30">
      <c r="A3262" s="193" t="s">
        <v>0</v>
      </c>
      <c r="B3262" s="193" t="s">
        <v>1</v>
      </c>
      <c r="C3262" s="193" t="s">
        <v>207</v>
      </c>
      <c r="D3262" s="193" t="s">
        <v>3</v>
      </c>
      <c r="E3262" s="193" t="s">
        <v>2</v>
      </c>
      <c r="F3262" s="193" t="s">
        <v>417</v>
      </c>
      <c r="G3262" s="193" t="s">
        <v>418</v>
      </c>
    </row>
    <row r="3263" spans="1:7" s="183" customFormat="1">
      <c r="A3263" s="194" t="s">
        <v>4</v>
      </c>
      <c r="B3263" s="195" t="s">
        <v>5</v>
      </c>
      <c r="C3263" s="194"/>
      <c r="D3263" s="196"/>
      <c r="E3263" s="199"/>
      <c r="F3263" s="217"/>
      <c r="G3263" s="217"/>
    </row>
    <row r="3264" spans="1:7" s="183" customFormat="1">
      <c r="A3264" s="194">
        <v>1</v>
      </c>
      <c r="B3264" s="195" t="s">
        <v>48</v>
      </c>
      <c r="C3264" s="194" t="s">
        <v>49</v>
      </c>
      <c r="D3264" s="196" t="s">
        <v>8</v>
      </c>
      <c r="E3264" s="199">
        <v>6.7000000000000004E-2</v>
      </c>
      <c r="F3264" s="200">
        <f>VLOOKUP(B3264,'HSD UPAH,BAHAN,ALAT'!$C$6:F3019,4,FALSE)</f>
        <v>100000</v>
      </c>
      <c r="G3264" s="201">
        <f t="shared" ref="G3264:G3267" si="390">E3264*F3264</f>
        <v>6700</v>
      </c>
    </row>
    <row r="3265" spans="1:7" s="183" customFormat="1">
      <c r="A3265" s="194">
        <v>2</v>
      </c>
      <c r="B3265" s="195" t="s">
        <v>6</v>
      </c>
      <c r="C3265" s="194" t="s">
        <v>7</v>
      </c>
      <c r="D3265" s="196" t="s">
        <v>8</v>
      </c>
      <c r="E3265" s="199">
        <v>6.7000000000000004E-2</v>
      </c>
      <c r="F3265" s="200">
        <f>VLOOKUP(B3265,'HSD UPAH,BAHAN,ALAT'!$C$6:F3021,4,FALSE)</f>
        <v>100000</v>
      </c>
      <c r="G3265" s="201">
        <f t="shared" si="390"/>
        <v>6700</v>
      </c>
    </row>
    <row r="3266" spans="1:7" s="183" customFormat="1">
      <c r="A3266" s="194">
        <v>3</v>
      </c>
      <c r="B3266" s="195" t="s">
        <v>10</v>
      </c>
      <c r="C3266" s="194" t="s">
        <v>11</v>
      </c>
      <c r="D3266" s="196" t="s">
        <v>8</v>
      </c>
      <c r="E3266" s="199">
        <v>3.3000000000000002E-2</v>
      </c>
      <c r="F3266" s="200">
        <f>VLOOKUP(B3266,'HSD UPAH,BAHAN,ALAT'!$C$6:F3022,4,FALSE)</f>
        <v>120000</v>
      </c>
      <c r="G3266" s="201">
        <f t="shared" si="390"/>
        <v>3960</v>
      </c>
    </row>
    <row r="3267" spans="1:7" s="183" customFormat="1">
      <c r="A3267" s="194">
        <v>4</v>
      </c>
      <c r="B3267" s="195" t="s">
        <v>13</v>
      </c>
      <c r="C3267" s="194" t="s">
        <v>14</v>
      </c>
      <c r="D3267" s="196" t="s">
        <v>8</v>
      </c>
      <c r="E3267" s="199">
        <v>1.0999999999999999E-2</v>
      </c>
      <c r="F3267" s="200">
        <f>VLOOKUP(B3267,'HSD UPAH,BAHAN,ALAT'!$C$6:F3023,4,FALSE)</f>
        <v>100000</v>
      </c>
      <c r="G3267" s="201">
        <f t="shared" si="390"/>
        <v>1100</v>
      </c>
    </row>
    <row r="3268" spans="1:7" s="183" customFormat="1">
      <c r="A3268" s="260" t="s">
        <v>420</v>
      </c>
      <c r="B3268" s="260"/>
      <c r="C3268" s="260"/>
      <c r="D3268" s="260"/>
      <c r="E3268" s="260"/>
      <c r="F3268" s="260"/>
      <c r="G3268" s="202">
        <f>SUM(G3265:G3267)</f>
        <v>11760</v>
      </c>
    </row>
    <row r="3269" spans="1:7" s="183" customFormat="1">
      <c r="A3269" s="194" t="s">
        <v>16</v>
      </c>
      <c r="B3269" s="195" t="s">
        <v>17</v>
      </c>
      <c r="C3269" s="194"/>
      <c r="D3269" s="196"/>
      <c r="E3269" s="199"/>
      <c r="F3269" s="217"/>
      <c r="G3269" s="217"/>
    </row>
    <row r="3270" spans="1:7" s="183" customFormat="1" ht="30">
      <c r="A3270" s="203" t="s">
        <v>208</v>
      </c>
      <c r="B3270" s="204" t="s">
        <v>816</v>
      </c>
      <c r="C3270" s="203"/>
      <c r="D3270" s="205" t="s">
        <v>86</v>
      </c>
      <c r="E3270" s="206" t="s">
        <v>87</v>
      </c>
      <c r="F3270" s="200">
        <f>VLOOKUP(B3270,'HSD UPAH,BAHAN,ALAT'!$C$6:F3026,4,FALSE)</f>
        <v>10000</v>
      </c>
      <c r="G3270" s="201">
        <f t="shared" ref="G3270:G3278" si="391">E3270*F3270</f>
        <v>10500</v>
      </c>
    </row>
    <row r="3271" spans="1:7" s="183" customFormat="1">
      <c r="A3271" s="194">
        <v>2</v>
      </c>
      <c r="B3271" s="195" t="s">
        <v>18</v>
      </c>
      <c r="C3271" s="194"/>
      <c r="D3271" s="196" t="s">
        <v>19</v>
      </c>
      <c r="E3271" s="199">
        <v>0.02</v>
      </c>
      <c r="F3271" s="200">
        <f>VLOOKUP(B3271,'HSD UPAH,BAHAN,ALAT'!$C$6:F3027,4,FALSE)</f>
        <v>10000</v>
      </c>
      <c r="G3271" s="201">
        <f t="shared" si="391"/>
        <v>200</v>
      </c>
    </row>
    <row r="3272" spans="1:7" s="183" customFormat="1">
      <c r="A3272" s="194">
        <v>3</v>
      </c>
      <c r="B3272" s="195" t="s">
        <v>21</v>
      </c>
      <c r="C3272" s="194"/>
      <c r="D3272" s="196"/>
      <c r="E3272" s="199"/>
      <c r="F3272" s="200"/>
      <c r="G3272" s="201">
        <f t="shared" si="391"/>
        <v>0</v>
      </c>
    </row>
    <row r="3273" spans="1:7" s="183" customFormat="1">
      <c r="A3273" s="194" t="s">
        <v>22</v>
      </c>
      <c r="B3273" s="195" t="s">
        <v>54</v>
      </c>
      <c r="C3273" s="194"/>
      <c r="D3273" s="196" t="s">
        <v>24</v>
      </c>
      <c r="E3273" s="199">
        <v>18</v>
      </c>
      <c r="F3273" s="200">
        <f>VLOOKUP(B3273,'HSD UPAH,BAHAN,ALAT'!$C$6:F3029,4,FALSE)</f>
        <v>10000</v>
      </c>
      <c r="G3273" s="201">
        <f t="shared" si="391"/>
        <v>180000</v>
      </c>
    </row>
    <row r="3274" spans="1:7" s="183" customFormat="1">
      <c r="A3274" s="194" t="s">
        <v>30</v>
      </c>
      <c r="B3274" s="195" t="s">
        <v>56</v>
      </c>
      <c r="C3274" s="194"/>
      <c r="D3274" s="196" t="s">
        <v>24</v>
      </c>
      <c r="E3274" s="199" t="s">
        <v>57</v>
      </c>
      <c r="F3274" s="200">
        <f>VLOOKUP(B3274,'HSD UPAH,BAHAN,ALAT'!$C$6:F3030,4,FALSE)</f>
        <v>10000</v>
      </c>
      <c r="G3274" s="201">
        <f t="shared" si="391"/>
        <v>100000</v>
      </c>
    </row>
    <row r="3275" spans="1:7" s="183" customFormat="1">
      <c r="A3275" s="194">
        <v>4</v>
      </c>
      <c r="B3275" s="195" t="s">
        <v>26</v>
      </c>
      <c r="C3275" s="194"/>
      <c r="D3275" s="196"/>
      <c r="E3275" s="199"/>
      <c r="F3275" s="200"/>
      <c r="G3275" s="201">
        <f t="shared" si="391"/>
        <v>0</v>
      </c>
    </row>
    <row r="3276" spans="1:7" s="183" customFormat="1">
      <c r="A3276" s="194" t="s">
        <v>22</v>
      </c>
      <c r="B3276" s="195" t="s">
        <v>27</v>
      </c>
      <c r="C3276" s="194"/>
      <c r="D3276" s="196" t="s">
        <v>28</v>
      </c>
      <c r="E3276" s="199">
        <v>0.14599999999999999</v>
      </c>
      <c r="F3276" s="200">
        <f>VLOOKUP(B3276,'HSD UPAH,BAHAN,ALAT'!$C$6:F3032,4,FALSE)</f>
        <v>10000</v>
      </c>
      <c r="G3276" s="201">
        <f t="shared" si="391"/>
        <v>1460</v>
      </c>
    </row>
    <row r="3277" spans="1:7" s="183" customFormat="1">
      <c r="A3277" s="194" t="s">
        <v>30</v>
      </c>
      <c r="B3277" s="195" t="s">
        <v>31</v>
      </c>
      <c r="C3277" s="194"/>
      <c r="D3277" s="196" t="s">
        <v>28</v>
      </c>
      <c r="E3277" s="199">
        <v>3.9E-2</v>
      </c>
      <c r="F3277" s="200">
        <f>VLOOKUP(B3277,'HSD UPAH,BAHAN,ALAT'!$C$6:F3033,4,FALSE)</f>
        <v>10000</v>
      </c>
      <c r="G3277" s="201">
        <f t="shared" si="391"/>
        <v>390</v>
      </c>
    </row>
    <row r="3278" spans="1:7" s="183" customFormat="1">
      <c r="A3278" s="194" t="s">
        <v>33</v>
      </c>
      <c r="B3278" s="195" t="s">
        <v>34</v>
      </c>
      <c r="C3278" s="194"/>
      <c r="D3278" s="196" t="s">
        <v>28</v>
      </c>
      <c r="E3278" s="199">
        <v>0.01</v>
      </c>
      <c r="F3278" s="200">
        <f>VLOOKUP(B3278,'HSD UPAH,BAHAN,ALAT'!$C$6:F3034,4,FALSE)</f>
        <v>10000</v>
      </c>
      <c r="G3278" s="201">
        <f t="shared" si="391"/>
        <v>100</v>
      </c>
    </row>
    <row r="3279" spans="1:7" s="183" customFormat="1">
      <c r="A3279" s="260" t="s">
        <v>421</v>
      </c>
      <c r="B3279" s="260"/>
      <c r="C3279" s="260"/>
      <c r="D3279" s="260"/>
      <c r="E3279" s="260"/>
      <c r="F3279" s="260"/>
      <c r="G3279" s="202">
        <f>SUM(G3270:G3278)</f>
        <v>292650</v>
      </c>
    </row>
    <row r="3280" spans="1:7" s="183" customFormat="1">
      <c r="A3280" s="194" t="s">
        <v>36</v>
      </c>
      <c r="B3280" s="195" t="s">
        <v>37</v>
      </c>
      <c r="C3280" s="194"/>
      <c r="D3280" s="196"/>
      <c r="E3280" s="199"/>
      <c r="F3280" s="217"/>
      <c r="G3280" s="217"/>
    </row>
    <row r="3281" spans="1:7">
      <c r="A3281" s="8">
        <v>1</v>
      </c>
      <c r="B3281" s="1" t="s">
        <v>71</v>
      </c>
      <c r="C3281" s="8"/>
      <c r="D3281" s="9" t="s">
        <v>72</v>
      </c>
      <c r="E3281" s="10">
        <v>0.41</v>
      </c>
      <c r="F3281" s="83">
        <f>VLOOKUP(B3281,'HSD UPAH,BAHAN,ALAT'!$C$6:F2831,4,FALSE)</f>
        <v>10000</v>
      </c>
      <c r="G3281" s="84">
        <f t="shared" ref="G3281" si="392">E3281*F3281</f>
        <v>4100</v>
      </c>
    </row>
    <row r="3282" spans="1:7" s="183" customFormat="1">
      <c r="A3282" s="258" t="s">
        <v>419</v>
      </c>
      <c r="B3282" s="258"/>
      <c r="C3282" s="258"/>
      <c r="D3282" s="258"/>
      <c r="E3282" s="258"/>
      <c r="F3282" s="258"/>
      <c r="G3282" s="207">
        <f>SUM(G3280:G3281)</f>
        <v>4100</v>
      </c>
    </row>
    <row r="3283" spans="1:7" s="183" customFormat="1">
      <c r="A3283" s="208" t="s">
        <v>38</v>
      </c>
      <c r="B3283" s="259" t="s">
        <v>39</v>
      </c>
      <c r="C3283" s="259"/>
      <c r="D3283" s="259"/>
      <c r="E3283" s="259"/>
      <c r="F3283" s="259"/>
      <c r="G3283" s="207">
        <f>SUM(G3265:G3282)/2</f>
        <v>308510</v>
      </c>
    </row>
    <row r="3284" spans="1:7" s="183" customFormat="1">
      <c r="A3284" s="208" t="s">
        <v>40</v>
      </c>
      <c r="B3284" s="259" t="s">
        <v>180</v>
      </c>
      <c r="C3284" s="259"/>
      <c r="D3284" s="259"/>
      <c r="E3284" s="259"/>
      <c r="F3284" s="209">
        <v>0.1</v>
      </c>
      <c r="G3284" s="207">
        <f>G3283*F3284</f>
        <v>30851</v>
      </c>
    </row>
    <row r="3285" spans="1:7" s="183" customFormat="1">
      <c r="A3285" s="208" t="s">
        <v>41</v>
      </c>
      <c r="B3285" s="259" t="s">
        <v>42</v>
      </c>
      <c r="C3285" s="259"/>
      <c r="D3285" s="259"/>
      <c r="E3285" s="259"/>
      <c r="F3285" s="259"/>
      <c r="G3285" s="207">
        <f>G3283+G3284</f>
        <v>339361</v>
      </c>
    </row>
    <row r="3286" spans="1:7" s="183" customFormat="1">
      <c r="A3286" s="210"/>
      <c r="B3286" s="211"/>
      <c r="C3286" s="211"/>
      <c r="D3286" s="211"/>
      <c r="E3286" s="211"/>
      <c r="F3286" s="211"/>
      <c r="G3286" s="212"/>
    </row>
    <row r="3287" spans="1:7" s="183" customFormat="1">
      <c r="A3287" s="213" t="s">
        <v>817</v>
      </c>
      <c r="B3287" s="211"/>
      <c r="C3287" s="211"/>
      <c r="D3287" s="211"/>
      <c r="E3287" s="211"/>
      <c r="F3287" s="211"/>
      <c r="G3287" s="212"/>
    </row>
    <row r="3288" spans="1:7" s="183" customFormat="1" ht="30">
      <c r="A3288" s="193" t="s">
        <v>0</v>
      </c>
      <c r="B3288" s="193" t="s">
        <v>1</v>
      </c>
      <c r="C3288" s="193" t="s">
        <v>207</v>
      </c>
      <c r="D3288" s="193" t="s">
        <v>3</v>
      </c>
      <c r="E3288" s="193" t="s">
        <v>2</v>
      </c>
      <c r="F3288" s="193" t="s">
        <v>417</v>
      </c>
      <c r="G3288" s="193" t="s">
        <v>418</v>
      </c>
    </row>
    <row r="3289" spans="1:7" s="183" customFormat="1">
      <c r="A3289" s="194" t="s">
        <v>4</v>
      </c>
      <c r="B3289" s="195" t="s">
        <v>5</v>
      </c>
      <c r="C3289" s="194"/>
      <c r="D3289" s="196"/>
      <c r="E3289" s="199"/>
      <c r="F3289" s="217"/>
      <c r="G3289" s="217"/>
    </row>
    <row r="3290" spans="1:7" s="183" customFormat="1">
      <c r="A3290" s="194">
        <v>1</v>
      </c>
      <c r="B3290" s="195" t="s">
        <v>48</v>
      </c>
      <c r="C3290" s="194" t="s">
        <v>49</v>
      </c>
      <c r="D3290" s="196" t="s">
        <v>8</v>
      </c>
      <c r="E3290" s="199">
        <v>6.7000000000000004E-2</v>
      </c>
      <c r="F3290" s="200">
        <f>VLOOKUP(B3290,'HSD UPAH,BAHAN,ALAT'!$C$6:F3044,4,FALSE)</f>
        <v>100000</v>
      </c>
      <c r="G3290" s="201">
        <f t="shared" ref="G3290:G3293" si="393">E3290*F3290</f>
        <v>6700</v>
      </c>
    </row>
    <row r="3291" spans="1:7" s="183" customFormat="1">
      <c r="A3291" s="194">
        <v>2</v>
      </c>
      <c r="B3291" s="195" t="s">
        <v>6</v>
      </c>
      <c r="C3291" s="194" t="s">
        <v>7</v>
      </c>
      <c r="D3291" s="196" t="s">
        <v>8</v>
      </c>
      <c r="E3291" s="199">
        <v>6.7000000000000004E-2</v>
      </c>
      <c r="F3291" s="200">
        <f>VLOOKUP(B3291,'HSD UPAH,BAHAN,ALAT'!$C$6:F3046,4,FALSE)</f>
        <v>100000</v>
      </c>
      <c r="G3291" s="201">
        <f t="shared" si="393"/>
        <v>6700</v>
      </c>
    </row>
    <row r="3292" spans="1:7" s="183" customFormat="1">
      <c r="A3292" s="194">
        <v>3</v>
      </c>
      <c r="B3292" s="195" t="s">
        <v>10</v>
      </c>
      <c r="C3292" s="194" t="s">
        <v>11</v>
      </c>
      <c r="D3292" s="196" t="s">
        <v>8</v>
      </c>
      <c r="E3292" s="199">
        <v>3.3000000000000002E-2</v>
      </c>
      <c r="F3292" s="200">
        <f>VLOOKUP(B3292,'HSD UPAH,BAHAN,ALAT'!$C$6:F3047,4,FALSE)</f>
        <v>120000</v>
      </c>
      <c r="G3292" s="201">
        <f t="shared" si="393"/>
        <v>3960</v>
      </c>
    </row>
    <row r="3293" spans="1:7" s="183" customFormat="1">
      <c r="A3293" s="194">
        <v>4</v>
      </c>
      <c r="B3293" s="195" t="s">
        <v>13</v>
      </c>
      <c r="C3293" s="194" t="s">
        <v>14</v>
      </c>
      <c r="D3293" s="196" t="s">
        <v>8</v>
      </c>
      <c r="E3293" s="199">
        <v>1.0999999999999999E-2</v>
      </c>
      <c r="F3293" s="200">
        <f>VLOOKUP(B3293,'HSD UPAH,BAHAN,ALAT'!$C$6:F3048,4,FALSE)</f>
        <v>100000</v>
      </c>
      <c r="G3293" s="201">
        <f t="shared" si="393"/>
        <v>1100</v>
      </c>
    </row>
    <row r="3294" spans="1:7" s="183" customFormat="1">
      <c r="A3294" s="260" t="s">
        <v>420</v>
      </c>
      <c r="B3294" s="260"/>
      <c r="C3294" s="260"/>
      <c r="D3294" s="260"/>
      <c r="E3294" s="260"/>
      <c r="F3294" s="260"/>
      <c r="G3294" s="202">
        <f>SUM(G3291:G3293)</f>
        <v>11760</v>
      </c>
    </row>
    <row r="3295" spans="1:7" s="183" customFormat="1">
      <c r="A3295" s="194" t="s">
        <v>16</v>
      </c>
      <c r="B3295" s="195" t="s">
        <v>17</v>
      </c>
      <c r="C3295" s="194"/>
      <c r="D3295" s="196"/>
      <c r="E3295" s="199"/>
      <c r="F3295" s="217"/>
      <c r="G3295" s="217"/>
    </row>
    <row r="3296" spans="1:7" s="183" customFormat="1" ht="30">
      <c r="A3296" s="203" t="s">
        <v>208</v>
      </c>
      <c r="B3296" s="204" t="s">
        <v>818</v>
      </c>
      <c r="C3296" s="203"/>
      <c r="D3296" s="205" t="s">
        <v>86</v>
      </c>
      <c r="E3296" s="206" t="s">
        <v>87</v>
      </c>
      <c r="F3296" s="200">
        <f>VLOOKUP(B3296,'HSD UPAH,BAHAN,ALAT'!$C$6:F3051,4,FALSE)</f>
        <v>10000</v>
      </c>
      <c r="G3296" s="201">
        <f t="shared" ref="G3296:G3304" si="394">E3296*F3296</f>
        <v>10500</v>
      </c>
    </row>
    <row r="3297" spans="1:7" s="183" customFormat="1">
      <c r="A3297" s="194">
        <v>2</v>
      </c>
      <c r="B3297" s="195" t="s">
        <v>18</v>
      </c>
      <c r="C3297" s="194"/>
      <c r="D3297" s="196" t="s">
        <v>19</v>
      </c>
      <c r="E3297" s="199">
        <v>0.02</v>
      </c>
      <c r="F3297" s="200">
        <f>VLOOKUP(B3297,'HSD UPAH,BAHAN,ALAT'!$C$6:F3052,4,FALSE)</f>
        <v>10000</v>
      </c>
      <c r="G3297" s="201">
        <f t="shared" si="394"/>
        <v>200</v>
      </c>
    </row>
    <row r="3298" spans="1:7" s="183" customFormat="1">
      <c r="A3298" s="194">
        <v>3</v>
      </c>
      <c r="B3298" s="195" t="s">
        <v>21</v>
      </c>
      <c r="C3298" s="194"/>
      <c r="D3298" s="196"/>
      <c r="E3298" s="199"/>
      <c r="F3298" s="200"/>
      <c r="G3298" s="201">
        <f t="shared" si="394"/>
        <v>0</v>
      </c>
    </row>
    <row r="3299" spans="1:7" s="183" customFormat="1">
      <c r="A3299" s="194" t="s">
        <v>22</v>
      </c>
      <c r="B3299" s="195" t="s">
        <v>54</v>
      </c>
      <c r="C3299" s="194"/>
      <c r="D3299" s="196" t="s">
        <v>24</v>
      </c>
      <c r="E3299" s="199">
        <v>18</v>
      </c>
      <c r="F3299" s="200">
        <f>VLOOKUP(B3299,'HSD UPAH,BAHAN,ALAT'!$C$6:F3054,4,FALSE)</f>
        <v>10000</v>
      </c>
      <c r="G3299" s="201">
        <f t="shared" si="394"/>
        <v>180000</v>
      </c>
    </row>
    <row r="3300" spans="1:7" s="183" customFormat="1">
      <c r="A3300" s="194" t="s">
        <v>30</v>
      </c>
      <c r="B3300" s="195" t="s">
        <v>56</v>
      </c>
      <c r="C3300" s="194"/>
      <c r="D3300" s="196" t="s">
        <v>24</v>
      </c>
      <c r="E3300" s="199" t="s">
        <v>57</v>
      </c>
      <c r="F3300" s="200">
        <f>VLOOKUP(B3300,'HSD UPAH,BAHAN,ALAT'!$C$6:F3055,4,FALSE)</f>
        <v>10000</v>
      </c>
      <c r="G3300" s="201">
        <f t="shared" si="394"/>
        <v>100000</v>
      </c>
    </row>
    <row r="3301" spans="1:7" s="183" customFormat="1">
      <c r="A3301" s="194">
        <v>4</v>
      </c>
      <c r="B3301" s="195" t="s">
        <v>26</v>
      </c>
      <c r="C3301" s="194"/>
      <c r="D3301" s="196"/>
      <c r="E3301" s="199"/>
      <c r="F3301" s="200"/>
      <c r="G3301" s="201">
        <f t="shared" si="394"/>
        <v>0</v>
      </c>
    </row>
    <row r="3302" spans="1:7" s="183" customFormat="1">
      <c r="A3302" s="194" t="s">
        <v>22</v>
      </c>
      <c r="B3302" s="195" t="s">
        <v>27</v>
      </c>
      <c r="C3302" s="194"/>
      <c r="D3302" s="196" t="s">
        <v>28</v>
      </c>
      <c r="E3302" s="199">
        <v>0.14599999999999999</v>
      </c>
      <c r="F3302" s="200">
        <f>VLOOKUP(B3302,'HSD UPAH,BAHAN,ALAT'!$C$6:F3057,4,FALSE)</f>
        <v>10000</v>
      </c>
      <c r="G3302" s="201">
        <f t="shared" si="394"/>
        <v>1460</v>
      </c>
    </row>
    <row r="3303" spans="1:7" s="183" customFormat="1">
      <c r="A3303" s="194" t="s">
        <v>30</v>
      </c>
      <c r="B3303" s="195" t="s">
        <v>31</v>
      </c>
      <c r="C3303" s="194"/>
      <c r="D3303" s="196" t="s">
        <v>28</v>
      </c>
      <c r="E3303" s="199">
        <v>3.9E-2</v>
      </c>
      <c r="F3303" s="200">
        <f>VLOOKUP(B3303,'HSD UPAH,BAHAN,ALAT'!$C$6:F3058,4,FALSE)</f>
        <v>10000</v>
      </c>
      <c r="G3303" s="201">
        <f t="shared" si="394"/>
        <v>390</v>
      </c>
    </row>
    <row r="3304" spans="1:7" s="183" customFormat="1">
      <c r="A3304" s="194" t="s">
        <v>33</v>
      </c>
      <c r="B3304" s="195" t="s">
        <v>34</v>
      </c>
      <c r="C3304" s="194"/>
      <c r="D3304" s="196" t="s">
        <v>28</v>
      </c>
      <c r="E3304" s="199">
        <v>0.01</v>
      </c>
      <c r="F3304" s="200">
        <f>VLOOKUP(B3304,'HSD UPAH,BAHAN,ALAT'!$C$6:F3059,4,FALSE)</f>
        <v>10000</v>
      </c>
      <c r="G3304" s="201">
        <f t="shared" si="394"/>
        <v>100</v>
      </c>
    </row>
    <row r="3305" spans="1:7" s="183" customFormat="1">
      <c r="A3305" s="260" t="s">
        <v>421</v>
      </c>
      <c r="B3305" s="260"/>
      <c r="C3305" s="260"/>
      <c r="D3305" s="260"/>
      <c r="E3305" s="260"/>
      <c r="F3305" s="260"/>
      <c r="G3305" s="202">
        <f>SUM(G3296:G3304)</f>
        <v>292650</v>
      </c>
    </row>
    <row r="3306" spans="1:7" s="183" customFormat="1">
      <c r="A3306" s="194" t="s">
        <v>36</v>
      </c>
      <c r="B3306" s="195" t="s">
        <v>37</v>
      </c>
      <c r="C3306" s="194"/>
      <c r="D3306" s="196"/>
      <c r="E3306" s="199"/>
      <c r="F3306" s="217"/>
      <c r="G3306" s="217"/>
    </row>
    <row r="3307" spans="1:7">
      <c r="A3307" s="8">
        <v>1</v>
      </c>
      <c r="B3307" s="1" t="s">
        <v>71</v>
      </c>
      <c r="C3307" s="8"/>
      <c r="D3307" s="9" t="s">
        <v>72</v>
      </c>
      <c r="E3307" s="10">
        <v>0.41</v>
      </c>
      <c r="F3307" s="83">
        <f>VLOOKUP(B3307,'HSD UPAH,BAHAN,ALAT'!$C$6:F2856,4,FALSE)</f>
        <v>10000</v>
      </c>
      <c r="G3307" s="84">
        <f t="shared" ref="G3307" si="395">E3307*F3307</f>
        <v>4100</v>
      </c>
    </row>
    <row r="3308" spans="1:7" s="183" customFormat="1">
      <c r="A3308" s="258" t="s">
        <v>419</v>
      </c>
      <c r="B3308" s="258"/>
      <c r="C3308" s="258"/>
      <c r="D3308" s="258"/>
      <c r="E3308" s="258"/>
      <c r="F3308" s="258"/>
      <c r="G3308" s="207">
        <f>SUM(G3306:G3307)</f>
        <v>4100</v>
      </c>
    </row>
    <row r="3309" spans="1:7" s="183" customFormat="1">
      <c r="A3309" s="208" t="s">
        <v>38</v>
      </c>
      <c r="B3309" s="259" t="s">
        <v>39</v>
      </c>
      <c r="C3309" s="259"/>
      <c r="D3309" s="259"/>
      <c r="E3309" s="259"/>
      <c r="F3309" s="259"/>
      <c r="G3309" s="207">
        <f>SUM(G3291:G3308)/2</f>
        <v>308510</v>
      </c>
    </row>
    <row r="3310" spans="1:7" s="183" customFormat="1">
      <c r="A3310" s="208" t="s">
        <v>40</v>
      </c>
      <c r="B3310" s="259" t="s">
        <v>180</v>
      </c>
      <c r="C3310" s="259"/>
      <c r="D3310" s="259"/>
      <c r="E3310" s="259"/>
      <c r="F3310" s="209">
        <v>0.1</v>
      </c>
      <c r="G3310" s="207">
        <f>G3309*F3310</f>
        <v>30851</v>
      </c>
    </row>
    <row r="3311" spans="1:7" s="183" customFormat="1">
      <c r="A3311" s="208" t="s">
        <v>41</v>
      </c>
      <c r="B3311" s="259" t="s">
        <v>42</v>
      </c>
      <c r="C3311" s="259"/>
      <c r="D3311" s="259"/>
      <c r="E3311" s="259"/>
      <c r="F3311" s="259"/>
      <c r="G3311" s="207">
        <f>G3309+G3310</f>
        <v>339361</v>
      </c>
    </row>
    <row r="3312" spans="1:7" s="183" customFormat="1">
      <c r="A3312" s="210"/>
      <c r="B3312" s="211"/>
      <c r="C3312" s="211"/>
      <c r="D3312" s="211"/>
      <c r="E3312" s="211"/>
      <c r="F3312" s="211"/>
      <c r="G3312" s="212"/>
    </row>
    <row r="3313" spans="1:7">
      <c r="A3313" s="90"/>
      <c r="B3313" s="91"/>
      <c r="C3313" s="91"/>
      <c r="D3313" s="91"/>
      <c r="E3313" s="91"/>
      <c r="F3313" s="91"/>
      <c r="G3313" s="92"/>
    </row>
    <row r="3314" spans="1:7">
      <c r="A3314" s="4" t="s">
        <v>429</v>
      </c>
      <c r="B3314" s="91"/>
      <c r="C3314" s="91"/>
      <c r="D3314" s="91"/>
      <c r="E3314" s="91"/>
      <c r="F3314" s="91"/>
      <c r="G3314" s="92"/>
    </row>
    <row r="3315" spans="1:7">
      <c r="A3315" s="4" t="s">
        <v>466</v>
      </c>
      <c r="B3315" s="91"/>
      <c r="C3315" s="91"/>
      <c r="D3315" s="91"/>
      <c r="E3315" s="91"/>
      <c r="F3315" s="91"/>
      <c r="G3315" s="92"/>
    </row>
    <row r="3316" spans="1:7">
      <c r="A3316" s="4" t="s">
        <v>583</v>
      </c>
      <c r="B3316" s="91"/>
      <c r="C3316" s="91"/>
      <c r="D3316" s="91"/>
      <c r="E3316" s="91"/>
      <c r="F3316" s="91"/>
      <c r="G3316" s="92"/>
    </row>
    <row r="3317" spans="1:7" ht="30">
      <c r="A3317" s="79" t="s">
        <v>0</v>
      </c>
      <c r="B3317" s="79" t="s">
        <v>1</v>
      </c>
      <c r="C3317" s="79" t="s">
        <v>207</v>
      </c>
      <c r="D3317" s="79" t="s">
        <v>3</v>
      </c>
      <c r="E3317" s="79" t="s">
        <v>2</v>
      </c>
      <c r="F3317" s="79" t="s">
        <v>417</v>
      </c>
      <c r="G3317" s="79" t="s">
        <v>418</v>
      </c>
    </row>
    <row r="3318" spans="1:7">
      <c r="A3318" s="8" t="s">
        <v>4</v>
      </c>
      <c r="B3318" s="1" t="s">
        <v>5</v>
      </c>
      <c r="C3318" s="8"/>
      <c r="D3318" s="9"/>
      <c r="E3318" s="19"/>
      <c r="F3318" s="2"/>
      <c r="G3318" s="2"/>
    </row>
    <row r="3319" spans="1:7">
      <c r="A3319" s="8">
        <v>1</v>
      </c>
      <c r="B3319" s="1" t="s">
        <v>6</v>
      </c>
      <c r="C3319" s="8" t="s">
        <v>7</v>
      </c>
      <c r="D3319" s="9" t="s">
        <v>8</v>
      </c>
      <c r="E3319" s="10" t="s">
        <v>92</v>
      </c>
      <c r="F3319" s="86">
        <f>VLOOKUP(B3319,'HSD UPAH,BAHAN,ALAT'!$C$6:F3261,4,FALSE)</f>
        <v>100000</v>
      </c>
      <c r="G3319" s="87">
        <f t="shared" ref="G3319:G3321" si="396">E3319*F3319</f>
        <v>5000</v>
      </c>
    </row>
    <row r="3320" spans="1:7">
      <c r="A3320" s="8">
        <v>2</v>
      </c>
      <c r="B3320" s="1" t="s">
        <v>10</v>
      </c>
      <c r="C3320" s="8" t="s">
        <v>11</v>
      </c>
      <c r="D3320" s="9" t="s">
        <v>8</v>
      </c>
      <c r="E3320" s="10" t="s">
        <v>93</v>
      </c>
      <c r="F3320" s="86">
        <f>VLOOKUP(B3320,'HSD UPAH,BAHAN,ALAT'!$C$6:F3262,4,FALSE)</f>
        <v>120000</v>
      </c>
      <c r="G3320" s="87">
        <f t="shared" si="396"/>
        <v>1200</v>
      </c>
    </row>
    <row r="3321" spans="1:7">
      <c r="A3321" s="8">
        <v>3</v>
      </c>
      <c r="B3321" s="1" t="s">
        <v>13</v>
      </c>
      <c r="C3321" s="8" t="s">
        <v>14</v>
      </c>
      <c r="D3321" s="9" t="s">
        <v>8</v>
      </c>
      <c r="E3321" s="10" t="s">
        <v>94</v>
      </c>
      <c r="F3321" s="86">
        <f>VLOOKUP(B3321,'HSD UPAH,BAHAN,ALAT'!$C$6:F3263,4,FALSE)</f>
        <v>100000</v>
      </c>
      <c r="G3321" s="87">
        <f t="shared" si="396"/>
        <v>330</v>
      </c>
    </row>
    <row r="3322" spans="1:7">
      <c r="A3322" s="261" t="s">
        <v>420</v>
      </c>
      <c r="B3322" s="261"/>
      <c r="C3322" s="261"/>
      <c r="D3322" s="261"/>
      <c r="E3322" s="261"/>
      <c r="F3322" s="261"/>
      <c r="G3322" s="85">
        <f>SUM(G3318:G3321)</f>
        <v>6530</v>
      </c>
    </row>
    <row r="3323" spans="1:7">
      <c r="A3323" s="8" t="s">
        <v>16</v>
      </c>
      <c r="B3323" s="1" t="s">
        <v>17</v>
      </c>
      <c r="C3323" s="8"/>
      <c r="D3323" s="9"/>
      <c r="E3323" s="19"/>
      <c r="F3323" s="2"/>
      <c r="G3323" s="2"/>
    </row>
    <row r="3324" spans="1:7" ht="45">
      <c r="A3324" s="17" t="s">
        <v>208</v>
      </c>
      <c r="B3324" s="5" t="s">
        <v>320</v>
      </c>
      <c r="C3324" s="8"/>
      <c r="D3324" s="12" t="s">
        <v>86</v>
      </c>
      <c r="E3324" s="7" t="s">
        <v>211</v>
      </c>
      <c r="F3324" s="86">
        <f>VLOOKUP(B3324,'HSD UPAH,BAHAN,ALAT'!$C$6:F3266,4,FALSE)</f>
        <v>10000</v>
      </c>
      <c r="G3324" s="87">
        <f t="shared" ref="G3324:G3325" si="397">E3324*F3324</f>
        <v>250000</v>
      </c>
    </row>
    <row r="3325" spans="1:7">
      <c r="A3325" s="8">
        <v>2</v>
      </c>
      <c r="B3325" s="1" t="s">
        <v>18</v>
      </c>
      <c r="C3325" s="8"/>
      <c r="D3325" s="9" t="s">
        <v>19</v>
      </c>
      <c r="E3325" s="10">
        <v>5.0000000000000001E-3</v>
      </c>
      <c r="F3325" s="86">
        <f>VLOOKUP(B3325,'HSD UPAH,BAHAN,ALAT'!$C$6:F3267,4,FALSE)</f>
        <v>10000</v>
      </c>
      <c r="G3325" s="87">
        <f t="shared" si="397"/>
        <v>50</v>
      </c>
    </row>
    <row r="3326" spans="1:7">
      <c r="A3326" s="8">
        <v>3</v>
      </c>
      <c r="B3326" s="1" t="s">
        <v>26</v>
      </c>
      <c r="C3326" s="8"/>
      <c r="D3326" s="9"/>
      <c r="E3326" s="19"/>
      <c r="F3326" s="2"/>
      <c r="G3326" s="2"/>
    </row>
    <row r="3327" spans="1:7">
      <c r="A3327" s="8" t="s">
        <v>22</v>
      </c>
      <c r="B3327" s="1" t="s">
        <v>27</v>
      </c>
      <c r="C3327" s="8"/>
      <c r="D3327" s="9" t="s">
        <v>28</v>
      </c>
      <c r="E3327" s="10" t="s">
        <v>20</v>
      </c>
      <c r="F3327" s="86">
        <f>VLOOKUP(B3327,'HSD UPAH,BAHAN,ALAT'!$C$6:F3269,4,FALSE)</f>
        <v>10000</v>
      </c>
      <c r="G3327" s="87">
        <f t="shared" ref="G3327:G3329" si="398">E3327*F3327</f>
        <v>50</v>
      </c>
    </row>
    <row r="3328" spans="1:7">
      <c r="A3328" s="8" t="s">
        <v>30</v>
      </c>
      <c r="B3328" s="1" t="s">
        <v>31</v>
      </c>
      <c r="C3328" s="8"/>
      <c r="D3328" s="9" t="s">
        <v>28</v>
      </c>
      <c r="E3328" s="10" t="s">
        <v>95</v>
      </c>
      <c r="F3328" s="86">
        <f>VLOOKUP(B3328,'HSD UPAH,BAHAN,ALAT'!$C$6:F3270,4,FALSE)</f>
        <v>10000</v>
      </c>
      <c r="G3328" s="87">
        <f t="shared" si="398"/>
        <v>10</v>
      </c>
    </row>
    <row r="3329" spans="1:7">
      <c r="A3329" s="8" t="s">
        <v>33</v>
      </c>
      <c r="B3329" s="1" t="s">
        <v>34</v>
      </c>
      <c r="C3329" s="8"/>
      <c r="D3329" s="9" t="s">
        <v>28</v>
      </c>
      <c r="E3329" s="10" t="s">
        <v>96</v>
      </c>
      <c r="F3329" s="86">
        <f>VLOOKUP(B3329,'HSD UPAH,BAHAN,ALAT'!$C$6:F3271,4,FALSE)</f>
        <v>10000</v>
      </c>
      <c r="G3329" s="87">
        <f t="shared" si="398"/>
        <v>3.25</v>
      </c>
    </row>
    <row r="3330" spans="1:7">
      <c r="A3330" s="261" t="s">
        <v>421</v>
      </c>
      <c r="B3330" s="261"/>
      <c r="C3330" s="261"/>
      <c r="D3330" s="261"/>
      <c r="E3330" s="261"/>
      <c r="F3330" s="261"/>
      <c r="G3330" s="85">
        <f>SUM(G3324:G3329)</f>
        <v>250113.25</v>
      </c>
    </row>
    <row r="3331" spans="1:7">
      <c r="A3331" s="8" t="s">
        <v>36</v>
      </c>
      <c r="B3331" s="1" t="s">
        <v>37</v>
      </c>
      <c r="C3331" s="8"/>
      <c r="D3331" s="9"/>
      <c r="E3331" s="19"/>
      <c r="F3331" s="2"/>
      <c r="G3331" s="2"/>
    </row>
    <row r="3332" spans="1:7">
      <c r="A3332" s="263" t="s">
        <v>419</v>
      </c>
      <c r="B3332" s="263"/>
      <c r="C3332" s="263"/>
      <c r="D3332" s="263"/>
      <c r="E3332" s="263"/>
      <c r="F3332" s="263"/>
      <c r="G3332" s="80">
        <f>SUM(G3331)</f>
        <v>0</v>
      </c>
    </row>
    <row r="3333" spans="1:7">
      <c r="A3333" s="81" t="s">
        <v>38</v>
      </c>
      <c r="B3333" s="262" t="s">
        <v>39</v>
      </c>
      <c r="C3333" s="262"/>
      <c r="D3333" s="262"/>
      <c r="E3333" s="262"/>
      <c r="F3333" s="262"/>
      <c r="G3333" s="80">
        <f>SUM(G3319:G3332)/2</f>
        <v>256643.25</v>
      </c>
    </row>
    <row r="3334" spans="1:7">
      <c r="A3334" s="81" t="s">
        <v>40</v>
      </c>
      <c r="B3334" s="262" t="s">
        <v>180</v>
      </c>
      <c r="C3334" s="262"/>
      <c r="D3334" s="262"/>
      <c r="E3334" s="262"/>
      <c r="F3334" s="82">
        <v>0.1</v>
      </c>
      <c r="G3334" s="80">
        <f>G3333*F3334</f>
        <v>25664.325000000001</v>
      </c>
    </row>
    <row r="3335" spans="1:7">
      <c r="A3335" s="81" t="s">
        <v>41</v>
      </c>
      <c r="B3335" s="262" t="s">
        <v>42</v>
      </c>
      <c r="C3335" s="262"/>
      <c r="D3335" s="262"/>
      <c r="E3335" s="262"/>
      <c r="F3335" s="262"/>
      <c r="G3335" s="80">
        <f>G3333+G3334</f>
        <v>282307.57500000001</v>
      </c>
    </row>
    <row r="3336" spans="1:7">
      <c r="A3336" s="90"/>
      <c r="B3336" s="91"/>
      <c r="C3336" s="91"/>
      <c r="D3336" s="91"/>
      <c r="E3336" s="91"/>
      <c r="F3336" s="91"/>
      <c r="G3336" s="92"/>
    </row>
    <row r="3337" spans="1:7">
      <c r="A3337" s="4" t="s">
        <v>584</v>
      </c>
      <c r="B3337" s="91"/>
      <c r="C3337" s="91"/>
      <c r="D3337" s="91"/>
      <c r="E3337" s="91"/>
      <c r="F3337" s="91"/>
      <c r="G3337" s="92"/>
    </row>
    <row r="3338" spans="1:7" ht="30">
      <c r="A3338" s="79" t="s">
        <v>0</v>
      </c>
      <c r="B3338" s="79" t="s">
        <v>1</v>
      </c>
      <c r="C3338" s="79" t="s">
        <v>207</v>
      </c>
      <c r="D3338" s="79" t="s">
        <v>3</v>
      </c>
      <c r="E3338" s="79" t="s">
        <v>2</v>
      </c>
      <c r="F3338" s="79" t="s">
        <v>417</v>
      </c>
      <c r="G3338" s="79" t="s">
        <v>418</v>
      </c>
    </row>
    <row r="3339" spans="1:7">
      <c r="A3339" s="8" t="s">
        <v>4</v>
      </c>
      <c r="B3339" s="1" t="s">
        <v>5</v>
      </c>
      <c r="C3339" s="8"/>
      <c r="D3339" s="9"/>
      <c r="E3339" s="19"/>
      <c r="F3339" s="2"/>
      <c r="G3339" s="2"/>
    </row>
    <row r="3340" spans="1:7">
      <c r="A3340" s="8">
        <v>1</v>
      </c>
      <c r="B3340" s="1" t="s">
        <v>6</v>
      </c>
      <c r="C3340" s="8" t="s">
        <v>7</v>
      </c>
      <c r="D3340" s="9" t="s">
        <v>8</v>
      </c>
      <c r="E3340" s="10" t="s">
        <v>92</v>
      </c>
      <c r="F3340" s="86">
        <f>VLOOKUP(B3340,'HSD UPAH,BAHAN,ALAT'!$C$6:F3280,4,FALSE)</f>
        <v>100000</v>
      </c>
      <c r="G3340" s="87">
        <f t="shared" ref="G3340:G3342" si="399">E3340*F3340</f>
        <v>5000</v>
      </c>
    </row>
    <row r="3341" spans="1:7">
      <c r="A3341" s="8">
        <v>2</v>
      </c>
      <c r="B3341" s="1" t="s">
        <v>10</v>
      </c>
      <c r="C3341" s="8" t="s">
        <v>11</v>
      </c>
      <c r="D3341" s="9" t="s">
        <v>8</v>
      </c>
      <c r="E3341" s="10" t="s">
        <v>93</v>
      </c>
      <c r="F3341" s="86">
        <f>VLOOKUP(B3341,'HSD UPAH,BAHAN,ALAT'!$C$6:F3281,4,FALSE)</f>
        <v>120000</v>
      </c>
      <c r="G3341" s="87">
        <f t="shared" si="399"/>
        <v>1200</v>
      </c>
    </row>
    <row r="3342" spans="1:7">
      <c r="A3342" s="8">
        <v>3</v>
      </c>
      <c r="B3342" s="1" t="s">
        <v>13</v>
      </c>
      <c r="C3342" s="8" t="s">
        <v>14</v>
      </c>
      <c r="D3342" s="9" t="s">
        <v>8</v>
      </c>
      <c r="E3342" s="10" t="s">
        <v>94</v>
      </c>
      <c r="F3342" s="86">
        <f>VLOOKUP(B3342,'HSD UPAH,BAHAN,ALAT'!$C$6:F3282,4,FALSE)</f>
        <v>100000</v>
      </c>
      <c r="G3342" s="87">
        <f t="shared" si="399"/>
        <v>330</v>
      </c>
    </row>
    <row r="3343" spans="1:7">
      <c r="A3343" s="261" t="s">
        <v>420</v>
      </c>
      <c r="B3343" s="261"/>
      <c r="C3343" s="261"/>
      <c r="D3343" s="261"/>
      <c r="E3343" s="261"/>
      <c r="F3343" s="261"/>
      <c r="G3343" s="85">
        <f>SUM(G3339:G3342)</f>
        <v>6530</v>
      </c>
    </row>
    <row r="3344" spans="1:7">
      <c r="A3344" s="8" t="s">
        <v>16</v>
      </c>
      <c r="B3344" s="1" t="s">
        <v>17</v>
      </c>
      <c r="C3344" s="8"/>
      <c r="D3344" s="9"/>
      <c r="E3344" s="19"/>
      <c r="F3344" s="2"/>
      <c r="G3344" s="2"/>
    </row>
    <row r="3345" spans="1:7" ht="30">
      <c r="A3345" s="17" t="s">
        <v>208</v>
      </c>
      <c r="B3345" s="5" t="s">
        <v>321</v>
      </c>
      <c r="C3345" s="8"/>
      <c r="D3345" s="12" t="s">
        <v>86</v>
      </c>
      <c r="E3345" s="7">
        <v>36</v>
      </c>
      <c r="F3345" s="86">
        <f>VLOOKUP(B3345,'HSD UPAH,BAHAN,ALAT'!$C$6:F3285,4,FALSE)</f>
        <v>10000</v>
      </c>
      <c r="G3345" s="87">
        <f t="shared" ref="G3345:G3346" si="400">E3345*F3345</f>
        <v>360000</v>
      </c>
    </row>
    <row r="3346" spans="1:7">
      <c r="A3346" s="8">
        <v>2</v>
      </c>
      <c r="B3346" s="1" t="s">
        <v>18</v>
      </c>
      <c r="C3346" s="8"/>
      <c r="D3346" s="9" t="s">
        <v>19</v>
      </c>
      <c r="E3346" s="10">
        <v>5.0000000000000001E-3</v>
      </c>
      <c r="F3346" s="86">
        <f>VLOOKUP(B3346,'HSD UPAH,BAHAN,ALAT'!$C$6:F3286,4,FALSE)</f>
        <v>10000</v>
      </c>
      <c r="G3346" s="87">
        <f t="shared" si="400"/>
        <v>50</v>
      </c>
    </row>
    <row r="3347" spans="1:7">
      <c r="A3347" s="8">
        <v>3</v>
      </c>
      <c r="B3347" s="1" t="s">
        <v>26</v>
      </c>
      <c r="C3347" s="8"/>
      <c r="D3347" s="9"/>
      <c r="E3347" s="19"/>
      <c r="F3347" s="2"/>
      <c r="G3347" s="2"/>
    </row>
    <row r="3348" spans="1:7">
      <c r="A3348" s="8" t="s">
        <v>22</v>
      </c>
      <c r="B3348" s="1" t="s">
        <v>27</v>
      </c>
      <c r="C3348" s="8"/>
      <c r="D3348" s="9" t="s">
        <v>28</v>
      </c>
      <c r="E3348" s="10" t="s">
        <v>20</v>
      </c>
      <c r="F3348" s="86">
        <f>VLOOKUP(B3348,'HSD UPAH,BAHAN,ALAT'!$C$6:F3288,4,FALSE)</f>
        <v>10000</v>
      </c>
      <c r="G3348" s="87">
        <f t="shared" ref="G3348:G3350" si="401">E3348*F3348</f>
        <v>50</v>
      </c>
    </row>
    <row r="3349" spans="1:7">
      <c r="A3349" s="8" t="s">
        <v>30</v>
      </c>
      <c r="B3349" s="1" t="s">
        <v>31</v>
      </c>
      <c r="C3349" s="8"/>
      <c r="D3349" s="9" t="s">
        <v>28</v>
      </c>
      <c r="E3349" s="10">
        <v>1E-3</v>
      </c>
      <c r="F3349" s="86">
        <f>VLOOKUP(B3349,'HSD UPAH,BAHAN,ALAT'!$C$6:F3289,4,FALSE)</f>
        <v>10000</v>
      </c>
      <c r="G3349" s="87">
        <f t="shared" si="401"/>
        <v>10</v>
      </c>
    </row>
    <row r="3350" spans="1:7">
      <c r="A3350" s="8" t="s">
        <v>33</v>
      </c>
      <c r="B3350" s="1" t="s">
        <v>34</v>
      </c>
      <c r="C3350" s="8"/>
      <c r="D3350" s="9" t="s">
        <v>28</v>
      </c>
      <c r="E3350" s="10" t="s">
        <v>96</v>
      </c>
      <c r="F3350" s="86">
        <f>VLOOKUP(B3350,'HSD UPAH,BAHAN,ALAT'!$C$6:F3290,4,FALSE)</f>
        <v>10000</v>
      </c>
      <c r="G3350" s="87">
        <f t="shared" si="401"/>
        <v>3.25</v>
      </c>
    </row>
    <row r="3351" spans="1:7">
      <c r="A3351" s="261" t="s">
        <v>421</v>
      </c>
      <c r="B3351" s="261"/>
      <c r="C3351" s="261"/>
      <c r="D3351" s="261"/>
      <c r="E3351" s="261"/>
      <c r="F3351" s="261"/>
      <c r="G3351" s="85">
        <f>SUM(G3345:G3350)</f>
        <v>360113.25</v>
      </c>
    </row>
    <row r="3352" spans="1:7">
      <c r="A3352" s="8" t="s">
        <v>36</v>
      </c>
      <c r="B3352" s="1" t="s">
        <v>37</v>
      </c>
      <c r="C3352" s="8"/>
      <c r="D3352" s="9"/>
      <c r="E3352" s="19"/>
      <c r="F3352" s="2"/>
      <c r="G3352" s="2"/>
    </row>
    <row r="3353" spans="1:7">
      <c r="A3353" s="263" t="s">
        <v>419</v>
      </c>
      <c r="B3353" s="263"/>
      <c r="C3353" s="263"/>
      <c r="D3353" s="263"/>
      <c r="E3353" s="263"/>
      <c r="F3353" s="263"/>
      <c r="G3353" s="80">
        <f>SUM(G3352)</f>
        <v>0</v>
      </c>
    </row>
    <row r="3354" spans="1:7">
      <c r="A3354" s="81" t="s">
        <v>38</v>
      </c>
      <c r="B3354" s="262" t="s">
        <v>39</v>
      </c>
      <c r="C3354" s="262"/>
      <c r="D3354" s="262"/>
      <c r="E3354" s="262"/>
      <c r="F3354" s="262"/>
      <c r="G3354" s="80">
        <f>SUM(G3339:G3353)/2</f>
        <v>366643.25</v>
      </c>
    </row>
    <row r="3355" spans="1:7">
      <c r="A3355" s="81" t="s">
        <v>40</v>
      </c>
      <c r="B3355" s="262" t="s">
        <v>180</v>
      </c>
      <c r="C3355" s="262"/>
      <c r="D3355" s="262"/>
      <c r="E3355" s="262"/>
      <c r="F3355" s="82">
        <v>0.1</v>
      </c>
      <c r="G3355" s="80">
        <f>G3354*F3355</f>
        <v>36664.325000000004</v>
      </c>
    </row>
    <row r="3356" spans="1:7">
      <c r="A3356" s="81" t="s">
        <v>41</v>
      </c>
      <c r="B3356" s="262" t="s">
        <v>42</v>
      </c>
      <c r="C3356" s="262"/>
      <c r="D3356" s="262"/>
      <c r="E3356" s="262"/>
      <c r="F3356" s="262"/>
      <c r="G3356" s="80">
        <f>G3354+G3355</f>
        <v>403307.57500000001</v>
      </c>
    </row>
    <row r="3357" spans="1:7">
      <c r="A3357" s="90"/>
      <c r="B3357" s="91"/>
      <c r="C3357" s="91"/>
      <c r="D3357" s="91"/>
      <c r="E3357" s="91"/>
      <c r="F3357" s="91"/>
      <c r="G3357" s="92"/>
    </row>
    <row r="3358" spans="1:7">
      <c r="A3358" s="4" t="s">
        <v>585</v>
      </c>
      <c r="B3358" s="91"/>
      <c r="C3358" s="91"/>
      <c r="D3358" s="91"/>
      <c r="E3358" s="91"/>
      <c r="F3358" s="91"/>
      <c r="G3358" s="92"/>
    </row>
    <row r="3359" spans="1:7" ht="30">
      <c r="A3359" s="79" t="s">
        <v>0</v>
      </c>
      <c r="B3359" s="79" t="s">
        <v>1</v>
      </c>
      <c r="C3359" s="79" t="s">
        <v>207</v>
      </c>
      <c r="D3359" s="79" t="s">
        <v>3</v>
      </c>
      <c r="E3359" s="79" t="s">
        <v>2</v>
      </c>
      <c r="F3359" s="79" t="s">
        <v>417</v>
      </c>
      <c r="G3359" s="79" t="s">
        <v>418</v>
      </c>
    </row>
    <row r="3360" spans="1:7">
      <c r="A3360" s="8" t="s">
        <v>4</v>
      </c>
      <c r="B3360" s="1" t="s">
        <v>5</v>
      </c>
      <c r="C3360" s="8"/>
      <c r="D3360" s="9"/>
      <c r="E3360" s="19"/>
      <c r="F3360" s="2"/>
      <c r="G3360" s="2"/>
    </row>
    <row r="3361" spans="1:7">
      <c r="A3361" s="8">
        <v>1</v>
      </c>
      <c r="B3361" s="1" t="s">
        <v>6</v>
      </c>
      <c r="C3361" s="8" t="s">
        <v>7</v>
      </c>
      <c r="D3361" s="9" t="s">
        <v>8</v>
      </c>
      <c r="E3361" s="10" t="s">
        <v>92</v>
      </c>
      <c r="F3361" s="86">
        <f>VLOOKUP(B3361,'HSD UPAH,BAHAN,ALAT'!$C$6:F3299,4,FALSE)</f>
        <v>100000</v>
      </c>
      <c r="G3361" s="87">
        <f t="shared" ref="G3361:G3363" si="402">E3361*F3361</f>
        <v>5000</v>
      </c>
    </row>
    <row r="3362" spans="1:7">
      <c r="A3362" s="8">
        <v>2</v>
      </c>
      <c r="B3362" s="1" t="s">
        <v>10</v>
      </c>
      <c r="C3362" s="8" t="s">
        <v>11</v>
      </c>
      <c r="D3362" s="9" t="s">
        <v>8</v>
      </c>
      <c r="E3362" s="10" t="s">
        <v>93</v>
      </c>
      <c r="F3362" s="86">
        <f>VLOOKUP(B3362,'HSD UPAH,BAHAN,ALAT'!$C$6:F3300,4,FALSE)</f>
        <v>120000</v>
      </c>
      <c r="G3362" s="87">
        <f t="shared" si="402"/>
        <v>1200</v>
      </c>
    </row>
    <row r="3363" spans="1:7">
      <c r="A3363" s="8">
        <v>3</v>
      </c>
      <c r="B3363" s="1" t="s">
        <v>13</v>
      </c>
      <c r="C3363" s="8" t="s">
        <v>14</v>
      </c>
      <c r="D3363" s="9" t="s">
        <v>8</v>
      </c>
      <c r="E3363" s="10" t="s">
        <v>94</v>
      </c>
      <c r="F3363" s="86">
        <f>VLOOKUP(B3363,'HSD UPAH,BAHAN,ALAT'!$C$6:F3301,4,FALSE)</f>
        <v>100000</v>
      </c>
      <c r="G3363" s="87">
        <f t="shared" si="402"/>
        <v>330</v>
      </c>
    </row>
    <row r="3364" spans="1:7">
      <c r="A3364" s="261" t="s">
        <v>420</v>
      </c>
      <c r="B3364" s="261"/>
      <c r="C3364" s="261"/>
      <c r="D3364" s="261"/>
      <c r="E3364" s="261"/>
      <c r="F3364" s="261"/>
      <c r="G3364" s="85">
        <f>SUM(G3360:G3363)</f>
        <v>6530</v>
      </c>
    </row>
    <row r="3365" spans="1:7">
      <c r="A3365" s="8" t="s">
        <v>16</v>
      </c>
      <c r="B3365" s="1" t="s">
        <v>17</v>
      </c>
      <c r="C3365" s="8"/>
      <c r="D3365" s="9"/>
      <c r="E3365" s="19"/>
      <c r="F3365" s="2"/>
      <c r="G3365" s="2"/>
    </row>
    <row r="3366" spans="1:7" ht="30">
      <c r="A3366" s="17" t="s">
        <v>208</v>
      </c>
      <c r="B3366" s="5" t="s">
        <v>322</v>
      </c>
      <c r="C3366" s="8"/>
      <c r="D3366" s="12" t="s">
        <v>86</v>
      </c>
      <c r="E3366" s="7">
        <v>36</v>
      </c>
      <c r="F3366" s="86">
        <f>VLOOKUP(B3366,'HSD UPAH,BAHAN,ALAT'!$C$6:F3304,4,FALSE)</f>
        <v>10000</v>
      </c>
      <c r="G3366" s="87">
        <f t="shared" ref="G3366:G3367" si="403">E3366*F3366</f>
        <v>360000</v>
      </c>
    </row>
    <row r="3367" spans="1:7">
      <c r="A3367" s="8">
        <v>2</v>
      </c>
      <c r="B3367" s="1" t="s">
        <v>18</v>
      </c>
      <c r="C3367" s="8"/>
      <c r="D3367" s="9" t="s">
        <v>19</v>
      </c>
      <c r="E3367" s="10">
        <v>5.0000000000000001E-3</v>
      </c>
      <c r="F3367" s="86">
        <f>VLOOKUP(B3367,'HSD UPAH,BAHAN,ALAT'!$C$6:F3305,4,FALSE)</f>
        <v>10000</v>
      </c>
      <c r="G3367" s="87">
        <f t="shared" si="403"/>
        <v>50</v>
      </c>
    </row>
    <row r="3368" spans="1:7">
      <c r="A3368" s="8">
        <v>3</v>
      </c>
      <c r="B3368" s="1" t="s">
        <v>26</v>
      </c>
      <c r="C3368" s="8"/>
      <c r="D3368" s="9"/>
      <c r="E3368" s="19"/>
      <c r="F3368" s="2"/>
      <c r="G3368" s="2"/>
    </row>
    <row r="3369" spans="1:7">
      <c r="A3369" s="8" t="s">
        <v>22</v>
      </c>
      <c r="B3369" s="1" t="s">
        <v>27</v>
      </c>
      <c r="C3369" s="8"/>
      <c r="D3369" s="9" t="s">
        <v>28</v>
      </c>
      <c r="E3369" s="10" t="s">
        <v>20</v>
      </c>
      <c r="F3369" s="86">
        <f>VLOOKUP(B3369,'HSD UPAH,BAHAN,ALAT'!$C$6:F3307,4,FALSE)</f>
        <v>10000</v>
      </c>
      <c r="G3369" s="87">
        <f t="shared" ref="G3369:G3371" si="404">E3369*F3369</f>
        <v>50</v>
      </c>
    </row>
    <row r="3370" spans="1:7">
      <c r="A3370" s="8" t="s">
        <v>30</v>
      </c>
      <c r="B3370" s="1" t="s">
        <v>31</v>
      </c>
      <c r="C3370" s="8"/>
      <c r="D3370" s="9" t="s">
        <v>28</v>
      </c>
      <c r="E3370" s="10" t="s">
        <v>95</v>
      </c>
      <c r="F3370" s="86">
        <f>VLOOKUP(B3370,'HSD UPAH,BAHAN,ALAT'!$C$6:F3308,4,FALSE)</f>
        <v>10000</v>
      </c>
      <c r="G3370" s="87">
        <f t="shared" si="404"/>
        <v>10</v>
      </c>
    </row>
    <row r="3371" spans="1:7">
      <c r="A3371" s="8" t="s">
        <v>33</v>
      </c>
      <c r="B3371" s="1" t="s">
        <v>34</v>
      </c>
      <c r="C3371" s="8"/>
      <c r="D3371" s="9" t="s">
        <v>28</v>
      </c>
      <c r="E3371" s="10" t="s">
        <v>96</v>
      </c>
      <c r="F3371" s="86">
        <f>VLOOKUP(B3371,'HSD UPAH,BAHAN,ALAT'!$C$6:F3309,4,FALSE)</f>
        <v>10000</v>
      </c>
      <c r="G3371" s="87">
        <f t="shared" si="404"/>
        <v>3.25</v>
      </c>
    </row>
    <row r="3372" spans="1:7">
      <c r="A3372" s="261" t="s">
        <v>421</v>
      </c>
      <c r="B3372" s="261"/>
      <c r="C3372" s="261"/>
      <c r="D3372" s="261"/>
      <c r="E3372" s="261"/>
      <c r="F3372" s="261"/>
      <c r="G3372" s="85">
        <f>SUM(G3366:G3371)</f>
        <v>360113.25</v>
      </c>
    </row>
    <row r="3373" spans="1:7">
      <c r="A3373" s="8" t="s">
        <v>36</v>
      </c>
      <c r="B3373" s="1" t="s">
        <v>37</v>
      </c>
      <c r="C3373" s="8"/>
      <c r="D3373" s="9"/>
      <c r="E3373" s="19"/>
      <c r="F3373" s="2"/>
      <c r="G3373" s="2"/>
    </row>
    <row r="3374" spans="1:7">
      <c r="A3374" s="263" t="s">
        <v>419</v>
      </c>
      <c r="B3374" s="263"/>
      <c r="C3374" s="263"/>
      <c r="D3374" s="263"/>
      <c r="E3374" s="263"/>
      <c r="F3374" s="263"/>
      <c r="G3374" s="80">
        <f>SUM(G3373)</f>
        <v>0</v>
      </c>
    </row>
    <row r="3375" spans="1:7">
      <c r="A3375" s="81" t="s">
        <v>38</v>
      </c>
      <c r="B3375" s="262" t="s">
        <v>39</v>
      </c>
      <c r="C3375" s="262"/>
      <c r="D3375" s="262"/>
      <c r="E3375" s="262"/>
      <c r="F3375" s="262"/>
      <c r="G3375" s="80">
        <f>SUM(G3361:G3374)/2</f>
        <v>366643.25</v>
      </c>
    </row>
    <row r="3376" spans="1:7">
      <c r="A3376" s="81" t="s">
        <v>40</v>
      </c>
      <c r="B3376" s="262" t="s">
        <v>180</v>
      </c>
      <c r="C3376" s="262"/>
      <c r="D3376" s="262"/>
      <c r="E3376" s="262"/>
      <c r="F3376" s="82">
        <v>0.1</v>
      </c>
      <c r="G3376" s="80">
        <f>G3375*F3376</f>
        <v>36664.325000000004</v>
      </c>
    </row>
    <row r="3377" spans="1:7">
      <c r="A3377" s="81" t="s">
        <v>41</v>
      </c>
      <c r="B3377" s="262" t="s">
        <v>42</v>
      </c>
      <c r="C3377" s="262"/>
      <c r="D3377" s="262"/>
      <c r="E3377" s="262"/>
      <c r="F3377" s="262"/>
      <c r="G3377" s="80">
        <f>G3375+G3376</f>
        <v>403307.57500000001</v>
      </c>
    </row>
    <row r="3378" spans="1:7">
      <c r="A3378" s="90"/>
      <c r="B3378" s="91"/>
      <c r="C3378" s="91"/>
      <c r="D3378" s="91"/>
      <c r="E3378" s="91"/>
      <c r="F3378" s="91"/>
      <c r="G3378" s="92"/>
    </row>
    <row r="3379" spans="1:7">
      <c r="A3379" s="4" t="s">
        <v>586</v>
      </c>
      <c r="B3379" s="91"/>
      <c r="C3379" s="91"/>
      <c r="D3379" s="91"/>
      <c r="E3379" s="91"/>
      <c r="F3379" s="91"/>
      <c r="G3379" s="92"/>
    </row>
    <row r="3380" spans="1:7" ht="30">
      <c r="A3380" s="79" t="s">
        <v>0</v>
      </c>
      <c r="B3380" s="79" t="s">
        <v>1</v>
      </c>
      <c r="C3380" s="79" t="s">
        <v>207</v>
      </c>
      <c r="D3380" s="79" t="s">
        <v>3</v>
      </c>
      <c r="E3380" s="79" t="s">
        <v>2</v>
      </c>
      <c r="F3380" s="79" t="s">
        <v>417</v>
      </c>
      <c r="G3380" s="79" t="s">
        <v>418</v>
      </c>
    </row>
    <row r="3381" spans="1:7">
      <c r="A3381" s="8" t="s">
        <v>4</v>
      </c>
      <c r="B3381" s="1" t="s">
        <v>5</v>
      </c>
      <c r="C3381" s="8"/>
      <c r="D3381" s="9"/>
      <c r="E3381" s="19"/>
      <c r="F3381" s="2"/>
      <c r="G3381" s="2"/>
    </row>
    <row r="3382" spans="1:7">
      <c r="A3382" s="8">
        <v>1</v>
      </c>
      <c r="B3382" s="1" t="s">
        <v>6</v>
      </c>
      <c r="C3382" s="8" t="s">
        <v>7</v>
      </c>
      <c r="D3382" s="9" t="s">
        <v>8</v>
      </c>
      <c r="E3382" s="10" t="s">
        <v>92</v>
      </c>
      <c r="F3382" s="86">
        <f>VLOOKUP(B3382,'HSD UPAH,BAHAN,ALAT'!$C$6:F3318,4,FALSE)</f>
        <v>100000</v>
      </c>
      <c r="G3382" s="87">
        <f t="shared" ref="G3382:G3384" si="405">E3382*F3382</f>
        <v>5000</v>
      </c>
    </row>
    <row r="3383" spans="1:7">
      <c r="A3383" s="8">
        <v>2</v>
      </c>
      <c r="B3383" s="1" t="s">
        <v>10</v>
      </c>
      <c r="C3383" s="8" t="s">
        <v>11</v>
      </c>
      <c r="D3383" s="9" t="s">
        <v>8</v>
      </c>
      <c r="E3383" s="10" t="s">
        <v>93</v>
      </c>
      <c r="F3383" s="86">
        <f>VLOOKUP(B3383,'HSD UPAH,BAHAN,ALAT'!$C$6:F3319,4,FALSE)</f>
        <v>120000</v>
      </c>
      <c r="G3383" s="87">
        <f t="shared" si="405"/>
        <v>1200</v>
      </c>
    </row>
    <row r="3384" spans="1:7">
      <c r="A3384" s="8">
        <v>3</v>
      </c>
      <c r="B3384" s="1" t="s">
        <v>13</v>
      </c>
      <c r="C3384" s="8" t="s">
        <v>14</v>
      </c>
      <c r="D3384" s="9" t="s">
        <v>8</v>
      </c>
      <c r="E3384" s="10" t="s">
        <v>94</v>
      </c>
      <c r="F3384" s="86">
        <f>VLOOKUP(B3384,'HSD UPAH,BAHAN,ALAT'!$C$6:F3320,4,FALSE)</f>
        <v>100000</v>
      </c>
      <c r="G3384" s="87">
        <f t="shared" si="405"/>
        <v>330</v>
      </c>
    </row>
    <row r="3385" spans="1:7">
      <c r="A3385" s="261" t="s">
        <v>420</v>
      </c>
      <c r="B3385" s="261"/>
      <c r="C3385" s="261"/>
      <c r="D3385" s="261"/>
      <c r="E3385" s="261"/>
      <c r="F3385" s="261"/>
      <c r="G3385" s="85">
        <f>SUM(G3381:G3384)</f>
        <v>6530</v>
      </c>
    </row>
    <row r="3386" spans="1:7">
      <c r="A3386" s="8" t="s">
        <v>16</v>
      </c>
      <c r="B3386" s="1" t="s">
        <v>17</v>
      </c>
      <c r="C3386" s="8"/>
      <c r="D3386" s="9"/>
      <c r="E3386" s="19"/>
      <c r="F3386" s="2"/>
      <c r="G3386" s="2"/>
    </row>
    <row r="3387" spans="1:7" ht="30">
      <c r="A3387" s="17" t="s">
        <v>208</v>
      </c>
      <c r="B3387" s="5" t="s">
        <v>323</v>
      </c>
      <c r="C3387" s="8"/>
      <c r="D3387" s="12" t="s">
        <v>86</v>
      </c>
      <c r="E3387" s="7">
        <v>16</v>
      </c>
      <c r="F3387" s="86">
        <f>VLOOKUP(B3387,'HSD UPAH,BAHAN,ALAT'!$C$6:F3323,4,FALSE)</f>
        <v>10000</v>
      </c>
      <c r="G3387" s="87">
        <f t="shared" ref="G3387:G3388" si="406">E3387*F3387</f>
        <v>160000</v>
      </c>
    </row>
    <row r="3388" spans="1:7">
      <c r="A3388" s="8">
        <v>2</v>
      </c>
      <c r="B3388" s="1" t="s">
        <v>18</v>
      </c>
      <c r="C3388" s="8"/>
      <c r="D3388" s="9" t="s">
        <v>19</v>
      </c>
      <c r="E3388" s="10">
        <v>5.0000000000000001E-3</v>
      </c>
      <c r="F3388" s="86">
        <f>VLOOKUP(B3388,'HSD UPAH,BAHAN,ALAT'!$C$6:F3324,4,FALSE)</f>
        <v>10000</v>
      </c>
      <c r="G3388" s="87">
        <f t="shared" si="406"/>
        <v>50</v>
      </c>
    </row>
    <row r="3389" spans="1:7">
      <c r="A3389" s="8">
        <v>3</v>
      </c>
      <c r="B3389" s="1" t="s">
        <v>26</v>
      </c>
      <c r="C3389" s="8"/>
      <c r="D3389" s="9"/>
      <c r="E3389" s="19"/>
      <c r="F3389" s="2"/>
      <c r="G3389" s="2"/>
    </row>
    <row r="3390" spans="1:7">
      <c r="A3390" s="8" t="s">
        <v>22</v>
      </c>
      <c r="B3390" s="1" t="s">
        <v>27</v>
      </c>
      <c r="C3390" s="8"/>
      <c r="D3390" s="9" t="s">
        <v>28</v>
      </c>
      <c r="E3390" s="10" t="s">
        <v>20</v>
      </c>
      <c r="F3390" s="86">
        <f>VLOOKUP(B3390,'HSD UPAH,BAHAN,ALAT'!$C$6:F3326,4,FALSE)</f>
        <v>10000</v>
      </c>
      <c r="G3390" s="87">
        <f t="shared" ref="G3390:G3392" si="407">E3390*F3390</f>
        <v>50</v>
      </c>
    </row>
    <row r="3391" spans="1:7">
      <c r="A3391" s="8" t="s">
        <v>30</v>
      </c>
      <c r="B3391" s="1" t="s">
        <v>31</v>
      </c>
      <c r="C3391" s="8"/>
      <c r="D3391" s="9" t="s">
        <v>28</v>
      </c>
      <c r="E3391" s="10" t="s">
        <v>95</v>
      </c>
      <c r="F3391" s="86">
        <f>VLOOKUP(B3391,'HSD UPAH,BAHAN,ALAT'!$C$6:F3327,4,FALSE)</f>
        <v>10000</v>
      </c>
      <c r="G3391" s="87">
        <f t="shared" si="407"/>
        <v>10</v>
      </c>
    </row>
    <row r="3392" spans="1:7">
      <c r="A3392" s="8" t="s">
        <v>33</v>
      </c>
      <c r="B3392" s="1" t="s">
        <v>34</v>
      </c>
      <c r="C3392" s="8"/>
      <c r="D3392" s="9" t="s">
        <v>28</v>
      </c>
      <c r="E3392" s="10" t="s">
        <v>96</v>
      </c>
      <c r="F3392" s="86">
        <f>VLOOKUP(B3392,'HSD UPAH,BAHAN,ALAT'!$C$6:F3328,4,FALSE)</f>
        <v>10000</v>
      </c>
      <c r="G3392" s="87">
        <f t="shared" si="407"/>
        <v>3.25</v>
      </c>
    </row>
    <row r="3393" spans="1:7">
      <c r="A3393" s="261" t="s">
        <v>421</v>
      </c>
      <c r="B3393" s="261"/>
      <c r="C3393" s="261"/>
      <c r="D3393" s="261"/>
      <c r="E3393" s="261"/>
      <c r="F3393" s="261"/>
      <c r="G3393" s="85">
        <f>SUM(G3387:G3392)</f>
        <v>160113.25</v>
      </c>
    </row>
    <row r="3394" spans="1:7">
      <c r="A3394" s="8" t="s">
        <v>36</v>
      </c>
      <c r="B3394" s="1" t="s">
        <v>37</v>
      </c>
      <c r="C3394" s="8"/>
      <c r="D3394" s="9"/>
      <c r="E3394" s="19"/>
      <c r="F3394" s="2"/>
      <c r="G3394" s="2"/>
    </row>
    <row r="3395" spans="1:7">
      <c r="A3395" s="263" t="s">
        <v>419</v>
      </c>
      <c r="B3395" s="263"/>
      <c r="C3395" s="263"/>
      <c r="D3395" s="263"/>
      <c r="E3395" s="263"/>
      <c r="F3395" s="263"/>
      <c r="G3395" s="80">
        <f>SUM(G3394)</f>
        <v>0</v>
      </c>
    </row>
    <row r="3396" spans="1:7">
      <c r="A3396" s="81" t="s">
        <v>38</v>
      </c>
      <c r="B3396" s="262" t="s">
        <v>39</v>
      </c>
      <c r="C3396" s="262"/>
      <c r="D3396" s="262"/>
      <c r="E3396" s="262"/>
      <c r="F3396" s="262"/>
      <c r="G3396" s="80">
        <f>SUM(G3382:G3395)/2</f>
        <v>166643.25</v>
      </c>
    </row>
    <row r="3397" spans="1:7">
      <c r="A3397" s="81" t="s">
        <v>40</v>
      </c>
      <c r="B3397" s="262" t="s">
        <v>180</v>
      </c>
      <c r="C3397" s="262"/>
      <c r="D3397" s="262"/>
      <c r="E3397" s="262"/>
      <c r="F3397" s="82">
        <v>0.1</v>
      </c>
      <c r="G3397" s="80">
        <f>G3396*F3397</f>
        <v>16664.325000000001</v>
      </c>
    </row>
    <row r="3398" spans="1:7">
      <c r="A3398" s="81" t="s">
        <v>41</v>
      </c>
      <c r="B3398" s="262" t="s">
        <v>42</v>
      </c>
      <c r="C3398" s="262"/>
      <c r="D3398" s="262"/>
      <c r="E3398" s="262"/>
      <c r="F3398" s="262"/>
      <c r="G3398" s="80">
        <f>G3396+G3397</f>
        <v>183307.57500000001</v>
      </c>
    </row>
    <row r="3399" spans="1:7">
      <c r="A3399" s="90"/>
      <c r="B3399" s="91"/>
      <c r="C3399" s="91"/>
      <c r="D3399" s="91"/>
      <c r="E3399" s="91"/>
      <c r="F3399" s="91"/>
      <c r="G3399" s="92"/>
    </row>
    <row r="3400" spans="1:7">
      <c r="A3400" s="4" t="s">
        <v>587</v>
      </c>
      <c r="B3400" s="91"/>
      <c r="C3400" s="91"/>
      <c r="D3400" s="91"/>
      <c r="E3400" s="91"/>
      <c r="F3400" s="91"/>
      <c r="G3400" s="92"/>
    </row>
    <row r="3401" spans="1:7" ht="30">
      <c r="A3401" s="79" t="s">
        <v>0</v>
      </c>
      <c r="B3401" s="79" t="s">
        <v>1</v>
      </c>
      <c r="C3401" s="79" t="s">
        <v>207</v>
      </c>
      <c r="D3401" s="79" t="s">
        <v>3</v>
      </c>
      <c r="E3401" s="79" t="s">
        <v>2</v>
      </c>
      <c r="F3401" s="79" t="s">
        <v>417</v>
      </c>
      <c r="G3401" s="79" t="s">
        <v>418</v>
      </c>
    </row>
    <row r="3402" spans="1:7">
      <c r="A3402" s="8" t="s">
        <v>4</v>
      </c>
      <c r="B3402" s="1" t="s">
        <v>5</v>
      </c>
      <c r="C3402" s="8"/>
      <c r="D3402" s="9"/>
      <c r="E3402" s="19"/>
      <c r="F3402" s="2"/>
      <c r="G3402" s="2"/>
    </row>
    <row r="3403" spans="1:7">
      <c r="A3403" s="8">
        <v>1</v>
      </c>
      <c r="B3403" s="1" t="s">
        <v>6</v>
      </c>
      <c r="C3403" s="8" t="s">
        <v>7</v>
      </c>
      <c r="D3403" s="9" t="s">
        <v>8</v>
      </c>
      <c r="E3403" s="10" t="s">
        <v>92</v>
      </c>
      <c r="F3403" s="86">
        <f>VLOOKUP(B3403,'HSD UPAH,BAHAN,ALAT'!$C$6:F3337,4,FALSE)</f>
        <v>100000</v>
      </c>
      <c r="G3403" s="87">
        <f t="shared" ref="G3403:G3405" si="408">E3403*F3403</f>
        <v>5000</v>
      </c>
    </row>
    <row r="3404" spans="1:7">
      <c r="A3404" s="8">
        <v>2</v>
      </c>
      <c r="B3404" s="1" t="s">
        <v>10</v>
      </c>
      <c r="C3404" s="8" t="s">
        <v>11</v>
      </c>
      <c r="D3404" s="9" t="s">
        <v>8</v>
      </c>
      <c r="E3404" s="10" t="s">
        <v>93</v>
      </c>
      <c r="F3404" s="86">
        <f>VLOOKUP(B3404,'HSD UPAH,BAHAN,ALAT'!$C$6:F3338,4,FALSE)</f>
        <v>120000</v>
      </c>
      <c r="G3404" s="87">
        <f t="shared" si="408"/>
        <v>1200</v>
      </c>
    </row>
    <row r="3405" spans="1:7">
      <c r="A3405" s="8">
        <v>3</v>
      </c>
      <c r="B3405" s="1" t="s">
        <v>13</v>
      </c>
      <c r="C3405" s="8" t="s">
        <v>14</v>
      </c>
      <c r="D3405" s="9" t="s">
        <v>8</v>
      </c>
      <c r="E3405" s="10" t="s">
        <v>94</v>
      </c>
      <c r="F3405" s="86">
        <f>VLOOKUP(B3405,'HSD UPAH,BAHAN,ALAT'!$C$6:F3339,4,FALSE)</f>
        <v>100000</v>
      </c>
      <c r="G3405" s="87">
        <f t="shared" si="408"/>
        <v>330</v>
      </c>
    </row>
    <row r="3406" spans="1:7">
      <c r="A3406" s="261" t="s">
        <v>420</v>
      </c>
      <c r="B3406" s="261"/>
      <c r="C3406" s="261"/>
      <c r="D3406" s="261"/>
      <c r="E3406" s="261"/>
      <c r="F3406" s="261"/>
      <c r="G3406" s="85">
        <f>SUM(G3402:G3405)</f>
        <v>6530</v>
      </c>
    </row>
    <row r="3407" spans="1:7">
      <c r="A3407" s="8" t="s">
        <v>16</v>
      </c>
      <c r="B3407" s="1" t="s">
        <v>17</v>
      </c>
      <c r="C3407" s="8"/>
      <c r="D3407" s="9"/>
      <c r="E3407" s="19"/>
      <c r="F3407" s="2"/>
      <c r="G3407" s="2"/>
    </row>
    <row r="3408" spans="1:7" ht="30">
      <c r="A3408" s="17" t="s">
        <v>208</v>
      </c>
      <c r="B3408" s="5" t="s">
        <v>324</v>
      </c>
      <c r="C3408" s="8"/>
      <c r="D3408" s="12" t="s">
        <v>86</v>
      </c>
      <c r="E3408" s="7">
        <v>36</v>
      </c>
      <c r="F3408" s="86">
        <f>VLOOKUP(B3408,'HSD UPAH,BAHAN,ALAT'!$C$6:F3342,4,FALSE)</f>
        <v>10000</v>
      </c>
      <c r="G3408" s="87">
        <f t="shared" ref="G3408:G3409" si="409">E3408*F3408</f>
        <v>360000</v>
      </c>
    </row>
    <row r="3409" spans="1:7">
      <c r="A3409" s="8">
        <v>2</v>
      </c>
      <c r="B3409" s="1" t="s">
        <v>18</v>
      </c>
      <c r="C3409" s="8"/>
      <c r="D3409" s="9" t="s">
        <v>19</v>
      </c>
      <c r="E3409" s="10">
        <v>5.0000000000000001E-3</v>
      </c>
      <c r="F3409" s="86">
        <f>VLOOKUP(B3409,'HSD UPAH,BAHAN,ALAT'!$C$6:F3343,4,FALSE)</f>
        <v>10000</v>
      </c>
      <c r="G3409" s="87">
        <f t="shared" si="409"/>
        <v>50</v>
      </c>
    </row>
    <row r="3410" spans="1:7">
      <c r="A3410" s="8">
        <v>3</v>
      </c>
      <c r="B3410" s="1" t="s">
        <v>26</v>
      </c>
      <c r="C3410" s="8"/>
      <c r="D3410" s="9"/>
      <c r="E3410" s="19"/>
      <c r="F3410" s="2"/>
      <c r="G3410" s="2"/>
    </row>
    <row r="3411" spans="1:7">
      <c r="A3411" s="8" t="s">
        <v>22</v>
      </c>
      <c r="B3411" s="1" t="s">
        <v>27</v>
      </c>
      <c r="C3411" s="8"/>
      <c r="D3411" s="9" t="s">
        <v>28</v>
      </c>
      <c r="E3411" s="10" t="s">
        <v>20</v>
      </c>
      <c r="F3411" s="86">
        <f>VLOOKUP(B3411,'HSD UPAH,BAHAN,ALAT'!$C$6:F3345,4,FALSE)</f>
        <v>10000</v>
      </c>
      <c r="G3411" s="87">
        <f t="shared" ref="G3411:G3413" si="410">E3411*F3411</f>
        <v>50</v>
      </c>
    </row>
    <row r="3412" spans="1:7">
      <c r="A3412" s="8" t="s">
        <v>30</v>
      </c>
      <c r="B3412" s="1" t="s">
        <v>31</v>
      </c>
      <c r="C3412" s="8"/>
      <c r="D3412" s="9" t="s">
        <v>28</v>
      </c>
      <c r="E3412" s="10" t="s">
        <v>95</v>
      </c>
      <c r="F3412" s="86">
        <f>VLOOKUP(B3412,'HSD UPAH,BAHAN,ALAT'!$C$6:F3346,4,FALSE)</f>
        <v>10000</v>
      </c>
      <c r="G3412" s="87">
        <f t="shared" si="410"/>
        <v>10</v>
      </c>
    </row>
    <row r="3413" spans="1:7">
      <c r="A3413" s="8" t="s">
        <v>33</v>
      </c>
      <c r="B3413" s="1" t="s">
        <v>34</v>
      </c>
      <c r="C3413" s="8"/>
      <c r="D3413" s="9" t="s">
        <v>28</v>
      </c>
      <c r="E3413" s="10" t="s">
        <v>96</v>
      </c>
      <c r="F3413" s="86">
        <f>VLOOKUP(B3413,'HSD UPAH,BAHAN,ALAT'!$C$6:F3347,4,FALSE)</f>
        <v>10000</v>
      </c>
      <c r="G3413" s="87">
        <f t="shared" si="410"/>
        <v>3.25</v>
      </c>
    </row>
    <row r="3414" spans="1:7">
      <c r="A3414" s="261" t="s">
        <v>421</v>
      </c>
      <c r="B3414" s="261"/>
      <c r="C3414" s="261"/>
      <c r="D3414" s="261"/>
      <c r="E3414" s="261"/>
      <c r="F3414" s="261"/>
      <c r="G3414" s="85">
        <f>SUM(G3408:G3413)</f>
        <v>360113.25</v>
      </c>
    </row>
    <row r="3415" spans="1:7">
      <c r="A3415" s="8" t="s">
        <v>36</v>
      </c>
      <c r="B3415" s="1" t="s">
        <v>37</v>
      </c>
      <c r="C3415" s="8"/>
      <c r="D3415" s="9"/>
      <c r="E3415" s="19"/>
      <c r="F3415" s="2"/>
      <c r="G3415" s="2"/>
    </row>
    <row r="3416" spans="1:7">
      <c r="A3416" s="263" t="s">
        <v>419</v>
      </c>
      <c r="B3416" s="263"/>
      <c r="C3416" s="263"/>
      <c r="D3416" s="263"/>
      <c r="E3416" s="263"/>
      <c r="F3416" s="263"/>
      <c r="G3416" s="80">
        <f>SUM(G3415)</f>
        <v>0</v>
      </c>
    </row>
    <row r="3417" spans="1:7">
      <c r="A3417" s="81" t="s">
        <v>38</v>
      </c>
      <c r="B3417" s="262" t="s">
        <v>39</v>
      </c>
      <c r="C3417" s="262"/>
      <c r="D3417" s="262"/>
      <c r="E3417" s="262"/>
      <c r="F3417" s="262"/>
      <c r="G3417" s="80">
        <f>SUM(G3403:G3416)/2</f>
        <v>366643.25</v>
      </c>
    </row>
    <row r="3418" spans="1:7">
      <c r="A3418" s="81" t="s">
        <v>40</v>
      </c>
      <c r="B3418" s="262" t="s">
        <v>180</v>
      </c>
      <c r="C3418" s="262"/>
      <c r="D3418" s="262"/>
      <c r="E3418" s="262"/>
      <c r="F3418" s="82">
        <v>0.1</v>
      </c>
      <c r="G3418" s="80">
        <f>G3417*F3418</f>
        <v>36664.325000000004</v>
      </c>
    </row>
    <row r="3419" spans="1:7">
      <c r="A3419" s="81" t="s">
        <v>41</v>
      </c>
      <c r="B3419" s="262" t="s">
        <v>42</v>
      </c>
      <c r="C3419" s="262"/>
      <c r="D3419" s="262"/>
      <c r="E3419" s="262"/>
      <c r="F3419" s="262"/>
      <c r="G3419" s="80">
        <f>G3417+G3418</f>
        <v>403307.57500000001</v>
      </c>
    </row>
    <row r="3420" spans="1:7">
      <c r="A3420" s="90"/>
      <c r="B3420" s="91"/>
      <c r="C3420" s="91"/>
      <c r="D3420" s="91"/>
      <c r="E3420" s="91"/>
      <c r="F3420" s="91"/>
      <c r="G3420" s="92"/>
    </row>
    <row r="3421" spans="1:7">
      <c r="A3421" s="4" t="s">
        <v>588</v>
      </c>
      <c r="B3421" s="91"/>
      <c r="C3421" s="91"/>
      <c r="D3421" s="91"/>
      <c r="E3421" s="91"/>
      <c r="F3421" s="91"/>
      <c r="G3421" s="92"/>
    </row>
    <row r="3422" spans="1:7" ht="30">
      <c r="A3422" s="79" t="s">
        <v>0</v>
      </c>
      <c r="B3422" s="79" t="s">
        <v>1</v>
      </c>
      <c r="C3422" s="79" t="s">
        <v>207</v>
      </c>
      <c r="D3422" s="79" t="s">
        <v>3</v>
      </c>
      <c r="E3422" s="79" t="s">
        <v>2</v>
      </c>
      <c r="F3422" s="79" t="s">
        <v>417</v>
      </c>
      <c r="G3422" s="79" t="s">
        <v>418</v>
      </c>
    </row>
    <row r="3423" spans="1:7">
      <c r="A3423" s="8" t="s">
        <v>4</v>
      </c>
      <c r="B3423" s="1" t="s">
        <v>5</v>
      </c>
      <c r="C3423" s="8"/>
      <c r="D3423" s="9"/>
      <c r="E3423" s="19"/>
      <c r="F3423" s="2"/>
      <c r="G3423" s="2"/>
    </row>
    <row r="3424" spans="1:7">
      <c r="A3424" s="8">
        <v>1</v>
      </c>
      <c r="B3424" s="1" t="s">
        <v>6</v>
      </c>
      <c r="C3424" s="8" t="s">
        <v>7</v>
      </c>
      <c r="D3424" s="9" t="s">
        <v>8</v>
      </c>
      <c r="E3424" s="10" t="s">
        <v>92</v>
      </c>
      <c r="F3424" s="86">
        <f>VLOOKUP(B3424,'HSD UPAH,BAHAN,ALAT'!$C$6:F3356,4,FALSE)</f>
        <v>100000</v>
      </c>
      <c r="G3424" s="87">
        <f t="shared" ref="G3424:G3426" si="411">E3424*F3424</f>
        <v>5000</v>
      </c>
    </row>
    <row r="3425" spans="1:7">
      <c r="A3425" s="8">
        <v>2</v>
      </c>
      <c r="B3425" s="1" t="s">
        <v>10</v>
      </c>
      <c r="C3425" s="8" t="s">
        <v>11</v>
      </c>
      <c r="D3425" s="9" t="s">
        <v>8</v>
      </c>
      <c r="E3425" s="10" t="s">
        <v>93</v>
      </c>
      <c r="F3425" s="86">
        <f>VLOOKUP(B3425,'HSD UPAH,BAHAN,ALAT'!$C$6:F3357,4,FALSE)</f>
        <v>120000</v>
      </c>
      <c r="G3425" s="87">
        <f t="shared" si="411"/>
        <v>1200</v>
      </c>
    </row>
    <row r="3426" spans="1:7">
      <c r="A3426" s="8">
        <v>3</v>
      </c>
      <c r="B3426" s="1" t="s">
        <v>13</v>
      </c>
      <c r="C3426" s="8" t="s">
        <v>14</v>
      </c>
      <c r="D3426" s="9" t="s">
        <v>8</v>
      </c>
      <c r="E3426" s="10" t="s">
        <v>94</v>
      </c>
      <c r="F3426" s="86">
        <f>VLOOKUP(B3426,'HSD UPAH,BAHAN,ALAT'!$C$6:F3358,4,FALSE)</f>
        <v>100000</v>
      </c>
      <c r="G3426" s="87">
        <f t="shared" si="411"/>
        <v>330</v>
      </c>
    </row>
    <row r="3427" spans="1:7">
      <c r="A3427" s="261" t="s">
        <v>420</v>
      </c>
      <c r="B3427" s="261"/>
      <c r="C3427" s="261"/>
      <c r="D3427" s="261"/>
      <c r="E3427" s="261"/>
      <c r="F3427" s="261"/>
      <c r="G3427" s="85">
        <f>SUM(G3423:G3426)</f>
        <v>6530</v>
      </c>
    </row>
    <row r="3428" spans="1:7">
      <c r="A3428" s="8" t="s">
        <v>16</v>
      </c>
      <c r="B3428" s="1" t="s">
        <v>17</v>
      </c>
      <c r="C3428" s="8"/>
      <c r="D3428" s="9"/>
      <c r="E3428" s="19"/>
      <c r="F3428" s="2"/>
      <c r="G3428" s="2"/>
    </row>
    <row r="3429" spans="1:7" ht="30">
      <c r="A3429" s="17" t="s">
        <v>208</v>
      </c>
      <c r="B3429" s="5" t="s">
        <v>325</v>
      </c>
      <c r="C3429" s="8"/>
      <c r="D3429" s="12" t="s">
        <v>86</v>
      </c>
      <c r="E3429" s="7" t="s">
        <v>211</v>
      </c>
      <c r="F3429" s="86">
        <f>VLOOKUP(B3429,'HSD UPAH,BAHAN,ALAT'!$C$6:F3361,4,FALSE)</f>
        <v>10000</v>
      </c>
      <c r="G3429" s="87">
        <f t="shared" ref="G3429:G3430" si="412">E3429*F3429</f>
        <v>250000</v>
      </c>
    </row>
    <row r="3430" spans="1:7">
      <c r="A3430" s="8">
        <v>2</v>
      </c>
      <c r="B3430" s="1" t="s">
        <v>18</v>
      </c>
      <c r="C3430" s="8"/>
      <c r="D3430" s="9" t="s">
        <v>19</v>
      </c>
      <c r="E3430" s="10">
        <v>5.0000000000000001E-3</v>
      </c>
      <c r="F3430" s="86">
        <f>VLOOKUP(B3430,'HSD UPAH,BAHAN,ALAT'!$C$6:F3362,4,FALSE)</f>
        <v>10000</v>
      </c>
      <c r="G3430" s="87">
        <f t="shared" si="412"/>
        <v>50</v>
      </c>
    </row>
    <row r="3431" spans="1:7">
      <c r="A3431" s="8">
        <v>3</v>
      </c>
      <c r="B3431" s="1" t="s">
        <v>26</v>
      </c>
      <c r="C3431" s="8"/>
      <c r="D3431" s="9"/>
      <c r="E3431" s="19"/>
      <c r="F3431" s="2"/>
      <c r="G3431" s="2"/>
    </row>
    <row r="3432" spans="1:7">
      <c r="A3432" s="8" t="s">
        <v>22</v>
      </c>
      <c r="B3432" s="1" t="s">
        <v>27</v>
      </c>
      <c r="C3432" s="8"/>
      <c r="D3432" s="9" t="s">
        <v>28</v>
      </c>
      <c r="E3432" s="10" t="s">
        <v>20</v>
      </c>
      <c r="F3432" s="86">
        <f>VLOOKUP(B3432,'HSD UPAH,BAHAN,ALAT'!$C$6:F3364,4,FALSE)</f>
        <v>10000</v>
      </c>
      <c r="G3432" s="87">
        <f t="shared" ref="G3432:G3434" si="413">E3432*F3432</f>
        <v>50</v>
      </c>
    </row>
    <row r="3433" spans="1:7">
      <c r="A3433" s="8" t="s">
        <v>30</v>
      </c>
      <c r="B3433" s="1" t="s">
        <v>31</v>
      </c>
      <c r="C3433" s="8"/>
      <c r="D3433" s="9" t="s">
        <v>28</v>
      </c>
      <c r="E3433" s="10" t="s">
        <v>95</v>
      </c>
      <c r="F3433" s="86">
        <f>VLOOKUP(B3433,'HSD UPAH,BAHAN,ALAT'!$C$6:F3365,4,FALSE)</f>
        <v>10000</v>
      </c>
      <c r="G3433" s="87">
        <f t="shared" si="413"/>
        <v>10</v>
      </c>
    </row>
    <row r="3434" spans="1:7">
      <c r="A3434" s="8" t="s">
        <v>33</v>
      </c>
      <c r="B3434" s="1" t="s">
        <v>34</v>
      </c>
      <c r="C3434" s="8"/>
      <c r="D3434" s="9" t="s">
        <v>28</v>
      </c>
      <c r="E3434" s="10" t="s">
        <v>96</v>
      </c>
      <c r="F3434" s="86">
        <f>VLOOKUP(B3434,'HSD UPAH,BAHAN,ALAT'!$C$6:F3366,4,FALSE)</f>
        <v>10000</v>
      </c>
      <c r="G3434" s="87">
        <f t="shared" si="413"/>
        <v>3.25</v>
      </c>
    </row>
    <row r="3435" spans="1:7">
      <c r="A3435" s="261" t="s">
        <v>421</v>
      </c>
      <c r="B3435" s="261"/>
      <c r="C3435" s="261"/>
      <c r="D3435" s="261"/>
      <c r="E3435" s="261"/>
      <c r="F3435" s="261"/>
      <c r="G3435" s="85">
        <f>SUM(G3429:G3434)</f>
        <v>250113.25</v>
      </c>
    </row>
    <row r="3436" spans="1:7">
      <c r="A3436" s="8" t="s">
        <v>36</v>
      </c>
      <c r="B3436" s="1" t="s">
        <v>37</v>
      </c>
      <c r="C3436" s="8"/>
      <c r="D3436" s="9"/>
      <c r="E3436" s="19"/>
      <c r="F3436" s="2"/>
      <c r="G3436" s="2"/>
    </row>
    <row r="3437" spans="1:7">
      <c r="A3437" s="263" t="s">
        <v>419</v>
      </c>
      <c r="B3437" s="263"/>
      <c r="C3437" s="263"/>
      <c r="D3437" s="263"/>
      <c r="E3437" s="263"/>
      <c r="F3437" s="263"/>
      <c r="G3437" s="80">
        <f>SUM(G3436)</f>
        <v>0</v>
      </c>
    </row>
    <row r="3438" spans="1:7">
      <c r="A3438" s="81" t="s">
        <v>38</v>
      </c>
      <c r="B3438" s="262" t="s">
        <v>39</v>
      </c>
      <c r="C3438" s="262"/>
      <c r="D3438" s="262"/>
      <c r="E3438" s="262"/>
      <c r="F3438" s="262"/>
      <c r="G3438" s="80">
        <f>SUM(G3424:G3437)/2</f>
        <v>256643.25</v>
      </c>
    </row>
    <row r="3439" spans="1:7">
      <c r="A3439" s="81" t="s">
        <v>40</v>
      </c>
      <c r="B3439" s="262" t="s">
        <v>180</v>
      </c>
      <c r="C3439" s="262"/>
      <c r="D3439" s="262"/>
      <c r="E3439" s="262"/>
      <c r="F3439" s="82">
        <v>0.1</v>
      </c>
      <c r="G3439" s="80">
        <f>G3438*F3439</f>
        <v>25664.325000000001</v>
      </c>
    </row>
    <row r="3440" spans="1:7">
      <c r="A3440" s="81" t="s">
        <v>41</v>
      </c>
      <c r="B3440" s="262" t="s">
        <v>42</v>
      </c>
      <c r="C3440" s="262"/>
      <c r="D3440" s="262"/>
      <c r="E3440" s="262"/>
      <c r="F3440" s="262"/>
      <c r="G3440" s="80">
        <f>G3438+G3439</f>
        <v>282307.57500000001</v>
      </c>
    </row>
    <row r="3441" spans="1:7">
      <c r="A3441" s="90"/>
      <c r="B3441" s="91"/>
      <c r="C3441" s="91"/>
      <c r="D3441" s="91"/>
      <c r="E3441" s="91"/>
      <c r="F3441" s="91"/>
      <c r="G3441" s="92"/>
    </row>
    <row r="3442" spans="1:7">
      <c r="A3442" s="4" t="s">
        <v>589</v>
      </c>
      <c r="B3442" s="91"/>
      <c r="C3442" s="91"/>
      <c r="D3442" s="91"/>
      <c r="E3442" s="91"/>
      <c r="F3442" s="91"/>
      <c r="G3442" s="92"/>
    </row>
    <row r="3443" spans="1:7" ht="30">
      <c r="A3443" s="79" t="s">
        <v>0</v>
      </c>
      <c r="B3443" s="79" t="s">
        <v>1</v>
      </c>
      <c r="C3443" s="79" t="s">
        <v>207</v>
      </c>
      <c r="D3443" s="79" t="s">
        <v>3</v>
      </c>
      <c r="E3443" s="79" t="s">
        <v>2</v>
      </c>
      <c r="F3443" s="79" t="s">
        <v>417</v>
      </c>
      <c r="G3443" s="79" t="s">
        <v>418</v>
      </c>
    </row>
    <row r="3444" spans="1:7">
      <c r="A3444" s="8" t="s">
        <v>4</v>
      </c>
      <c r="B3444" s="1" t="s">
        <v>5</v>
      </c>
      <c r="C3444" s="8"/>
      <c r="D3444" s="9"/>
      <c r="E3444" s="19"/>
      <c r="F3444" s="2"/>
      <c r="G3444" s="2"/>
    </row>
    <row r="3445" spans="1:7">
      <c r="A3445" s="8">
        <v>1</v>
      </c>
      <c r="B3445" s="1" t="s">
        <v>6</v>
      </c>
      <c r="C3445" s="8" t="s">
        <v>7</v>
      </c>
      <c r="D3445" s="9" t="s">
        <v>8</v>
      </c>
      <c r="E3445" s="10" t="s">
        <v>92</v>
      </c>
      <c r="F3445" s="86">
        <f>VLOOKUP(B3445,'HSD UPAH,BAHAN,ALAT'!$C$6:F3375,4,FALSE)</f>
        <v>100000</v>
      </c>
      <c r="G3445" s="87">
        <f t="shared" ref="G3445:G3447" si="414">E3445*F3445</f>
        <v>5000</v>
      </c>
    </row>
    <row r="3446" spans="1:7">
      <c r="A3446" s="8">
        <v>2</v>
      </c>
      <c r="B3446" s="1" t="s">
        <v>10</v>
      </c>
      <c r="C3446" s="8" t="s">
        <v>11</v>
      </c>
      <c r="D3446" s="9" t="s">
        <v>8</v>
      </c>
      <c r="E3446" s="10" t="s">
        <v>93</v>
      </c>
      <c r="F3446" s="86">
        <f>VLOOKUP(B3446,'HSD UPAH,BAHAN,ALAT'!$C$6:F3376,4,FALSE)</f>
        <v>120000</v>
      </c>
      <c r="G3446" s="87">
        <f t="shared" si="414"/>
        <v>1200</v>
      </c>
    </row>
    <row r="3447" spans="1:7">
      <c r="A3447" s="8">
        <v>3</v>
      </c>
      <c r="B3447" s="1" t="s">
        <v>13</v>
      </c>
      <c r="C3447" s="8" t="s">
        <v>14</v>
      </c>
      <c r="D3447" s="9" t="s">
        <v>8</v>
      </c>
      <c r="E3447" s="10" t="s">
        <v>94</v>
      </c>
      <c r="F3447" s="86">
        <f>VLOOKUP(B3447,'HSD UPAH,BAHAN,ALAT'!$C$6:F3377,4,FALSE)</f>
        <v>100000</v>
      </c>
      <c r="G3447" s="87">
        <f t="shared" si="414"/>
        <v>330</v>
      </c>
    </row>
    <row r="3448" spans="1:7">
      <c r="A3448" s="261" t="s">
        <v>420</v>
      </c>
      <c r="B3448" s="261"/>
      <c r="C3448" s="261"/>
      <c r="D3448" s="261"/>
      <c r="E3448" s="261"/>
      <c r="F3448" s="261"/>
      <c r="G3448" s="85">
        <f>SUM(G3444:G3447)</f>
        <v>6530</v>
      </c>
    </row>
    <row r="3449" spans="1:7">
      <c r="A3449" s="8" t="s">
        <v>16</v>
      </c>
      <c r="B3449" s="1" t="s">
        <v>17</v>
      </c>
      <c r="C3449" s="8"/>
      <c r="D3449" s="9"/>
      <c r="E3449" s="19"/>
      <c r="F3449" s="2"/>
      <c r="G3449" s="2"/>
    </row>
    <row r="3450" spans="1:7" ht="45">
      <c r="A3450" s="17" t="s">
        <v>208</v>
      </c>
      <c r="B3450" s="5" t="s">
        <v>326</v>
      </c>
      <c r="C3450" s="8"/>
      <c r="D3450" s="12" t="s">
        <v>86</v>
      </c>
      <c r="E3450" s="7" t="s">
        <v>211</v>
      </c>
      <c r="F3450" s="86">
        <f>VLOOKUP(B3450,'HSD UPAH,BAHAN,ALAT'!$C$6:F3380,4,FALSE)</f>
        <v>10000</v>
      </c>
      <c r="G3450" s="87">
        <f t="shared" ref="G3450:G3451" si="415">E3450*F3450</f>
        <v>250000</v>
      </c>
    </row>
    <row r="3451" spans="1:7">
      <c r="A3451" s="8">
        <v>2</v>
      </c>
      <c r="B3451" s="1" t="s">
        <v>18</v>
      </c>
      <c r="C3451" s="8"/>
      <c r="D3451" s="9" t="s">
        <v>19</v>
      </c>
      <c r="E3451" s="10">
        <v>5.0000000000000001E-3</v>
      </c>
      <c r="F3451" s="86">
        <f>VLOOKUP(B3451,'HSD UPAH,BAHAN,ALAT'!$C$6:F3381,4,FALSE)</f>
        <v>10000</v>
      </c>
      <c r="G3451" s="87">
        <f t="shared" si="415"/>
        <v>50</v>
      </c>
    </row>
    <row r="3452" spans="1:7">
      <c r="A3452" s="8">
        <v>3</v>
      </c>
      <c r="B3452" s="1" t="s">
        <v>26</v>
      </c>
      <c r="C3452" s="8"/>
      <c r="D3452" s="9"/>
      <c r="E3452" s="19"/>
      <c r="F3452" s="2"/>
      <c r="G3452" s="2"/>
    </row>
    <row r="3453" spans="1:7">
      <c r="A3453" s="8" t="s">
        <v>22</v>
      </c>
      <c r="B3453" s="1" t="s">
        <v>27</v>
      </c>
      <c r="C3453" s="8"/>
      <c r="D3453" s="9" t="s">
        <v>28</v>
      </c>
      <c r="E3453" s="10" t="s">
        <v>20</v>
      </c>
      <c r="F3453" s="86">
        <f>VLOOKUP(B3453,'HSD UPAH,BAHAN,ALAT'!$C$6:F3383,4,FALSE)</f>
        <v>10000</v>
      </c>
      <c r="G3453" s="87">
        <f t="shared" ref="G3453:G3455" si="416">E3453*F3453</f>
        <v>50</v>
      </c>
    </row>
    <row r="3454" spans="1:7">
      <c r="A3454" s="8" t="s">
        <v>30</v>
      </c>
      <c r="B3454" s="1" t="s">
        <v>31</v>
      </c>
      <c r="C3454" s="8"/>
      <c r="D3454" s="9" t="s">
        <v>28</v>
      </c>
      <c r="E3454" s="10" t="s">
        <v>95</v>
      </c>
      <c r="F3454" s="86">
        <f>VLOOKUP(B3454,'HSD UPAH,BAHAN,ALAT'!$C$6:F3384,4,FALSE)</f>
        <v>10000</v>
      </c>
      <c r="G3454" s="87">
        <f t="shared" si="416"/>
        <v>10</v>
      </c>
    </row>
    <row r="3455" spans="1:7">
      <c r="A3455" s="8" t="s">
        <v>33</v>
      </c>
      <c r="B3455" s="1" t="s">
        <v>34</v>
      </c>
      <c r="C3455" s="8"/>
      <c r="D3455" s="9" t="s">
        <v>28</v>
      </c>
      <c r="E3455" s="10" t="s">
        <v>96</v>
      </c>
      <c r="F3455" s="86">
        <f>VLOOKUP(B3455,'HSD UPAH,BAHAN,ALAT'!$C$6:F3385,4,FALSE)</f>
        <v>10000</v>
      </c>
      <c r="G3455" s="87">
        <f t="shared" si="416"/>
        <v>3.25</v>
      </c>
    </row>
    <row r="3456" spans="1:7">
      <c r="A3456" s="261" t="s">
        <v>421</v>
      </c>
      <c r="B3456" s="261"/>
      <c r="C3456" s="261"/>
      <c r="D3456" s="261"/>
      <c r="E3456" s="261"/>
      <c r="F3456" s="261"/>
      <c r="G3456" s="85">
        <f>SUM(G3450:G3455)</f>
        <v>250113.25</v>
      </c>
    </row>
    <row r="3457" spans="1:7">
      <c r="A3457" s="8" t="s">
        <v>36</v>
      </c>
      <c r="B3457" s="1" t="s">
        <v>37</v>
      </c>
      <c r="C3457" s="8"/>
      <c r="D3457" s="9"/>
      <c r="E3457" s="19"/>
      <c r="F3457" s="2"/>
      <c r="G3457" s="2"/>
    </row>
    <row r="3458" spans="1:7">
      <c r="A3458" s="263" t="s">
        <v>419</v>
      </c>
      <c r="B3458" s="263"/>
      <c r="C3458" s="263"/>
      <c r="D3458" s="263"/>
      <c r="E3458" s="263"/>
      <c r="F3458" s="263"/>
      <c r="G3458" s="80">
        <f>SUM(G3457)</f>
        <v>0</v>
      </c>
    </row>
    <row r="3459" spans="1:7">
      <c r="A3459" s="81" t="s">
        <v>38</v>
      </c>
      <c r="B3459" s="262" t="s">
        <v>39</v>
      </c>
      <c r="C3459" s="262"/>
      <c r="D3459" s="262"/>
      <c r="E3459" s="262"/>
      <c r="F3459" s="262"/>
      <c r="G3459" s="80">
        <f>SUM(G3444:G3458)/2</f>
        <v>256643.25</v>
      </c>
    </row>
    <row r="3460" spans="1:7">
      <c r="A3460" s="81" t="s">
        <v>40</v>
      </c>
      <c r="B3460" s="262" t="s">
        <v>180</v>
      </c>
      <c r="C3460" s="262"/>
      <c r="D3460" s="262"/>
      <c r="E3460" s="262"/>
      <c r="F3460" s="82">
        <v>0.1</v>
      </c>
      <c r="G3460" s="80">
        <f>G3459*F3460</f>
        <v>25664.325000000001</v>
      </c>
    </row>
    <row r="3461" spans="1:7">
      <c r="A3461" s="81" t="s">
        <v>41</v>
      </c>
      <c r="B3461" s="262" t="s">
        <v>42</v>
      </c>
      <c r="C3461" s="262"/>
      <c r="D3461" s="262"/>
      <c r="E3461" s="262"/>
      <c r="F3461" s="262"/>
      <c r="G3461" s="80">
        <f>G3459+G3460</f>
        <v>282307.57500000001</v>
      </c>
    </row>
    <row r="3462" spans="1:7">
      <c r="A3462" s="90"/>
      <c r="B3462" s="91"/>
      <c r="C3462" s="91"/>
      <c r="D3462" s="91"/>
      <c r="E3462" s="91"/>
      <c r="F3462" s="91"/>
      <c r="G3462" s="92"/>
    </row>
    <row r="3463" spans="1:7">
      <c r="A3463" s="4" t="s">
        <v>590</v>
      </c>
      <c r="B3463" s="91"/>
      <c r="C3463" s="91"/>
      <c r="D3463" s="91"/>
      <c r="E3463" s="91"/>
      <c r="F3463" s="91"/>
      <c r="G3463" s="92"/>
    </row>
    <row r="3464" spans="1:7" ht="30">
      <c r="A3464" s="79" t="s">
        <v>0</v>
      </c>
      <c r="B3464" s="79" t="s">
        <v>1</v>
      </c>
      <c r="C3464" s="79" t="s">
        <v>207</v>
      </c>
      <c r="D3464" s="79" t="s">
        <v>3</v>
      </c>
      <c r="E3464" s="79" t="s">
        <v>2</v>
      </c>
      <c r="F3464" s="79" t="s">
        <v>417</v>
      </c>
      <c r="G3464" s="79" t="s">
        <v>418</v>
      </c>
    </row>
    <row r="3465" spans="1:7">
      <c r="A3465" s="8" t="s">
        <v>4</v>
      </c>
      <c r="B3465" s="1" t="s">
        <v>5</v>
      </c>
      <c r="C3465" s="8"/>
      <c r="D3465" s="9"/>
      <c r="E3465" s="19"/>
      <c r="F3465" s="2"/>
      <c r="G3465" s="2"/>
    </row>
    <row r="3466" spans="1:7">
      <c r="A3466" s="8">
        <v>1</v>
      </c>
      <c r="B3466" s="1" t="s">
        <v>6</v>
      </c>
      <c r="C3466" s="8" t="s">
        <v>7</v>
      </c>
      <c r="D3466" s="9" t="s">
        <v>8</v>
      </c>
      <c r="E3466" s="10" t="s">
        <v>92</v>
      </c>
      <c r="F3466" s="86">
        <f>VLOOKUP(B3466,'HSD UPAH,BAHAN,ALAT'!$C$6:F3394,4,FALSE)</f>
        <v>100000</v>
      </c>
      <c r="G3466" s="87">
        <f t="shared" ref="G3466:G3468" si="417">E3466*F3466</f>
        <v>5000</v>
      </c>
    </row>
    <row r="3467" spans="1:7">
      <c r="A3467" s="8">
        <v>2</v>
      </c>
      <c r="B3467" s="1" t="s">
        <v>10</v>
      </c>
      <c r="C3467" s="8" t="s">
        <v>11</v>
      </c>
      <c r="D3467" s="9" t="s">
        <v>8</v>
      </c>
      <c r="E3467" s="10" t="s">
        <v>93</v>
      </c>
      <c r="F3467" s="86">
        <f>VLOOKUP(B3467,'HSD UPAH,BAHAN,ALAT'!$C$6:F3395,4,FALSE)</f>
        <v>120000</v>
      </c>
      <c r="G3467" s="87">
        <f t="shared" si="417"/>
        <v>1200</v>
      </c>
    </row>
    <row r="3468" spans="1:7">
      <c r="A3468" s="8">
        <v>3</v>
      </c>
      <c r="B3468" s="1" t="s">
        <v>13</v>
      </c>
      <c r="C3468" s="8" t="s">
        <v>14</v>
      </c>
      <c r="D3468" s="9" t="s">
        <v>8</v>
      </c>
      <c r="E3468" s="10" t="s">
        <v>94</v>
      </c>
      <c r="F3468" s="86">
        <f>VLOOKUP(B3468,'HSD UPAH,BAHAN,ALAT'!$C$6:F3396,4,FALSE)</f>
        <v>100000</v>
      </c>
      <c r="G3468" s="87">
        <f t="shared" si="417"/>
        <v>330</v>
      </c>
    </row>
    <row r="3469" spans="1:7">
      <c r="A3469" s="261" t="s">
        <v>420</v>
      </c>
      <c r="B3469" s="261"/>
      <c r="C3469" s="261"/>
      <c r="D3469" s="261"/>
      <c r="E3469" s="261"/>
      <c r="F3469" s="261"/>
      <c r="G3469" s="85">
        <f>SUM(G3465:G3468)</f>
        <v>6530</v>
      </c>
    </row>
    <row r="3470" spans="1:7">
      <c r="A3470" s="8" t="s">
        <v>16</v>
      </c>
      <c r="B3470" s="1" t="s">
        <v>17</v>
      </c>
      <c r="C3470" s="8"/>
      <c r="D3470" s="9"/>
      <c r="E3470" s="19"/>
      <c r="F3470" s="2"/>
      <c r="G3470" s="2"/>
    </row>
    <row r="3471" spans="1:7" ht="30">
      <c r="A3471" s="17" t="s">
        <v>208</v>
      </c>
      <c r="B3471" s="5" t="s">
        <v>327</v>
      </c>
      <c r="C3471" s="8"/>
      <c r="D3471" s="12" t="s">
        <v>86</v>
      </c>
      <c r="E3471" s="7" t="s">
        <v>211</v>
      </c>
      <c r="F3471" s="86">
        <f>VLOOKUP(B3471,'HSD UPAH,BAHAN,ALAT'!$C$6:F3399,4,FALSE)</f>
        <v>10000</v>
      </c>
      <c r="G3471" s="87">
        <f t="shared" ref="G3471:G3472" si="418">E3471*F3471</f>
        <v>250000</v>
      </c>
    </row>
    <row r="3472" spans="1:7">
      <c r="A3472" s="8">
        <v>2</v>
      </c>
      <c r="B3472" s="1" t="s">
        <v>18</v>
      </c>
      <c r="C3472" s="8"/>
      <c r="D3472" s="9" t="s">
        <v>19</v>
      </c>
      <c r="E3472" s="10">
        <v>5.0000000000000001E-3</v>
      </c>
      <c r="F3472" s="86">
        <f>VLOOKUP(B3472,'HSD UPAH,BAHAN,ALAT'!$C$6:F3400,4,FALSE)</f>
        <v>10000</v>
      </c>
      <c r="G3472" s="87">
        <f t="shared" si="418"/>
        <v>50</v>
      </c>
    </row>
    <row r="3473" spans="1:7">
      <c r="A3473" s="8">
        <v>3</v>
      </c>
      <c r="B3473" s="1" t="s">
        <v>26</v>
      </c>
      <c r="C3473" s="8"/>
      <c r="D3473" s="9"/>
      <c r="E3473" s="19"/>
      <c r="F3473" s="2"/>
      <c r="G3473" s="2"/>
    </row>
    <row r="3474" spans="1:7">
      <c r="A3474" s="8" t="s">
        <v>22</v>
      </c>
      <c r="B3474" s="1" t="s">
        <v>27</v>
      </c>
      <c r="C3474" s="8"/>
      <c r="D3474" s="9" t="s">
        <v>28</v>
      </c>
      <c r="E3474" s="10" t="s">
        <v>20</v>
      </c>
      <c r="F3474" s="86">
        <f>VLOOKUP(B3474,'HSD UPAH,BAHAN,ALAT'!$C$6:F3402,4,FALSE)</f>
        <v>10000</v>
      </c>
      <c r="G3474" s="87">
        <f t="shared" ref="G3474:G3476" si="419">E3474*F3474</f>
        <v>50</v>
      </c>
    </row>
    <row r="3475" spans="1:7">
      <c r="A3475" s="8" t="s">
        <v>30</v>
      </c>
      <c r="B3475" s="1" t="s">
        <v>31</v>
      </c>
      <c r="C3475" s="8"/>
      <c r="D3475" s="9" t="s">
        <v>28</v>
      </c>
      <c r="E3475" s="10" t="s">
        <v>95</v>
      </c>
      <c r="F3475" s="86">
        <f>VLOOKUP(B3475,'HSD UPAH,BAHAN,ALAT'!$C$6:F3403,4,FALSE)</f>
        <v>10000</v>
      </c>
      <c r="G3475" s="87">
        <f t="shared" si="419"/>
        <v>10</v>
      </c>
    </row>
    <row r="3476" spans="1:7">
      <c r="A3476" s="8" t="s">
        <v>33</v>
      </c>
      <c r="B3476" s="1" t="s">
        <v>34</v>
      </c>
      <c r="C3476" s="8"/>
      <c r="D3476" s="9" t="s">
        <v>28</v>
      </c>
      <c r="E3476" s="10" t="s">
        <v>96</v>
      </c>
      <c r="F3476" s="86">
        <f>VLOOKUP(B3476,'HSD UPAH,BAHAN,ALAT'!$C$6:F3404,4,FALSE)</f>
        <v>10000</v>
      </c>
      <c r="G3476" s="87">
        <f t="shared" si="419"/>
        <v>3.25</v>
      </c>
    </row>
    <row r="3477" spans="1:7">
      <c r="A3477" s="261" t="s">
        <v>421</v>
      </c>
      <c r="B3477" s="261"/>
      <c r="C3477" s="261"/>
      <c r="D3477" s="261"/>
      <c r="E3477" s="261"/>
      <c r="F3477" s="261"/>
      <c r="G3477" s="85">
        <f>SUM(G3471:G3476)</f>
        <v>250113.25</v>
      </c>
    </row>
    <row r="3478" spans="1:7">
      <c r="A3478" s="8" t="s">
        <v>36</v>
      </c>
      <c r="B3478" s="1" t="s">
        <v>37</v>
      </c>
      <c r="C3478" s="8"/>
      <c r="D3478" s="9"/>
      <c r="E3478" s="19"/>
      <c r="F3478" s="2"/>
      <c r="G3478" s="2"/>
    </row>
    <row r="3479" spans="1:7">
      <c r="A3479" s="263" t="s">
        <v>419</v>
      </c>
      <c r="B3479" s="263"/>
      <c r="C3479" s="263"/>
      <c r="D3479" s="263"/>
      <c r="E3479" s="263"/>
      <c r="F3479" s="263"/>
      <c r="G3479" s="80">
        <f>SUM(G3478)</f>
        <v>0</v>
      </c>
    </row>
    <row r="3480" spans="1:7">
      <c r="A3480" s="81" t="s">
        <v>38</v>
      </c>
      <c r="B3480" s="262" t="s">
        <v>39</v>
      </c>
      <c r="C3480" s="262"/>
      <c r="D3480" s="262"/>
      <c r="E3480" s="262"/>
      <c r="F3480" s="262"/>
      <c r="G3480" s="80">
        <f>SUM(G3465:G3479)/2</f>
        <v>256643.25</v>
      </c>
    </row>
    <row r="3481" spans="1:7">
      <c r="A3481" s="81" t="s">
        <v>40</v>
      </c>
      <c r="B3481" s="262" t="s">
        <v>180</v>
      </c>
      <c r="C3481" s="262"/>
      <c r="D3481" s="262"/>
      <c r="E3481" s="262"/>
      <c r="F3481" s="82">
        <v>0.1</v>
      </c>
      <c r="G3481" s="80">
        <f>G3480*F3481</f>
        <v>25664.325000000001</v>
      </c>
    </row>
    <row r="3482" spans="1:7">
      <c r="A3482" s="81" t="s">
        <v>41</v>
      </c>
      <c r="B3482" s="262" t="s">
        <v>42</v>
      </c>
      <c r="C3482" s="262"/>
      <c r="D3482" s="262"/>
      <c r="E3482" s="262"/>
      <c r="F3482" s="262"/>
      <c r="G3482" s="80">
        <f>G3480+G3481</f>
        <v>282307.57500000001</v>
      </c>
    </row>
    <row r="3483" spans="1:7">
      <c r="A3483" s="90"/>
      <c r="B3483" s="91"/>
      <c r="C3483" s="91"/>
      <c r="D3483" s="91"/>
      <c r="E3483" s="91"/>
      <c r="F3483" s="91"/>
      <c r="G3483" s="92"/>
    </row>
    <row r="3484" spans="1:7">
      <c r="A3484" t="s">
        <v>680</v>
      </c>
      <c r="B3484" s="91"/>
      <c r="C3484" s="91"/>
      <c r="D3484" s="91"/>
      <c r="E3484" s="91"/>
      <c r="F3484" s="91"/>
      <c r="G3484" s="92"/>
    </row>
    <row r="3485" spans="1:7" ht="30">
      <c r="A3485" s="156" t="s">
        <v>0</v>
      </c>
      <c r="B3485" s="156" t="s">
        <v>1</v>
      </c>
      <c r="C3485" s="156" t="s">
        <v>207</v>
      </c>
      <c r="D3485" s="156" t="s">
        <v>3</v>
      </c>
      <c r="E3485" s="156" t="s">
        <v>2</v>
      </c>
      <c r="F3485" s="156" t="s">
        <v>417</v>
      </c>
      <c r="G3485" s="156" t="s">
        <v>418</v>
      </c>
    </row>
    <row r="3486" spans="1:7">
      <c r="A3486" s="157" t="s">
        <v>4</v>
      </c>
      <c r="B3486" s="158" t="s">
        <v>5</v>
      </c>
      <c r="C3486" s="157"/>
      <c r="D3486" s="159"/>
      <c r="E3486" s="160"/>
      <c r="F3486" s="88"/>
      <c r="G3486" s="88"/>
    </row>
    <row r="3487" spans="1:7">
      <c r="A3487" s="157">
        <v>1</v>
      </c>
      <c r="B3487" s="158" t="s">
        <v>6</v>
      </c>
      <c r="C3487" s="157" t="s">
        <v>7</v>
      </c>
      <c r="D3487" s="159" t="s">
        <v>8</v>
      </c>
      <c r="E3487" s="161" t="s">
        <v>92</v>
      </c>
      <c r="F3487" s="86">
        <f>VLOOKUP(B3487,'HSD UPAH,BAHAN,ALAT'!$C$6:F3413,4,FALSE)</f>
        <v>100000</v>
      </c>
      <c r="G3487" s="87">
        <f t="shared" ref="G3487:G3489" si="420">E3487*F3487</f>
        <v>5000</v>
      </c>
    </row>
    <row r="3488" spans="1:7">
      <c r="A3488" s="157">
        <v>2</v>
      </c>
      <c r="B3488" s="158" t="s">
        <v>10</v>
      </c>
      <c r="C3488" s="157" t="s">
        <v>11</v>
      </c>
      <c r="D3488" s="159" t="s">
        <v>8</v>
      </c>
      <c r="E3488" s="161" t="s">
        <v>93</v>
      </c>
      <c r="F3488" s="86">
        <f>VLOOKUP(B3488,'HSD UPAH,BAHAN,ALAT'!$C$6:F3414,4,FALSE)</f>
        <v>120000</v>
      </c>
      <c r="G3488" s="87">
        <f t="shared" si="420"/>
        <v>1200</v>
      </c>
    </row>
    <row r="3489" spans="1:7">
      <c r="A3489" s="157">
        <v>3</v>
      </c>
      <c r="B3489" s="158" t="s">
        <v>13</v>
      </c>
      <c r="C3489" s="157" t="s">
        <v>14</v>
      </c>
      <c r="D3489" s="159" t="s">
        <v>8</v>
      </c>
      <c r="E3489" s="161" t="s">
        <v>94</v>
      </c>
      <c r="F3489" s="86">
        <f>VLOOKUP(B3489,'HSD UPAH,BAHAN,ALAT'!$C$6:F3415,4,FALSE)</f>
        <v>100000</v>
      </c>
      <c r="G3489" s="87">
        <f t="shared" si="420"/>
        <v>330</v>
      </c>
    </row>
    <row r="3490" spans="1:7">
      <c r="A3490" s="266" t="s">
        <v>420</v>
      </c>
      <c r="B3490" s="266"/>
      <c r="C3490" s="266"/>
      <c r="D3490" s="266"/>
      <c r="E3490" s="266"/>
      <c r="F3490" s="266"/>
      <c r="G3490" s="162">
        <f>SUM(G3486:G3489)</f>
        <v>6530</v>
      </c>
    </row>
    <row r="3491" spans="1:7">
      <c r="A3491" s="157" t="s">
        <v>16</v>
      </c>
      <c r="B3491" s="158" t="s">
        <v>17</v>
      </c>
      <c r="C3491" s="157"/>
      <c r="D3491" s="159"/>
      <c r="E3491" s="160"/>
      <c r="F3491" s="88"/>
      <c r="G3491" s="88"/>
    </row>
    <row r="3492" spans="1:7" ht="30">
      <c r="A3492" s="163" t="s">
        <v>208</v>
      </c>
      <c r="B3492" s="164" t="s">
        <v>328</v>
      </c>
      <c r="C3492" s="157"/>
      <c r="D3492" s="165" t="s">
        <v>86</v>
      </c>
      <c r="E3492" s="166" t="s">
        <v>211</v>
      </c>
      <c r="F3492" s="86">
        <f>VLOOKUP(B3492,'HSD UPAH,BAHAN,ALAT'!$C$6:F3418,4,FALSE)</f>
        <v>10000</v>
      </c>
      <c r="G3492" s="87">
        <f t="shared" ref="G3492:G3493" si="421">E3492*F3492</f>
        <v>250000</v>
      </c>
    </row>
    <row r="3493" spans="1:7">
      <c r="A3493" s="157">
        <v>2</v>
      </c>
      <c r="B3493" s="158" t="s">
        <v>18</v>
      </c>
      <c r="C3493" s="157"/>
      <c r="D3493" s="159" t="s">
        <v>19</v>
      </c>
      <c r="E3493" s="161">
        <v>5.0000000000000001E-3</v>
      </c>
      <c r="F3493" s="86">
        <f>VLOOKUP(B3493,'HSD UPAH,BAHAN,ALAT'!$C$6:F3419,4,FALSE)</f>
        <v>10000</v>
      </c>
      <c r="G3493" s="87">
        <f t="shared" si="421"/>
        <v>50</v>
      </c>
    </row>
    <row r="3494" spans="1:7">
      <c r="A3494" s="157">
        <v>3</v>
      </c>
      <c r="B3494" s="158" t="s">
        <v>26</v>
      </c>
      <c r="C3494" s="157"/>
      <c r="D3494" s="159"/>
      <c r="E3494" s="160"/>
      <c r="F3494" s="88"/>
      <c r="G3494" s="88"/>
    </row>
    <row r="3495" spans="1:7">
      <c r="A3495" s="157" t="s">
        <v>22</v>
      </c>
      <c r="B3495" s="158" t="s">
        <v>27</v>
      </c>
      <c r="C3495" s="157"/>
      <c r="D3495" s="159" t="s">
        <v>28</v>
      </c>
      <c r="E3495" s="161" t="s">
        <v>20</v>
      </c>
      <c r="F3495" s="86">
        <f>VLOOKUP(B3495,'HSD UPAH,BAHAN,ALAT'!$C$6:F3421,4,FALSE)</f>
        <v>10000</v>
      </c>
      <c r="G3495" s="87">
        <f t="shared" ref="G3495:G3497" si="422">E3495*F3495</f>
        <v>50</v>
      </c>
    </row>
    <row r="3496" spans="1:7">
      <c r="A3496" s="157" t="s">
        <v>30</v>
      </c>
      <c r="B3496" s="158" t="s">
        <v>31</v>
      </c>
      <c r="C3496" s="157"/>
      <c r="D3496" s="159" t="s">
        <v>28</v>
      </c>
      <c r="E3496" s="161" t="s">
        <v>95</v>
      </c>
      <c r="F3496" s="86">
        <f>VLOOKUP(B3496,'HSD UPAH,BAHAN,ALAT'!$C$6:F3422,4,FALSE)</f>
        <v>10000</v>
      </c>
      <c r="G3496" s="87">
        <f t="shared" si="422"/>
        <v>10</v>
      </c>
    </row>
    <row r="3497" spans="1:7">
      <c r="A3497" s="157" t="s">
        <v>33</v>
      </c>
      <c r="B3497" s="158" t="s">
        <v>34</v>
      </c>
      <c r="C3497" s="157"/>
      <c r="D3497" s="159" t="s">
        <v>28</v>
      </c>
      <c r="E3497" s="161" t="s">
        <v>96</v>
      </c>
      <c r="F3497" s="86">
        <f>VLOOKUP(B3497,'HSD UPAH,BAHAN,ALAT'!$C$6:F3423,4,FALSE)</f>
        <v>10000</v>
      </c>
      <c r="G3497" s="87">
        <f t="shared" si="422"/>
        <v>3.25</v>
      </c>
    </row>
    <row r="3498" spans="1:7">
      <c r="A3498" s="266" t="s">
        <v>421</v>
      </c>
      <c r="B3498" s="266"/>
      <c r="C3498" s="266"/>
      <c r="D3498" s="266"/>
      <c r="E3498" s="266"/>
      <c r="F3498" s="266"/>
      <c r="G3498" s="162">
        <f>SUM(G3492:G3497)</f>
        <v>250113.25</v>
      </c>
    </row>
    <row r="3499" spans="1:7">
      <c r="A3499" s="157" t="s">
        <v>36</v>
      </c>
      <c r="B3499" s="158" t="s">
        <v>37</v>
      </c>
      <c r="C3499" s="157"/>
      <c r="D3499" s="159"/>
      <c r="E3499" s="160"/>
      <c r="F3499" s="88"/>
      <c r="G3499" s="88"/>
    </row>
    <row r="3500" spans="1:7">
      <c r="A3500" s="265" t="s">
        <v>419</v>
      </c>
      <c r="B3500" s="265"/>
      <c r="C3500" s="265"/>
      <c r="D3500" s="265"/>
      <c r="E3500" s="265"/>
      <c r="F3500" s="265"/>
      <c r="G3500" s="167">
        <f>SUM(G3499)</f>
        <v>0</v>
      </c>
    </row>
    <row r="3501" spans="1:7">
      <c r="A3501" s="168" t="s">
        <v>38</v>
      </c>
      <c r="B3501" s="264" t="s">
        <v>39</v>
      </c>
      <c r="C3501" s="264"/>
      <c r="D3501" s="264"/>
      <c r="E3501" s="264"/>
      <c r="F3501" s="264"/>
      <c r="G3501" s="167">
        <f>SUM(G3487:G3500)/2</f>
        <v>256643.25</v>
      </c>
    </row>
    <row r="3502" spans="1:7">
      <c r="A3502" s="168" t="s">
        <v>40</v>
      </c>
      <c r="B3502" s="264" t="s">
        <v>180</v>
      </c>
      <c r="C3502" s="264"/>
      <c r="D3502" s="264"/>
      <c r="E3502" s="264"/>
      <c r="F3502" s="169">
        <v>0.1</v>
      </c>
      <c r="G3502" s="167">
        <f>G3501*F3502</f>
        <v>25664.325000000001</v>
      </c>
    </row>
    <row r="3503" spans="1:7">
      <c r="A3503" s="168" t="s">
        <v>41</v>
      </c>
      <c r="B3503" s="264" t="s">
        <v>42</v>
      </c>
      <c r="C3503" s="264"/>
      <c r="D3503" s="264"/>
      <c r="E3503" s="264"/>
      <c r="F3503" s="264"/>
      <c r="G3503" s="167">
        <f>G3501+G3502</f>
        <v>282307.57500000001</v>
      </c>
    </row>
    <row r="3504" spans="1:7">
      <c r="A3504" s="90"/>
      <c r="B3504" s="91"/>
      <c r="C3504" s="91"/>
      <c r="D3504" s="91"/>
      <c r="E3504" s="91"/>
      <c r="F3504" s="91"/>
      <c r="G3504" s="92"/>
    </row>
    <row r="3505" spans="1:7">
      <c r="A3505" s="4" t="s">
        <v>591</v>
      </c>
      <c r="B3505" s="91"/>
      <c r="C3505" s="91"/>
      <c r="D3505" s="91"/>
      <c r="E3505" s="91"/>
      <c r="F3505" s="91"/>
      <c r="G3505" s="92"/>
    </row>
    <row r="3506" spans="1:7" ht="30">
      <c r="A3506" s="79" t="s">
        <v>0</v>
      </c>
      <c r="B3506" s="79" t="s">
        <v>1</v>
      </c>
      <c r="C3506" s="79" t="s">
        <v>207</v>
      </c>
      <c r="D3506" s="79" t="s">
        <v>3</v>
      </c>
      <c r="E3506" s="79" t="s">
        <v>2</v>
      </c>
      <c r="F3506" s="79" t="s">
        <v>417</v>
      </c>
      <c r="G3506" s="79" t="s">
        <v>418</v>
      </c>
    </row>
    <row r="3507" spans="1:7">
      <c r="A3507" s="8" t="s">
        <v>4</v>
      </c>
      <c r="B3507" s="1" t="s">
        <v>5</v>
      </c>
      <c r="C3507" s="8"/>
      <c r="D3507" s="9"/>
      <c r="E3507" s="19"/>
      <c r="F3507" s="2"/>
      <c r="G3507" s="2"/>
    </row>
    <row r="3508" spans="1:7">
      <c r="A3508" s="8">
        <v>1</v>
      </c>
      <c r="B3508" s="1" t="s">
        <v>6</v>
      </c>
      <c r="C3508" s="8" t="s">
        <v>7</v>
      </c>
      <c r="D3508" s="9" t="s">
        <v>8</v>
      </c>
      <c r="E3508" s="10" t="s">
        <v>92</v>
      </c>
      <c r="F3508" s="86">
        <f>VLOOKUP(B3508,'HSD UPAH,BAHAN,ALAT'!$C$6:F3432,4,FALSE)</f>
        <v>100000</v>
      </c>
      <c r="G3508" s="87">
        <f t="shared" ref="G3508:G3510" si="423">E3508*F3508</f>
        <v>5000</v>
      </c>
    </row>
    <row r="3509" spans="1:7">
      <c r="A3509" s="8">
        <v>2</v>
      </c>
      <c r="B3509" s="1" t="s">
        <v>10</v>
      </c>
      <c r="C3509" s="8" t="s">
        <v>11</v>
      </c>
      <c r="D3509" s="9" t="s">
        <v>8</v>
      </c>
      <c r="E3509" s="10" t="s">
        <v>93</v>
      </c>
      <c r="F3509" s="86">
        <f>VLOOKUP(B3509,'HSD UPAH,BAHAN,ALAT'!$C$6:F3433,4,FALSE)</f>
        <v>120000</v>
      </c>
      <c r="G3509" s="87">
        <f t="shared" si="423"/>
        <v>1200</v>
      </c>
    </row>
    <row r="3510" spans="1:7">
      <c r="A3510" s="8">
        <v>3</v>
      </c>
      <c r="B3510" s="1" t="s">
        <v>13</v>
      </c>
      <c r="C3510" s="8" t="s">
        <v>14</v>
      </c>
      <c r="D3510" s="9" t="s">
        <v>8</v>
      </c>
      <c r="E3510" s="10" t="s">
        <v>94</v>
      </c>
      <c r="F3510" s="86">
        <f>VLOOKUP(B3510,'HSD UPAH,BAHAN,ALAT'!$C$6:F3434,4,FALSE)</f>
        <v>100000</v>
      </c>
      <c r="G3510" s="87">
        <f t="shared" si="423"/>
        <v>330</v>
      </c>
    </row>
    <row r="3511" spans="1:7">
      <c r="A3511" s="261" t="s">
        <v>420</v>
      </c>
      <c r="B3511" s="261"/>
      <c r="C3511" s="261"/>
      <c r="D3511" s="261"/>
      <c r="E3511" s="261"/>
      <c r="F3511" s="261"/>
      <c r="G3511" s="85">
        <f>SUM(G3507:G3510)</f>
        <v>6530</v>
      </c>
    </row>
    <row r="3512" spans="1:7">
      <c r="A3512" s="8" t="s">
        <v>16</v>
      </c>
      <c r="B3512" s="1" t="s">
        <v>17</v>
      </c>
      <c r="C3512" s="8"/>
      <c r="D3512" s="9"/>
      <c r="E3512" s="19"/>
      <c r="F3512" s="2"/>
      <c r="G3512" s="2"/>
    </row>
    <row r="3513" spans="1:7" ht="30">
      <c r="A3513" s="17" t="s">
        <v>208</v>
      </c>
      <c r="B3513" s="5" t="s">
        <v>329</v>
      </c>
      <c r="C3513" s="8"/>
      <c r="D3513" s="12" t="s">
        <v>86</v>
      </c>
      <c r="E3513" s="7" t="s">
        <v>211</v>
      </c>
      <c r="F3513" s="86">
        <f>VLOOKUP(B3513,'HSD UPAH,BAHAN,ALAT'!$C$6:F3437,4,FALSE)</f>
        <v>10000</v>
      </c>
      <c r="G3513" s="87">
        <f t="shared" ref="G3513:G3514" si="424">E3513*F3513</f>
        <v>250000</v>
      </c>
    </row>
    <row r="3514" spans="1:7">
      <c r="A3514" s="8">
        <v>2</v>
      </c>
      <c r="B3514" s="1" t="s">
        <v>18</v>
      </c>
      <c r="C3514" s="8"/>
      <c r="D3514" s="9" t="s">
        <v>19</v>
      </c>
      <c r="E3514" s="10">
        <v>5.0000000000000001E-3</v>
      </c>
      <c r="F3514" s="86">
        <f>VLOOKUP(B3514,'HSD UPAH,BAHAN,ALAT'!$C$6:F3438,4,FALSE)</f>
        <v>10000</v>
      </c>
      <c r="G3514" s="87">
        <f t="shared" si="424"/>
        <v>50</v>
      </c>
    </row>
    <row r="3515" spans="1:7">
      <c r="A3515" s="8">
        <v>3</v>
      </c>
      <c r="B3515" s="1" t="s">
        <v>26</v>
      </c>
      <c r="C3515" s="8"/>
      <c r="D3515" s="9"/>
      <c r="E3515" s="19"/>
      <c r="F3515" s="2"/>
      <c r="G3515" s="2"/>
    </row>
    <row r="3516" spans="1:7">
      <c r="A3516" s="8" t="s">
        <v>22</v>
      </c>
      <c r="B3516" s="1" t="s">
        <v>27</v>
      </c>
      <c r="C3516" s="8"/>
      <c r="D3516" s="9" t="s">
        <v>28</v>
      </c>
      <c r="E3516" s="10" t="s">
        <v>20</v>
      </c>
      <c r="F3516" s="86">
        <f>VLOOKUP(B3516,'HSD UPAH,BAHAN,ALAT'!$C$6:F3440,4,FALSE)</f>
        <v>10000</v>
      </c>
      <c r="G3516" s="87">
        <f t="shared" ref="G3516:G3518" si="425">E3516*F3516</f>
        <v>50</v>
      </c>
    </row>
    <row r="3517" spans="1:7">
      <c r="A3517" s="8" t="s">
        <v>30</v>
      </c>
      <c r="B3517" s="1" t="s">
        <v>31</v>
      </c>
      <c r="C3517" s="8"/>
      <c r="D3517" s="9" t="s">
        <v>28</v>
      </c>
      <c r="E3517" s="10" t="s">
        <v>95</v>
      </c>
      <c r="F3517" s="86">
        <f>VLOOKUP(B3517,'HSD UPAH,BAHAN,ALAT'!$C$6:F3441,4,FALSE)</f>
        <v>10000</v>
      </c>
      <c r="G3517" s="87">
        <f t="shared" si="425"/>
        <v>10</v>
      </c>
    </row>
    <row r="3518" spans="1:7">
      <c r="A3518" s="8" t="s">
        <v>33</v>
      </c>
      <c r="B3518" s="1" t="s">
        <v>34</v>
      </c>
      <c r="C3518" s="8"/>
      <c r="D3518" s="9" t="s">
        <v>28</v>
      </c>
      <c r="E3518" s="10" t="s">
        <v>96</v>
      </c>
      <c r="F3518" s="86">
        <f>VLOOKUP(B3518,'HSD UPAH,BAHAN,ALAT'!$C$6:F3442,4,FALSE)</f>
        <v>10000</v>
      </c>
      <c r="G3518" s="87">
        <f t="shared" si="425"/>
        <v>3.25</v>
      </c>
    </row>
    <row r="3519" spans="1:7">
      <c r="A3519" s="261" t="s">
        <v>421</v>
      </c>
      <c r="B3519" s="261"/>
      <c r="C3519" s="261"/>
      <c r="D3519" s="261"/>
      <c r="E3519" s="261"/>
      <c r="F3519" s="261"/>
      <c r="G3519" s="85">
        <f>SUM(G3513:G3518)</f>
        <v>250113.25</v>
      </c>
    </row>
    <row r="3520" spans="1:7">
      <c r="A3520" s="8" t="s">
        <v>36</v>
      </c>
      <c r="B3520" s="1" t="s">
        <v>37</v>
      </c>
      <c r="C3520" s="8"/>
      <c r="D3520" s="9"/>
      <c r="E3520" s="19"/>
      <c r="F3520" s="2"/>
      <c r="G3520" s="2"/>
    </row>
    <row r="3521" spans="1:7">
      <c r="A3521" s="263" t="s">
        <v>419</v>
      </c>
      <c r="B3521" s="263"/>
      <c r="C3521" s="263"/>
      <c r="D3521" s="263"/>
      <c r="E3521" s="263"/>
      <c r="F3521" s="263"/>
      <c r="G3521" s="80">
        <f>SUM(G3520)</f>
        <v>0</v>
      </c>
    </row>
    <row r="3522" spans="1:7">
      <c r="A3522" s="81" t="s">
        <v>38</v>
      </c>
      <c r="B3522" s="262" t="s">
        <v>39</v>
      </c>
      <c r="C3522" s="262"/>
      <c r="D3522" s="262"/>
      <c r="E3522" s="262"/>
      <c r="F3522" s="262"/>
      <c r="G3522" s="80">
        <f>SUM(G3508:G3521)/2</f>
        <v>256643.25</v>
      </c>
    </row>
    <row r="3523" spans="1:7">
      <c r="A3523" s="81" t="s">
        <v>40</v>
      </c>
      <c r="B3523" s="262" t="s">
        <v>180</v>
      </c>
      <c r="C3523" s="262"/>
      <c r="D3523" s="262"/>
      <c r="E3523" s="262"/>
      <c r="F3523" s="82">
        <v>0.1</v>
      </c>
      <c r="G3523" s="80">
        <f>G3522*F3523</f>
        <v>25664.325000000001</v>
      </c>
    </row>
    <row r="3524" spans="1:7">
      <c r="A3524" s="81" t="s">
        <v>41</v>
      </c>
      <c r="B3524" s="262" t="s">
        <v>42</v>
      </c>
      <c r="C3524" s="262"/>
      <c r="D3524" s="262"/>
      <c r="E3524" s="262"/>
      <c r="F3524" s="262"/>
      <c r="G3524" s="80">
        <f>G3522+G3523</f>
        <v>282307.57500000001</v>
      </c>
    </row>
    <row r="3525" spans="1:7">
      <c r="A3525" s="90"/>
      <c r="B3525" s="91"/>
      <c r="C3525" s="91"/>
      <c r="D3525" s="91"/>
      <c r="E3525" s="91"/>
      <c r="F3525" s="91"/>
      <c r="G3525" s="92"/>
    </row>
    <row r="3526" spans="1:7">
      <c r="A3526" s="123" t="s">
        <v>684</v>
      </c>
      <c r="B3526" s="91"/>
      <c r="C3526" s="91"/>
      <c r="D3526" s="91"/>
      <c r="E3526" s="91"/>
      <c r="F3526" s="91"/>
      <c r="G3526" s="92"/>
    </row>
    <row r="3527" spans="1:7" ht="30">
      <c r="A3527" s="156" t="s">
        <v>0</v>
      </c>
      <c r="B3527" s="156" t="s">
        <v>1</v>
      </c>
      <c r="C3527" s="156" t="s">
        <v>207</v>
      </c>
      <c r="D3527" s="156" t="s">
        <v>3</v>
      </c>
      <c r="E3527" s="156" t="s">
        <v>2</v>
      </c>
      <c r="F3527" s="156" t="s">
        <v>417</v>
      </c>
      <c r="G3527" s="156" t="s">
        <v>418</v>
      </c>
    </row>
    <row r="3528" spans="1:7">
      <c r="A3528" s="157" t="s">
        <v>4</v>
      </c>
      <c r="B3528" s="158" t="s">
        <v>5</v>
      </c>
      <c r="C3528" s="157"/>
      <c r="D3528" s="159"/>
      <c r="E3528" s="160"/>
      <c r="F3528" s="88"/>
      <c r="G3528" s="88"/>
    </row>
    <row r="3529" spans="1:7">
      <c r="A3529" s="157">
        <v>1</v>
      </c>
      <c r="B3529" s="158" t="s">
        <v>6</v>
      </c>
      <c r="C3529" s="157" t="s">
        <v>7</v>
      </c>
      <c r="D3529" s="159" t="s">
        <v>8</v>
      </c>
      <c r="E3529" s="161" t="s">
        <v>92</v>
      </c>
      <c r="F3529" s="86">
        <f>VLOOKUP(B3529,'HSD UPAH,BAHAN,ALAT'!$C$6:F3451,4,FALSE)</f>
        <v>100000</v>
      </c>
      <c r="G3529" s="87">
        <f t="shared" ref="G3529:G3531" si="426">E3529*F3529</f>
        <v>5000</v>
      </c>
    </row>
    <row r="3530" spans="1:7">
      <c r="A3530" s="157">
        <v>2</v>
      </c>
      <c r="B3530" s="158" t="s">
        <v>10</v>
      </c>
      <c r="C3530" s="157" t="s">
        <v>11</v>
      </c>
      <c r="D3530" s="159" t="s">
        <v>8</v>
      </c>
      <c r="E3530" s="161" t="s">
        <v>93</v>
      </c>
      <c r="F3530" s="86">
        <f>VLOOKUP(B3530,'HSD UPAH,BAHAN,ALAT'!$C$6:F3452,4,FALSE)</f>
        <v>120000</v>
      </c>
      <c r="G3530" s="87">
        <f t="shared" si="426"/>
        <v>1200</v>
      </c>
    </row>
    <row r="3531" spans="1:7">
      <c r="A3531" s="157">
        <v>3</v>
      </c>
      <c r="B3531" s="158" t="s">
        <v>13</v>
      </c>
      <c r="C3531" s="157" t="s">
        <v>14</v>
      </c>
      <c r="D3531" s="159" t="s">
        <v>8</v>
      </c>
      <c r="E3531" s="161" t="s">
        <v>94</v>
      </c>
      <c r="F3531" s="86">
        <f>VLOOKUP(B3531,'HSD UPAH,BAHAN,ALAT'!$C$6:F3453,4,FALSE)</f>
        <v>100000</v>
      </c>
      <c r="G3531" s="87">
        <f t="shared" si="426"/>
        <v>330</v>
      </c>
    </row>
    <row r="3532" spans="1:7">
      <c r="A3532" s="266" t="s">
        <v>420</v>
      </c>
      <c r="B3532" s="266"/>
      <c r="C3532" s="266"/>
      <c r="D3532" s="266"/>
      <c r="E3532" s="266"/>
      <c r="F3532" s="266"/>
      <c r="G3532" s="162">
        <f>SUM(G3528:G3531)</f>
        <v>6530</v>
      </c>
    </row>
    <row r="3533" spans="1:7">
      <c r="A3533" s="157" t="s">
        <v>16</v>
      </c>
      <c r="B3533" s="158" t="s">
        <v>17</v>
      </c>
      <c r="C3533" s="157"/>
      <c r="D3533" s="159"/>
      <c r="E3533" s="160"/>
      <c r="F3533" s="88"/>
      <c r="G3533" s="88"/>
    </row>
    <row r="3534" spans="1:7" ht="30">
      <c r="A3534" s="163" t="s">
        <v>208</v>
      </c>
      <c r="B3534" s="164" t="s">
        <v>330</v>
      </c>
      <c r="C3534" s="157"/>
      <c r="D3534" s="165" t="s">
        <v>86</v>
      </c>
      <c r="E3534" s="166" t="s">
        <v>211</v>
      </c>
      <c r="F3534" s="86">
        <f>VLOOKUP(B3534,'HSD UPAH,BAHAN,ALAT'!$C$6:F3456,4,FALSE)</f>
        <v>10000</v>
      </c>
      <c r="G3534" s="87">
        <f t="shared" ref="G3534:G3535" si="427">E3534*F3534</f>
        <v>250000</v>
      </c>
    </row>
    <row r="3535" spans="1:7">
      <c r="A3535" s="157">
        <v>2</v>
      </c>
      <c r="B3535" s="158" t="s">
        <v>18</v>
      </c>
      <c r="C3535" s="157"/>
      <c r="D3535" s="159" t="s">
        <v>19</v>
      </c>
      <c r="E3535" s="161">
        <v>5.0000000000000001E-3</v>
      </c>
      <c r="F3535" s="86">
        <f>VLOOKUP(B3535,'HSD UPAH,BAHAN,ALAT'!$C$6:F3457,4,FALSE)</f>
        <v>10000</v>
      </c>
      <c r="G3535" s="87">
        <f t="shared" si="427"/>
        <v>50</v>
      </c>
    </row>
    <row r="3536" spans="1:7">
      <c r="A3536" s="157">
        <v>3</v>
      </c>
      <c r="B3536" s="158" t="s">
        <v>26</v>
      </c>
      <c r="C3536" s="157"/>
      <c r="D3536" s="159"/>
      <c r="E3536" s="160"/>
      <c r="F3536" s="88"/>
      <c r="G3536" s="88"/>
    </row>
    <row r="3537" spans="1:7">
      <c r="A3537" s="157" t="s">
        <v>22</v>
      </c>
      <c r="B3537" s="158" t="s">
        <v>27</v>
      </c>
      <c r="C3537" s="157"/>
      <c r="D3537" s="159" t="s">
        <v>28</v>
      </c>
      <c r="E3537" s="161" t="s">
        <v>20</v>
      </c>
      <c r="F3537" s="86">
        <f>VLOOKUP(B3537,'HSD UPAH,BAHAN,ALAT'!$C$6:F3459,4,FALSE)</f>
        <v>10000</v>
      </c>
      <c r="G3537" s="87">
        <f t="shared" ref="G3537:G3539" si="428">E3537*F3537</f>
        <v>50</v>
      </c>
    </row>
    <row r="3538" spans="1:7">
      <c r="A3538" s="157" t="s">
        <v>30</v>
      </c>
      <c r="B3538" s="158" t="s">
        <v>31</v>
      </c>
      <c r="C3538" s="157"/>
      <c r="D3538" s="159" t="s">
        <v>28</v>
      </c>
      <c r="E3538" s="161" t="s">
        <v>95</v>
      </c>
      <c r="F3538" s="86">
        <f>VLOOKUP(B3538,'HSD UPAH,BAHAN,ALAT'!$C$6:F3460,4,FALSE)</f>
        <v>10000</v>
      </c>
      <c r="G3538" s="87">
        <f t="shared" si="428"/>
        <v>10</v>
      </c>
    </row>
    <row r="3539" spans="1:7">
      <c r="A3539" s="157" t="s">
        <v>33</v>
      </c>
      <c r="B3539" s="158" t="s">
        <v>34</v>
      </c>
      <c r="C3539" s="157"/>
      <c r="D3539" s="159" t="s">
        <v>28</v>
      </c>
      <c r="E3539" s="161" t="s">
        <v>96</v>
      </c>
      <c r="F3539" s="86">
        <f>VLOOKUP(B3539,'HSD UPAH,BAHAN,ALAT'!$C$6:F3461,4,FALSE)</f>
        <v>10000</v>
      </c>
      <c r="G3539" s="87">
        <f t="shared" si="428"/>
        <v>3.25</v>
      </c>
    </row>
    <row r="3540" spans="1:7">
      <c r="A3540" s="266" t="s">
        <v>421</v>
      </c>
      <c r="B3540" s="266"/>
      <c r="C3540" s="266"/>
      <c r="D3540" s="266"/>
      <c r="E3540" s="266"/>
      <c r="F3540" s="266"/>
      <c r="G3540" s="162">
        <f>SUM(G3534:G3539)</f>
        <v>250113.25</v>
      </c>
    </row>
    <row r="3541" spans="1:7">
      <c r="A3541" s="157" t="s">
        <v>36</v>
      </c>
      <c r="B3541" s="158" t="s">
        <v>37</v>
      </c>
      <c r="C3541" s="157"/>
      <c r="D3541" s="159"/>
      <c r="E3541" s="160"/>
      <c r="F3541" s="88"/>
      <c r="G3541" s="88"/>
    </row>
    <row r="3542" spans="1:7">
      <c r="A3542" s="265" t="s">
        <v>419</v>
      </c>
      <c r="B3542" s="265"/>
      <c r="C3542" s="265"/>
      <c r="D3542" s="265"/>
      <c r="E3542" s="265"/>
      <c r="F3542" s="265"/>
      <c r="G3542" s="167">
        <f>SUM(G3541)</f>
        <v>0</v>
      </c>
    </row>
    <row r="3543" spans="1:7">
      <c r="A3543" s="168" t="s">
        <v>38</v>
      </c>
      <c r="B3543" s="264" t="s">
        <v>39</v>
      </c>
      <c r="C3543" s="264"/>
      <c r="D3543" s="264"/>
      <c r="E3543" s="264"/>
      <c r="F3543" s="264"/>
      <c r="G3543" s="167">
        <f>SUM(G3529:G3542)/2</f>
        <v>256643.25</v>
      </c>
    </row>
    <row r="3544" spans="1:7">
      <c r="A3544" s="168" t="s">
        <v>40</v>
      </c>
      <c r="B3544" s="264" t="s">
        <v>180</v>
      </c>
      <c r="C3544" s="264"/>
      <c r="D3544" s="264"/>
      <c r="E3544" s="264"/>
      <c r="F3544" s="169">
        <v>0.1</v>
      </c>
      <c r="G3544" s="167">
        <f>G3543*F3544</f>
        <v>25664.325000000001</v>
      </c>
    </row>
    <row r="3545" spans="1:7">
      <c r="A3545" s="168" t="s">
        <v>41</v>
      </c>
      <c r="B3545" s="264" t="s">
        <v>42</v>
      </c>
      <c r="C3545" s="264"/>
      <c r="D3545" s="264"/>
      <c r="E3545" s="264"/>
      <c r="F3545" s="264"/>
      <c r="G3545" s="167">
        <f>G3543+G3544</f>
        <v>282307.57500000001</v>
      </c>
    </row>
    <row r="3546" spans="1:7">
      <c r="A3546" s="178"/>
      <c r="B3546" s="179"/>
      <c r="C3546" s="179"/>
      <c r="D3546" s="179"/>
      <c r="E3546" s="179"/>
      <c r="F3546" s="179"/>
      <c r="G3546" s="180"/>
    </row>
    <row r="3547" spans="1:7">
      <c r="A3547" s="174" t="s">
        <v>592</v>
      </c>
      <c r="B3547" s="179"/>
      <c r="C3547" s="179"/>
      <c r="D3547" s="179"/>
      <c r="E3547" s="179"/>
      <c r="F3547" s="179"/>
      <c r="G3547" s="180"/>
    </row>
    <row r="3548" spans="1:7" ht="30">
      <c r="A3548" s="79" t="s">
        <v>0</v>
      </c>
      <c r="B3548" s="79" t="s">
        <v>1</v>
      </c>
      <c r="C3548" s="79" t="s">
        <v>207</v>
      </c>
      <c r="D3548" s="79" t="s">
        <v>3</v>
      </c>
      <c r="E3548" s="79" t="s">
        <v>2</v>
      </c>
      <c r="F3548" s="79" t="s">
        <v>417</v>
      </c>
      <c r="G3548" s="79" t="s">
        <v>418</v>
      </c>
    </row>
    <row r="3549" spans="1:7">
      <c r="A3549" s="8" t="s">
        <v>4</v>
      </c>
      <c r="B3549" s="1" t="s">
        <v>5</v>
      </c>
      <c r="C3549" s="8"/>
      <c r="D3549" s="9"/>
      <c r="E3549" s="19"/>
      <c r="F3549" s="2"/>
      <c r="G3549" s="2"/>
    </row>
    <row r="3550" spans="1:7">
      <c r="A3550" s="8">
        <v>1</v>
      </c>
      <c r="B3550" s="1" t="s">
        <v>6</v>
      </c>
      <c r="C3550" s="8" t="s">
        <v>7</v>
      </c>
      <c r="D3550" s="9" t="s">
        <v>8</v>
      </c>
      <c r="E3550" s="10" t="s">
        <v>92</v>
      </c>
      <c r="F3550" s="86">
        <f>VLOOKUP(B3550,'HSD UPAH,BAHAN,ALAT'!$C$6:F3470,4,FALSE)</f>
        <v>100000</v>
      </c>
      <c r="G3550" s="87">
        <f t="shared" ref="G3550:G3552" si="429">E3550*F3550</f>
        <v>5000</v>
      </c>
    </row>
    <row r="3551" spans="1:7">
      <c r="A3551" s="8">
        <v>2</v>
      </c>
      <c r="B3551" s="1" t="s">
        <v>10</v>
      </c>
      <c r="C3551" s="8" t="s">
        <v>11</v>
      </c>
      <c r="D3551" s="9" t="s">
        <v>8</v>
      </c>
      <c r="E3551" s="10" t="s">
        <v>93</v>
      </c>
      <c r="F3551" s="86">
        <f>VLOOKUP(B3551,'HSD UPAH,BAHAN,ALAT'!$C$6:F3471,4,FALSE)</f>
        <v>120000</v>
      </c>
      <c r="G3551" s="87">
        <f t="shared" si="429"/>
        <v>1200</v>
      </c>
    </row>
    <row r="3552" spans="1:7">
      <c r="A3552" s="8">
        <v>3</v>
      </c>
      <c r="B3552" s="1" t="s">
        <v>13</v>
      </c>
      <c r="C3552" s="8" t="s">
        <v>14</v>
      </c>
      <c r="D3552" s="9" t="s">
        <v>8</v>
      </c>
      <c r="E3552" s="10" t="s">
        <v>94</v>
      </c>
      <c r="F3552" s="86">
        <f>VLOOKUP(B3552,'HSD UPAH,BAHAN,ALAT'!$C$6:F3472,4,FALSE)</f>
        <v>100000</v>
      </c>
      <c r="G3552" s="87">
        <f t="shared" si="429"/>
        <v>330</v>
      </c>
    </row>
    <row r="3553" spans="1:7">
      <c r="A3553" s="261" t="s">
        <v>420</v>
      </c>
      <c r="B3553" s="261"/>
      <c r="C3553" s="261"/>
      <c r="D3553" s="261"/>
      <c r="E3553" s="261"/>
      <c r="F3553" s="261"/>
      <c r="G3553" s="85">
        <f>SUM(G3549:G3552)</f>
        <v>6530</v>
      </c>
    </row>
    <row r="3554" spans="1:7">
      <c r="A3554" s="8" t="s">
        <v>16</v>
      </c>
      <c r="B3554" s="1" t="s">
        <v>17</v>
      </c>
      <c r="C3554" s="8"/>
      <c r="D3554" s="9"/>
      <c r="E3554" s="19"/>
      <c r="F3554" s="2"/>
      <c r="G3554" s="2"/>
    </row>
    <row r="3555" spans="1:7" ht="30">
      <c r="A3555" s="17" t="s">
        <v>208</v>
      </c>
      <c r="B3555" s="5" t="s">
        <v>331</v>
      </c>
      <c r="C3555" s="8"/>
      <c r="D3555" s="12" t="s">
        <v>86</v>
      </c>
      <c r="E3555" s="7" t="s">
        <v>211</v>
      </c>
      <c r="F3555" s="86">
        <f>VLOOKUP(B3555,'HSD UPAH,BAHAN,ALAT'!$C$6:F3475,4,FALSE)</f>
        <v>10000</v>
      </c>
      <c r="G3555" s="87">
        <f t="shared" ref="G3555:G3556" si="430">E3555*F3555</f>
        <v>250000</v>
      </c>
    </row>
    <row r="3556" spans="1:7">
      <c r="A3556" s="8">
        <v>2</v>
      </c>
      <c r="B3556" s="1" t="s">
        <v>18</v>
      </c>
      <c r="C3556" s="8"/>
      <c r="D3556" s="9" t="s">
        <v>19</v>
      </c>
      <c r="E3556" s="10">
        <v>5.0000000000000001E-3</v>
      </c>
      <c r="F3556" s="86">
        <f>VLOOKUP(B3556,'HSD UPAH,BAHAN,ALAT'!$C$6:F3476,4,FALSE)</f>
        <v>10000</v>
      </c>
      <c r="G3556" s="87">
        <f t="shared" si="430"/>
        <v>50</v>
      </c>
    </row>
    <row r="3557" spans="1:7">
      <c r="A3557" s="8">
        <v>3</v>
      </c>
      <c r="B3557" s="1" t="s">
        <v>26</v>
      </c>
      <c r="C3557" s="8"/>
      <c r="D3557" s="9"/>
      <c r="E3557" s="19"/>
      <c r="F3557" s="2"/>
      <c r="G3557" s="2"/>
    </row>
    <row r="3558" spans="1:7">
      <c r="A3558" s="8" t="s">
        <v>22</v>
      </c>
      <c r="B3558" s="1" t="s">
        <v>27</v>
      </c>
      <c r="C3558" s="8"/>
      <c r="D3558" s="9" t="s">
        <v>28</v>
      </c>
      <c r="E3558" s="10" t="s">
        <v>20</v>
      </c>
      <c r="F3558" s="86">
        <f>VLOOKUP(B3558,'HSD UPAH,BAHAN,ALAT'!$C$6:F3478,4,FALSE)</f>
        <v>10000</v>
      </c>
      <c r="G3558" s="87">
        <f t="shared" ref="G3558:G3560" si="431">E3558*F3558</f>
        <v>50</v>
      </c>
    </row>
    <row r="3559" spans="1:7">
      <c r="A3559" s="8" t="s">
        <v>30</v>
      </c>
      <c r="B3559" s="1" t="s">
        <v>31</v>
      </c>
      <c r="C3559" s="8"/>
      <c r="D3559" s="9" t="s">
        <v>28</v>
      </c>
      <c r="E3559" s="10" t="s">
        <v>95</v>
      </c>
      <c r="F3559" s="86">
        <f>VLOOKUP(B3559,'HSD UPAH,BAHAN,ALAT'!$C$6:F3479,4,FALSE)</f>
        <v>10000</v>
      </c>
      <c r="G3559" s="87">
        <f t="shared" si="431"/>
        <v>10</v>
      </c>
    </row>
    <row r="3560" spans="1:7">
      <c r="A3560" s="8" t="s">
        <v>33</v>
      </c>
      <c r="B3560" s="1" t="s">
        <v>34</v>
      </c>
      <c r="C3560" s="8"/>
      <c r="D3560" s="9" t="s">
        <v>28</v>
      </c>
      <c r="E3560" s="10" t="s">
        <v>96</v>
      </c>
      <c r="F3560" s="86">
        <f>VLOOKUP(B3560,'HSD UPAH,BAHAN,ALAT'!$C$6:F3480,4,FALSE)</f>
        <v>10000</v>
      </c>
      <c r="G3560" s="87">
        <f t="shared" si="431"/>
        <v>3.25</v>
      </c>
    </row>
    <row r="3561" spans="1:7">
      <c r="A3561" s="261" t="s">
        <v>421</v>
      </c>
      <c r="B3561" s="261"/>
      <c r="C3561" s="261"/>
      <c r="D3561" s="261"/>
      <c r="E3561" s="261"/>
      <c r="F3561" s="261"/>
      <c r="G3561" s="85">
        <f>SUM(G3555:G3560)</f>
        <v>250113.25</v>
      </c>
    </row>
    <row r="3562" spans="1:7">
      <c r="A3562" s="8" t="s">
        <v>36</v>
      </c>
      <c r="B3562" s="1" t="s">
        <v>37</v>
      </c>
      <c r="C3562" s="8"/>
      <c r="D3562" s="9"/>
      <c r="E3562" s="19"/>
      <c r="F3562" s="2"/>
      <c r="G3562" s="2"/>
    </row>
    <row r="3563" spans="1:7">
      <c r="A3563" s="263" t="s">
        <v>419</v>
      </c>
      <c r="B3563" s="263"/>
      <c r="C3563" s="263"/>
      <c r="D3563" s="263"/>
      <c r="E3563" s="263"/>
      <c r="F3563" s="263"/>
      <c r="G3563" s="80">
        <f>SUM(G3562)</f>
        <v>0</v>
      </c>
    </row>
    <row r="3564" spans="1:7">
      <c r="A3564" s="81" t="s">
        <v>38</v>
      </c>
      <c r="B3564" s="262" t="s">
        <v>39</v>
      </c>
      <c r="C3564" s="262"/>
      <c r="D3564" s="262"/>
      <c r="E3564" s="262"/>
      <c r="F3564" s="262"/>
      <c r="G3564" s="80">
        <f>SUM(G3550:G3563)/2</f>
        <v>256643.25</v>
      </c>
    </row>
    <row r="3565" spans="1:7">
      <c r="A3565" s="81" t="s">
        <v>40</v>
      </c>
      <c r="B3565" s="262" t="s">
        <v>180</v>
      </c>
      <c r="C3565" s="262"/>
      <c r="D3565" s="262"/>
      <c r="E3565" s="262"/>
      <c r="F3565" s="82">
        <v>0.1</v>
      </c>
      <c r="G3565" s="80">
        <f>G3564*F3565</f>
        <v>25664.325000000001</v>
      </c>
    </row>
    <row r="3566" spans="1:7">
      <c r="A3566" s="81" t="s">
        <v>41</v>
      </c>
      <c r="B3566" s="262" t="s">
        <v>42</v>
      </c>
      <c r="C3566" s="262"/>
      <c r="D3566" s="262"/>
      <c r="E3566" s="262"/>
      <c r="F3566" s="262"/>
      <c r="G3566" s="80">
        <f>G3564+G3565</f>
        <v>282307.57500000001</v>
      </c>
    </row>
    <row r="3567" spans="1:7">
      <c r="A3567" s="90"/>
      <c r="B3567" s="91"/>
      <c r="C3567" s="91"/>
      <c r="D3567" s="91"/>
      <c r="E3567" s="91"/>
      <c r="F3567" s="91"/>
      <c r="G3567" s="92"/>
    </row>
    <row r="3568" spans="1:7">
      <c r="A3568" s="4" t="s">
        <v>593</v>
      </c>
      <c r="B3568" s="91"/>
      <c r="C3568" s="91"/>
      <c r="D3568" s="91"/>
      <c r="E3568" s="91"/>
      <c r="F3568" s="91"/>
      <c r="G3568" s="92"/>
    </row>
    <row r="3569" spans="1:7" ht="30">
      <c r="A3569" s="79" t="s">
        <v>0</v>
      </c>
      <c r="B3569" s="79" t="s">
        <v>1</v>
      </c>
      <c r="C3569" s="79" t="s">
        <v>207</v>
      </c>
      <c r="D3569" s="79" t="s">
        <v>3</v>
      </c>
      <c r="E3569" s="79" t="s">
        <v>2</v>
      </c>
      <c r="F3569" s="79" t="s">
        <v>417</v>
      </c>
      <c r="G3569" s="79" t="s">
        <v>418</v>
      </c>
    </row>
    <row r="3570" spans="1:7">
      <c r="A3570" s="8" t="s">
        <v>4</v>
      </c>
      <c r="B3570" s="1" t="s">
        <v>5</v>
      </c>
      <c r="C3570" s="8"/>
      <c r="D3570" s="9"/>
      <c r="E3570" s="19"/>
      <c r="F3570" s="2"/>
      <c r="G3570" s="2"/>
    </row>
    <row r="3571" spans="1:7">
      <c r="A3571" s="8">
        <v>1</v>
      </c>
      <c r="B3571" s="1" t="s">
        <v>6</v>
      </c>
      <c r="C3571" s="8" t="s">
        <v>7</v>
      </c>
      <c r="D3571" s="9" t="s">
        <v>8</v>
      </c>
      <c r="E3571" s="10" t="s">
        <v>92</v>
      </c>
      <c r="F3571" s="86">
        <f>VLOOKUP(B3571,'HSD UPAH,BAHAN,ALAT'!$C$6:F3489,4,FALSE)</f>
        <v>100000</v>
      </c>
      <c r="G3571" s="87">
        <f t="shared" ref="G3571:G3573" si="432">E3571*F3571</f>
        <v>5000</v>
      </c>
    </row>
    <row r="3572" spans="1:7">
      <c r="A3572" s="8">
        <v>2</v>
      </c>
      <c r="B3572" s="1" t="s">
        <v>10</v>
      </c>
      <c r="C3572" s="8" t="s">
        <v>11</v>
      </c>
      <c r="D3572" s="9" t="s">
        <v>8</v>
      </c>
      <c r="E3572" s="10" t="s">
        <v>93</v>
      </c>
      <c r="F3572" s="86">
        <f>VLOOKUP(B3572,'HSD UPAH,BAHAN,ALAT'!$C$6:F3490,4,FALSE)</f>
        <v>120000</v>
      </c>
      <c r="G3572" s="87">
        <f t="shared" si="432"/>
        <v>1200</v>
      </c>
    </row>
    <row r="3573" spans="1:7">
      <c r="A3573" s="8">
        <v>3</v>
      </c>
      <c r="B3573" s="1" t="s">
        <v>13</v>
      </c>
      <c r="C3573" s="8" t="s">
        <v>14</v>
      </c>
      <c r="D3573" s="9" t="s">
        <v>8</v>
      </c>
      <c r="E3573" s="10" t="s">
        <v>94</v>
      </c>
      <c r="F3573" s="86">
        <f>VLOOKUP(B3573,'HSD UPAH,BAHAN,ALAT'!$C$6:F3491,4,FALSE)</f>
        <v>100000</v>
      </c>
      <c r="G3573" s="87">
        <f t="shared" si="432"/>
        <v>330</v>
      </c>
    </row>
    <row r="3574" spans="1:7">
      <c r="A3574" s="261" t="s">
        <v>420</v>
      </c>
      <c r="B3574" s="261"/>
      <c r="C3574" s="261"/>
      <c r="D3574" s="261"/>
      <c r="E3574" s="261"/>
      <c r="F3574" s="261"/>
      <c r="G3574" s="85">
        <f>SUM(G3570:G3573)</f>
        <v>6530</v>
      </c>
    </row>
    <row r="3575" spans="1:7">
      <c r="A3575" s="8" t="s">
        <v>16</v>
      </c>
      <c r="B3575" s="1" t="s">
        <v>17</v>
      </c>
      <c r="C3575" s="8"/>
      <c r="D3575" s="9"/>
      <c r="E3575" s="19"/>
      <c r="F3575" s="2"/>
      <c r="G3575" s="2"/>
    </row>
    <row r="3576" spans="1:7" ht="30">
      <c r="A3576" s="17" t="s">
        <v>208</v>
      </c>
      <c r="B3576" s="5" t="s">
        <v>332</v>
      </c>
      <c r="C3576" s="8"/>
      <c r="D3576" s="12" t="s">
        <v>86</v>
      </c>
      <c r="E3576" s="7" t="s">
        <v>211</v>
      </c>
      <c r="F3576" s="86">
        <f>VLOOKUP(B3576,'HSD UPAH,BAHAN,ALAT'!$C$6:F3494,4,FALSE)</f>
        <v>10000</v>
      </c>
      <c r="G3576" s="87">
        <f t="shared" ref="G3576:G3577" si="433">E3576*F3576</f>
        <v>250000</v>
      </c>
    </row>
    <row r="3577" spans="1:7">
      <c r="A3577" s="8">
        <v>2</v>
      </c>
      <c r="B3577" s="1" t="s">
        <v>18</v>
      </c>
      <c r="C3577" s="8"/>
      <c r="D3577" s="9" t="s">
        <v>19</v>
      </c>
      <c r="E3577" s="10">
        <v>5.0000000000000001E-3</v>
      </c>
      <c r="F3577" s="86">
        <f>VLOOKUP(B3577,'HSD UPAH,BAHAN,ALAT'!$C$6:F3495,4,FALSE)</f>
        <v>10000</v>
      </c>
      <c r="G3577" s="87">
        <f t="shared" si="433"/>
        <v>50</v>
      </c>
    </row>
    <row r="3578" spans="1:7">
      <c r="A3578" s="8">
        <v>3</v>
      </c>
      <c r="B3578" s="1" t="s">
        <v>26</v>
      </c>
      <c r="C3578" s="8"/>
      <c r="D3578" s="9"/>
      <c r="E3578" s="19"/>
      <c r="F3578" s="2"/>
      <c r="G3578" s="2"/>
    </row>
    <row r="3579" spans="1:7">
      <c r="A3579" s="8" t="s">
        <v>22</v>
      </c>
      <c r="B3579" s="1" t="s">
        <v>27</v>
      </c>
      <c r="C3579" s="8"/>
      <c r="D3579" s="9" t="s">
        <v>28</v>
      </c>
      <c r="E3579" s="10" t="s">
        <v>20</v>
      </c>
      <c r="F3579" s="86">
        <f>VLOOKUP(B3579,'HSD UPAH,BAHAN,ALAT'!$C$6:F3497,4,FALSE)</f>
        <v>10000</v>
      </c>
      <c r="G3579" s="87">
        <f t="shared" ref="G3579:G3581" si="434">E3579*F3579</f>
        <v>50</v>
      </c>
    </row>
    <row r="3580" spans="1:7">
      <c r="A3580" s="8" t="s">
        <v>30</v>
      </c>
      <c r="B3580" s="1" t="s">
        <v>31</v>
      </c>
      <c r="C3580" s="8"/>
      <c r="D3580" s="9" t="s">
        <v>28</v>
      </c>
      <c r="E3580" s="10" t="s">
        <v>95</v>
      </c>
      <c r="F3580" s="86">
        <f>VLOOKUP(B3580,'HSD UPAH,BAHAN,ALAT'!$C$6:F3498,4,FALSE)</f>
        <v>10000</v>
      </c>
      <c r="G3580" s="87">
        <f t="shared" si="434"/>
        <v>10</v>
      </c>
    </row>
    <row r="3581" spans="1:7">
      <c r="A3581" s="8" t="s">
        <v>33</v>
      </c>
      <c r="B3581" s="1" t="s">
        <v>34</v>
      </c>
      <c r="C3581" s="8"/>
      <c r="D3581" s="9" t="s">
        <v>28</v>
      </c>
      <c r="E3581" s="10" t="s">
        <v>96</v>
      </c>
      <c r="F3581" s="86">
        <f>VLOOKUP(B3581,'HSD UPAH,BAHAN,ALAT'!$C$6:F3499,4,FALSE)</f>
        <v>10000</v>
      </c>
      <c r="G3581" s="87">
        <f t="shared" si="434"/>
        <v>3.25</v>
      </c>
    </row>
    <row r="3582" spans="1:7">
      <c r="A3582" s="261" t="s">
        <v>421</v>
      </c>
      <c r="B3582" s="261"/>
      <c r="C3582" s="261"/>
      <c r="D3582" s="261"/>
      <c r="E3582" s="261"/>
      <c r="F3582" s="261"/>
      <c r="G3582" s="85">
        <f>SUM(G3576:G3581)</f>
        <v>250113.25</v>
      </c>
    </row>
    <row r="3583" spans="1:7">
      <c r="A3583" s="8" t="s">
        <v>36</v>
      </c>
      <c r="B3583" s="1" t="s">
        <v>37</v>
      </c>
      <c r="C3583" s="8"/>
      <c r="D3583" s="9"/>
      <c r="E3583" s="19"/>
      <c r="F3583" s="2"/>
      <c r="G3583" s="2"/>
    </row>
    <row r="3584" spans="1:7">
      <c r="A3584" s="263" t="s">
        <v>419</v>
      </c>
      <c r="B3584" s="263"/>
      <c r="C3584" s="263"/>
      <c r="D3584" s="263"/>
      <c r="E3584" s="263"/>
      <c r="F3584" s="263"/>
      <c r="G3584" s="80">
        <f>SUM(G3583)</f>
        <v>0</v>
      </c>
    </row>
    <row r="3585" spans="1:7">
      <c r="A3585" s="81" t="s">
        <v>38</v>
      </c>
      <c r="B3585" s="262" t="s">
        <v>39</v>
      </c>
      <c r="C3585" s="262"/>
      <c r="D3585" s="262"/>
      <c r="E3585" s="262"/>
      <c r="F3585" s="262"/>
      <c r="G3585" s="80">
        <f>SUM(G3570:G3584)/2</f>
        <v>256643.25</v>
      </c>
    </row>
    <row r="3586" spans="1:7">
      <c r="A3586" s="81" t="s">
        <v>40</v>
      </c>
      <c r="B3586" s="262" t="s">
        <v>180</v>
      </c>
      <c r="C3586" s="262"/>
      <c r="D3586" s="262"/>
      <c r="E3586" s="262"/>
      <c r="F3586" s="82">
        <v>0.1</v>
      </c>
      <c r="G3586" s="80">
        <f>G3585*F3586</f>
        <v>25664.325000000001</v>
      </c>
    </row>
    <row r="3587" spans="1:7">
      <c r="A3587" s="81" t="s">
        <v>41</v>
      </c>
      <c r="B3587" s="262" t="s">
        <v>42</v>
      </c>
      <c r="C3587" s="262"/>
      <c r="D3587" s="262"/>
      <c r="E3587" s="262"/>
      <c r="F3587" s="262"/>
      <c r="G3587" s="80">
        <f>G3585+G3586</f>
        <v>282307.57500000001</v>
      </c>
    </row>
    <row r="3588" spans="1:7">
      <c r="A3588" s="90"/>
      <c r="B3588" s="91"/>
      <c r="C3588" s="91"/>
      <c r="D3588" s="91"/>
      <c r="E3588" s="91"/>
      <c r="F3588" s="91"/>
      <c r="G3588" s="92"/>
    </row>
    <row r="3589" spans="1:7">
      <c r="A3589" s="4" t="s">
        <v>594</v>
      </c>
      <c r="B3589" s="91"/>
      <c r="C3589" s="91"/>
      <c r="D3589" s="91"/>
      <c r="E3589" s="91"/>
      <c r="F3589" s="91"/>
      <c r="G3589" s="92"/>
    </row>
    <row r="3590" spans="1:7" ht="30">
      <c r="A3590" s="79" t="s">
        <v>0</v>
      </c>
      <c r="B3590" s="79" t="s">
        <v>1</v>
      </c>
      <c r="C3590" s="79" t="s">
        <v>207</v>
      </c>
      <c r="D3590" s="79" t="s">
        <v>3</v>
      </c>
      <c r="E3590" s="79" t="s">
        <v>2</v>
      </c>
      <c r="F3590" s="79" t="s">
        <v>417</v>
      </c>
      <c r="G3590" s="79" t="s">
        <v>418</v>
      </c>
    </row>
    <row r="3591" spans="1:7">
      <c r="A3591" s="8" t="s">
        <v>4</v>
      </c>
      <c r="B3591" s="1" t="s">
        <v>5</v>
      </c>
      <c r="C3591" s="8"/>
      <c r="D3591" s="9"/>
      <c r="E3591" s="19"/>
      <c r="F3591" s="2"/>
      <c r="G3591" s="2"/>
    </row>
    <row r="3592" spans="1:7">
      <c r="A3592" s="8">
        <v>1</v>
      </c>
      <c r="B3592" s="1" t="s">
        <v>6</v>
      </c>
      <c r="C3592" s="8" t="s">
        <v>7</v>
      </c>
      <c r="D3592" s="9" t="s">
        <v>8</v>
      </c>
      <c r="E3592" s="10" t="s">
        <v>92</v>
      </c>
      <c r="F3592" s="86">
        <f>VLOOKUP(B3592,'HSD UPAH,BAHAN,ALAT'!$C$6:F3508,4,FALSE)</f>
        <v>100000</v>
      </c>
      <c r="G3592" s="87">
        <f t="shared" ref="G3592:G3594" si="435">E3592*F3592</f>
        <v>5000</v>
      </c>
    </row>
    <row r="3593" spans="1:7">
      <c r="A3593" s="8">
        <v>2</v>
      </c>
      <c r="B3593" s="1" t="s">
        <v>10</v>
      </c>
      <c r="C3593" s="8" t="s">
        <v>11</v>
      </c>
      <c r="D3593" s="9" t="s">
        <v>8</v>
      </c>
      <c r="E3593" s="10" t="s">
        <v>93</v>
      </c>
      <c r="F3593" s="86">
        <f>VLOOKUP(B3593,'HSD UPAH,BAHAN,ALAT'!$C$6:F3509,4,FALSE)</f>
        <v>120000</v>
      </c>
      <c r="G3593" s="87">
        <f t="shared" si="435"/>
        <v>1200</v>
      </c>
    </row>
    <row r="3594" spans="1:7">
      <c r="A3594" s="8">
        <v>3</v>
      </c>
      <c r="B3594" s="1" t="s">
        <v>13</v>
      </c>
      <c r="C3594" s="8" t="s">
        <v>14</v>
      </c>
      <c r="D3594" s="9" t="s">
        <v>8</v>
      </c>
      <c r="E3594" s="10" t="s">
        <v>94</v>
      </c>
      <c r="F3594" s="86">
        <f>VLOOKUP(B3594,'HSD UPAH,BAHAN,ALAT'!$C$6:F3510,4,FALSE)</f>
        <v>100000</v>
      </c>
      <c r="G3594" s="87">
        <f t="shared" si="435"/>
        <v>330</v>
      </c>
    </row>
    <row r="3595" spans="1:7">
      <c r="A3595" s="261" t="s">
        <v>420</v>
      </c>
      <c r="B3595" s="261"/>
      <c r="C3595" s="261"/>
      <c r="D3595" s="261"/>
      <c r="E3595" s="261"/>
      <c r="F3595" s="261"/>
      <c r="G3595" s="85">
        <f>SUM(G3591:G3594)</f>
        <v>6530</v>
      </c>
    </row>
    <row r="3596" spans="1:7">
      <c r="A3596" s="8" t="s">
        <v>16</v>
      </c>
      <c r="B3596" s="1" t="s">
        <v>17</v>
      </c>
      <c r="C3596" s="8"/>
      <c r="D3596" s="9"/>
      <c r="E3596" s="19"/>
      <c r="F3596" s="2"/>
      <c r="G3596" s="2"/>
    </row>
    <row r="3597" spans="1:7" ht="30">
      <c r="A3597" s="17" t="s">
        <v>208</v>
      </c>
      <c r="B3597" s="5" t="s">
        <v>333</v>
      </c>
      <c r="C3597" s="17"/>
      <c r="D3597" s="12" t="s">
        <v>86</v>
      </c>
      <c r="E3597" s="7" t="s">
        <v>211</v>
      </c>
      <c r="F3597" s="86">
        <f>VLOOKUP(B3597,'HSD UPAH,BAHAN,ALAT'!$C$6:F3513,4,FALSE)</f>
        <v>10000</v>
      </c>
      <c r="G3597" s="87">
        <f t="shared" ref="G3597:G3598" si="436">E3597*F3597</f>
        <v>250000</v>
      </c>
    </row>
    <row r="3598" spans="1:7">
      <c r="A3598" s="8">
        <v>2</v>
      </c>
      <c r="B3598" s="1" t="s">
        <v>18</v>
      </c>
      <c r="C3598" s="8"/>
      <c r="D3598" s="9" t="s">
        <v>19</v>
      </c>
      <c r="E3598" s="10">
        <v>5.0000000000000001E-3</v>
      </c>
      <c r="F3598" s="86">
        <f>VLOOKUP(B3598,'HSD UPAH,BAHAN,ALAT'!$C$6:F3514,4,FALSE)</f>
        <v>10000</v>
      </c>
      <c r="G3598" s="87">
        <f t="shared" si="436"/>
        <v>50</v>
      </c>
    </row>
    <row r="3599" spans="1:7">
      <c r="A3599" s="8">
        <v>3</v>
      </c>
      <c r="B3599" s="1" t="s">
        <v>26</v>
      </c>
      <c r="C3599" s="8"/>
      <c r="D3599" s="9"/>
      <c r="E3599" s="19"/>
      <c r="F3599" s="2"/>
      <c r="G3599" s="2"/>
    </row>
    <row r="3600" spans="1:7">
      <c r="A3600" s="8" t="s">
        <v>22</v>
      </c>
      <c r="B3600" s="1" t="s">
        <v>27</v>
      </c>
      <c r="C3600" s="8"/>
      <c r="D3600" s="9" t="s">
        <v>28</v>
      </c>
      <c r="E3600" s="10" t="s">
        <v>20</v>
      </c>
      <c r="F3600" s="86">
        <f>VLOOKUP(B3600,'HSD UPAH,BAHAN,ALAT'!$C$6:F3516,4,FALSE)</f>
        <v>10000</v>
      </c>
      <c r="G3600" s="87">
        <f t="shared" ref="G3600:G3602" si="437">E3600*F3600</f>
        <v>50</v>
      </c>
    </row>
    <row r="3601" spans="1:7">
      <c r="A3601" s="8" t="s">
        <v>30</v>
      </c>
      <c r="B3601" s="1" t="s">
        <v>31</v>
      </c>
      <c r="C3601" s="8"/>
      <c r="D3601" s="9" t="s">
        <v>28</v>
      </c>
      <c r="E3601" s="10" t="s">
        <v>95</v>
      </c>
      <c r="F3601" s="86">
        <f>VLOOKUP(B3601,'HSD UPAH,BAHAN,ALAT'!$C$6:F3517,4,FALSE)</f>
        <v>10000</v>
      </c>
      <c r="G3601" s="87">
        <f t="shared" si="437"/>
        <v>10</v>
      </c>
    </row>
    <row r="3602" spans="1:7">
      <c r="A3602" s="8" t="s">
        <v>33</v>
      </c>
      <c r="B3602" s="1" t="s">
        <v>34</v>
      </c>
      <c r="C3602" s="8"/>
      <c r="D3602" s="9" t="s">
        <v>28</v>
      </c>
      <c r="E3602" s="10" t="s">
        <v>96</v>
      </c>
      <c r="F3602" s="86">
        <f>VLOOKUP(B3602,'HSD UPAH,BAHAN,ALAT'!$C$6:F3518,4,FALSE)</f>
        <v>10000</v>
      </c>
      <c r="G3602" s="87">
        <f t="shared" si="437"/>
        <v>3.25</v>
      </c>
    </row>
    <row r="3603" spans="1:7">
      <c r="A3603" s="261" t="s">
        <v>421</v>
      </c>
      <c r="B3603" s="261"/>
      <c r="C3603" s="261"/>
      <c r="D3603" s="261"/>
      <c r="E3603" s="261"/>
      <c r="F3603" s="261"/>
      <c r="G3603" s="85">
        <f>SUM(G3597:G3602)</f>
        <v>250113.25</v>
      </c>
    </row>
    <row r="3604" spans="1:7">
      <c r="A3604" s="8" t="s">
        <v>36</v>
      </c>
      <c r="B3604" s="1" t="s">
        <v>37</v>
      </c>
      <c r="C3604" s="8"/>
      <c r="D3604" s="9"/>
      <c r="E3604" s="19"/>
      <c r="F3604" s="2"/>
      <c r="G3604" s="2"/>
    </row>
    <row r="3605" spans="1:7">
      <c r="A3605" s="263" t="s">
        <v>419</v>
      </c>
      <c r="B3605" s="263"/>
      <c r="C3605" s="263"/>
      <c r="D3605" s="263"/>
      <c r="E3605" s="263"/>
      <c r="F3605" s="263"/>
      <c r="G3605" s="80">
        <f>SUM(G3604)</f>
        <v>0</v>
      </c>
    </row>
    <row r="3606" spans="1:7">
      <c r="A3606" s="81" t="s">
        <v>38</v>
      </c>
      <c r="B3606" s="262" t="s">
        <v>39</v>
      </c>
      <c r="C3606" s="262"/>
      <c r="D3606" s="262"/>
      <c r="E3606" s="262"/>
      <c r="F3606" s="262"/>
      <c r="G3606" s="80">
        <f>SUM(G3591:G3605)/2</f>
        <v>256643.25</v>
      </c>
    </row>
    <row r="3607" spans="1:7">
      <c r="A3607" s="81" t="s">
        <v>40</v>
      </c>
      <c r="B3607" s="262" t="s">
        <v>180</v>
      </c>
      <c r="C3607" s="262"/>
      <c r="D3607" s="262"/>
      <c r="E3607" s="262"/>
      <c r="F3607" s="82">
        <v>0.1</v>
      </c>
      <c r="G3607" s="80">
        <f>G3606*F3607</f>
        <v>25664.325000000001</v>
      </c>
    </row>
    <row r="3608" spans="1:7">
      <c r="A3608" s="81" t="s">
        <v>41</v>
      </c>
      <c r="B3608" s="262" t="s">
        <v>42</v>
      </c>
      <c r="C3608" s="262"/>
      <c r="D3608" s="262"/>
      <c r="E3608" s="262"/>
      <c r="F3608" s="262"/>
      <c r="G3608" s="80">
        <f>G3606+G3607</f>
        <v>282307.57500000001</v>
      </c>
    </row>
    <row r="3609" spans="1:7">
      <c r="A3609" s="90"/>
      <c r="B3609" s="91"/>
      <c r="C3609" s="91"/>
      <c r="D3609" s="91"/>
      <c r="E3609" s="91"/>
      <c r="F3609" s="91"/>
      <c r="G3609" s="92"/>
    </row>
    <row r="3610" spans="1:7" s="183" customFormat="1">
      <c r="A3610" s="187" t="s">
        <v>819</v>
      </c>
      <c r="B3610" s="211"/>
      <c r="C3610" s="211"/>
      <c r="D3610" s="211"/>
      <c r="E3610" s="211"/>
      <c r="F3610" s="211"/>
      <c r="G3610" s="212"/>
    </row>
    <row r="3611" spans="1:7" s="183" customFormat="1" ht="30">
      <c r="A3611" s="193" t="s">
        <v>0</v>
      </c>
      <c r="B3611" s="193" t="s">
        <v>1</v>
      </c>
      <c r="C3611" s="193" t="s">
        <v>207</v>
      </c>
      <c r="D3611" s="193" t="s">
        <v>3</v>
      </c>
      <c r="E3611" s="193" t="s">
        <v>2</v>
      </c>
      <c r="F3611" s="193" t="s">
        <v>417</v>
      </c>
      <c r="G3611" s="193" t="s">
        <v>418</v>
      </c>
    </row>
    <row r="3612" spans="1:7" s="183" customFormat="1">
      <c r="A3612" s="194" t="s">
        <v>4</v>
      </c>
      <c r="B3612" s="195" t="s">
        <v>5</v>
      </c>
      <c r="C3612" s="194"/>
      <c r="D3612" s="196"/>
      <c r="E3612" s="197"/>
      <c r="F3612" s="198"/>
      <c r="G3612" s="198"/>
    </row>
    <row r="3613" spans="1:7" s="183" customFormat="1">
      <c r="A3613" s="194">
        <v>1</v>
      </c>
      <c r="B3613" s="195" t="s">
        <v>6</v>
      </c>
      <c r="C3613" s="194" t="s">
        <v>7</v>
      </c>
      <c r="D3613" s="196" t="s">
        <v>8</v>
      </c>
      <c r="E3613" s="199" t="s">
        <v>92</v>
      </c>
      <c r="F3613" s="200">
        <f>VLOOKUP(B3613,'HSD UPAH,BAHAN,ALAT'!$C$6:F3529,4,FALSE)</f>
        <v>100000</v>
      </c>
      <c r="G3613" s="201">
        <f t="shared" ref="G3613:G3615" si="438">E3613*F3613</f>
        <v>5000</v>
      </c>
    </row>
    <row r="3614" spans="1:7" s="183" customFormat="1">
      <c r="A3614" s="194">
        <v>2</v>
      </c>
      <c r="B3614" s="195" t="s">
        <v>10</v>
      </c>
      <c r="C3614" s="194" t="s">
        <v>11</v>
      </c>
      <c r="D3614" s="196" t="s">
        <v>8</v>
      </c>
      <c r="E3614" s="199" t="s">
        <v>93</v>
      </c>
      <c r="F3614" s="200">
        <f>VLOOKUP(B3614,'HSD UPAH,BAHAN,ALAT'!$C$6:F3530,4,FALSE)</f>
        <v>120000</v>
      </c>
      <c r="G3614" s="201">
        <f t="shared" si="438"/>
        <v>1200</v>
      </c>
    </row>
    <row r="3615" spans="1:7" s="183" customFormat="1">
      <c r="A3615" s="194">
        <v>3</v>
      </c>
      <c r="B3615" s="195" t="s">
        <v>13</v>
      </c>
      <c r="C3615" s="194" t="s">
        <v>14</v>
      </c>
      <c r="D3615" s="196" t="s">
        <v>8</v>
      </c>
      <c r="E3615" s="199" t="s">
        <v>94</v>
      </c>
      <c r="F3615" s="200">
        <f>VLOOKUP(B3615,'HSD UPAH,BAHAN,ALAT'!$C$6:F3531,4,FALSE)</f>
        <v>100000</v>
      </c>
      <c r="G3615" s="201">
        <f t="shared" si="438"/>
        <v>330</v>
      </c>
    </row>
    <row r="3616" spans="1:7" s="183" customFormat="1">
      <c r="A3616" s="260" t="s">
        <v>420</v>
      </c>
      <c r="B3616" s="260"/>
      <c r="C3616" s="260"/>
      <c r="D3616" s="260"/>
      <c r="E3616" s="260"/>
      <c r="F3616" s="260"/>
      <c r="G3616" s="202">
        <f>SUM(G3612:G3615)</f>
        <v>6530</v>
      </c>
    </row>
    <row r="3617" spans="1:7" s="183" customFormat="1">
      <c r="A3617" s="194" t="s">
        <v>16</v>
      </c>
      <c r="B3617" s="195" t="s">
        <v>17</v>
      </c>
      <c r="C3617" s="194"/>
      <c r="D3617" s="196"/>
      <c r="E3617" s="197"/>
      <c r="F3617" s="198"/>
      <c r="G3617" s="198"/>
    </row>
    <row r="3618" spans="1:7" s="183" customFormat="1" ht="30">
      <c r="A3618" s="203" t="s">
        <v>208</v>
      </c>
      <c r="B3618" s="204" t="s">
        <v>820</v>
      </c>
      <c r="C3618" s="203"/>
      <c r="D3618" s="205" t="s">
        <v>86</v>
      </c>
      <c r="E3618" s="206" t="s">
        <v>211</v>
      </c>
      <c r="F3618" s="200">
        <f>VLOOKUP(B3618,'HSD UPAH,BAHAN,ALAT'!$C$6:F3534,4,FALSE)</f>
        <v>10000</v>
      </c>
      <c r="G3618" s="201">
        <f t="shared" ref="G3618:G3619" si="439">E3618*F3618</f>
        <v>250000</v>
      </c>
    </row>
    <row r="3619" spans="1:7" s="183" customFormat="1">
      <c r="A3619" s="194">
        <v>2</v>
      </c>
      <c r="B3619" s="195" t="s">
        <v>18</v>
      </c>
      <c r="C3619" s="194"/>
      <c r="D3619" s="196" t="s">
        <v>19</v>
      </c>
      <c r="E3619" s="199">
        <v>5.0000000000000001E-3</v>
      </c>
      <c r="F3619" s="200">
        <f>VLOOKUP(B3619,'HSD UPAH,BAHAN,ALAT'!$C$6:F3535,4,FALSE)</f>
        <v>10000</v>
      </c>
      <c r="G3619" s="201">
        <f t="shared" si="439"/>
        <v>50</v>
      </c>
    </row>
    <row r="3620" spans="1:7" s="183" customFormat="1">
      <c r="A3620" s="194">
        <v>3</v>
      </c>
      <c r="B3620" s="195" t="s">
        <v>26</v>
      </c>
      <c r="C3620" s="194"/>
      <c r="D3620" s="196"/>
      <c r="E3620" s="197"/>
      <c r="F3620" s="198"/>
      <c r="G3620" s="198"/>
    </row>
    <row r="3621" spans="1:7" s="183" customFormat="1">
      <c r="A3621" s="194" t="s">
        <v>22</v>
      </c>
      <c r="B3621" s="195" t="s">
        <v>27</v>
      </c>
      <c r="C3621" s="194"/>
      <c r="D3621" s="196" t="s">
        <v>28</v>
      </c>
      <c r="E3621" s="199" t="s">
        <v>20</v>
      </c>
      <c r="F3621" s="200">
        <f>VLOOKUP(B3621,'HSD UPAH,BAHAN,ALAT'!$C$6:F3537,4,FALSE)</f>
        <v>10000</v>
      </c>
      <c r="G3621" s="201">
        <f t="shared" ref="G3621:G3623" si="440">E3621*F3621</f>
        <v>50</v>
      </c>
    </row>
    <row r="3622" spans="1:7" s="183" customFormat="1">
      <c r="A3622" s="194" t="s">
        <v>30</v>
      </c>
      <c r="B3622" s="195" t="s">
        <v>31</v>
      </c>
      <c r="C3622" s="194"/>
      <c r="D3622" s="196" t="s">
        <v>28</v>
      </c>
      <c r="E3622" s="199" t="s">
        <v>95</v>
      </c>
      <c r="F3622" s="200">
        <f>VLOOKUP(B3622,'HSD UPAH,BAHAN,ALAT'!$C$6:F3538,4,FALSE)</f>
        <v>10000</v>
      </c>
      <c r="G3622" s="201">
        <f t="shared" si="440"/>
        <v>10</v>
      </c>
    </row>
    <row r="3623" spans="1:7" s="183" customFormat="1">
      <c r="A3623" s="194" t="s">
        <v>33</v>
      </c>
      <c r="B3623" s="195" t="s">
        <v>34</v>
      </c>
      <c r="C3623" s="194"/>
      <c r="D3623" s="196" t="s">
        <v>28</v>
      </c>
      <c r="E3623" s="199" t="s">
        <v>96</v>
      </c>
      <c r="F3623" s="200">
        <f>VLOOKUP(B3623,'HSD UPAH,BAHAN,ALAT'!$C$6:F3539,4,FALSE)</f>
        <v>10000</v>
      </c>
      <c r="G3623" s="201">
        <f t="shared" si="440"/>
        <v>3.25</v>
      </c>
    </row>
    <row r="3624" spans="1:7" s="183" customFormat="1">
      <c r="A3624" s="260" t="s">
        <v>421</v>
      </c>
      <c r="B3624" s="260"/>
      <c r="C3624" s="260"/>
      <c r="D3624" s="260"/>
      <c r="E3624" s="260"/>
      <c r="F3624" s="260"/>
      <c r="G3624" s="202">
        <f>SUM(G3618:G3623)</f>
        <v>250113.25</v>
      </c>
    </row>
    <row r="3625" spans="1:7" s="183" customFormat="1">
      <c r="A3625" s="194" t="s">
        <v>36</v>
      </c>
      <c r="B3625" s="195" t="s">
        <v>37</v>
      </c>
      <c r="C3625" s="194"/>
      <c r="D3625" s="196"/>
      <c r="E3625" s="197"/>
      <c r="F3625" s="198"/>
      <c r="G3625" s="198"/>
    </row>
    <row r="3626" spans="1:7" s="183" customFormat="1">
      <c r="A3626" s="258" t="s">
        <v>419</v>
      </c>
      <c r="B3626" s="258"/>
      <c r="C3626" s="258"/>
      <c r="D3626" s="258"/>
      <c r="E3626" s="258"/>
      <c r="F3626" s="258"/>
      <c r="G3626" s="207">
        <f>SUM(G3625)</f>
        <v>0</v>
      </c>
    </row>
    <row r="3627" spans="1:7" s="183" customFormat="1">
      <c r="A3627" s="208" t="s">
        <v>38</v>
      </c>
      <c r="B3627" s="259" t="s">
        <v>39</v>
      </c>
      <c r="C3627" s="259"/>
      <c r="D3627" s="259"/>
      <c r="E3627" s="259"/>
      <c r="F3627" s="259"/>
      <c r="G3627" s="207">
        <f>SUM(G3612:G3626)/2</f>
        <v>256643.25</v>
      </c>
    </row>
    <row r="3628" spans="1:7" s="183" customFormat="1">
      <c r="A3628" s="208" t="s">
        <v>40</v>
      </c>
      <c r="B3628" s="259" t="s">
        <v>180</v>
      </c>
      <c r="C3628" s="259"/>
      <c r="D3628" s="259"/>
      <c r="E3628" s="259"/>
      <c r="F3628" s="209">
        <v>0.1</v>
      </c>
      <c r="G3628" s="207">
        <f>G3627*F3628</f>
        <v>25664.325000000001</v>
      </c>
    </row>
    <row r="3629" spans="1:7" s="183" customFormat="1">
      <c r="A3629" s="208" t="s">
        <v>41</v>
      </c>
      <c r="B3629" s="259" t="s">
        <v>42</v>
      </c>
      <c r="C3629" s="259"/>
      <c r="D3629" s="259"/>
      <c r="E3629" s="259"/>
      <c r="F3629" s="259"/>
      <c r="G3629" s="207">
        <f>G3627+G3628</f>
        <v>282307.57500000001</v>
      </c>
    </row>
    <row r="3630" spans="1:7" s="183" customFormat="1">
      <c r="A3630" s="210"/>
      <c r="B3630" s="211"/>
      <c r="C3630" s="211"/>
      <c r="D3630" s="211"/>
      <c r="E3630" s="211"/>
      <c r="F3630" s="211"/>
      <c r="G3630" s="212"/>
    </row>
    <row r="3631" spans="1:7" s="183" customFormat="1">
      <c r="A3631" s="187" t="s">
        <v>821</v>
      </c>
      <c r="B3631" s="211"/>
      <c r="C3631" s="211"/>
      <c r="D3631" s="211"/>
      <c r="E3631" s="211"/>
      <c r="F3631" s="211"/>
      <c r="G3631" s="212"/>
    </row>
    <row r="3632" spans="1:7" s="183" customFormat="1" ht="30">
      <c r="A3632" s="193" t="s">
        <v>0</v>
      </c>
      <c r="B3632" s="193" t="s">
        <v>1</v>
      </c>
      <c r="C3632" s="193" t="s">
        <v>207</v>
      </c>
      <c r="D3632" s="193" t="s">
        <v>3</v>
      </c>
      <c r="E3632" s="193" t="s">
        <v>2</v>
      </c>
      <c r="F3632" s="193" t="s">
        <v>417</v>
      </c>
      <c r="G3632" s="193" t="s">
        <v>418</v>
      </c>
    </row>
    <row r="3633" spans="1:7" s="183" customFormat="1">
      <c r="A3633" s="194" t="s">
        <v>4</v>
      </c>
      <c r="B3633" s="195" t="s">
        <v>5</v>
      </c>
      <c r="C3633" s="194"/>
      <c r="D3633" s="196"/>
      <c r="E3633" s="197"/>
      <c r="F3633" s="198"/>
      <c r="G3633" s="198"/>
    </row>
    <row r="3634" spans="1:7" s="183" customFormat="1">
      <c r="A3634" s="194">
        <v>1</v>
      </c>
      <c r="B3634" s="195" t="s">
        <v>6</v>
      </c>
      <c r="C3634" s="194" t="s">
        <v>7</v>
      </c>
      <c r="D3634" s="196" t="s">
        <v>8</v>
      </c>
      <c r="E3634" s="199" t="s">
        <v>92</v>
      </c>
      <c r="F3634" s="200">
        <f>VLOOKUP(B3634,'HSD UPAH,BAHAN,ALAT'!$C$6:F3549,4,FALSE)</f>
        <v>100000</v>
      </c>
      <c r="G3634" s="201">
        <f t="shared" ref="G3634:G3636" si="441">E3634*F3634</f>
        <v>5000</v>
      </c>
    </row>
    <row r="3635" spans="1:7" s="183" customFormat="1">
      <c r="A3635" s="194">
        <v>2</v>
      </c>
      <c r="B3635" s="195" t="s">
        <v>10</v>
      </c>
      <c r="C3635" s="194" t="s">
        <v>11</v>
      </c>
      <c r="D3635" s="196" t="s">
        <v>8</v>
      </c>
      <c r="E3635" s="199" t="s">
        <v>93</v>
      </c>
      <c r="F3635" s="200">
        <f>VLOOKUP(B3635,'HSD UPAH,BAHAN,ALAT'!$C$6:F3550,4,FALSE)</f>
        <v>120000</v>
      </c>
      <c r="G3635" s="201">
        <f t="shared" si="441"/>
        <v>1200</v>
      </c>
    </row>
    <row r="3636" spans="1:7" s="183" customFormat="1">
      <c r="A3636" s="194">
        <v>3</v>
      </c>
      <c r="B3636" s="195" t="s">
        <v>13</v>
      </c>
      <c r="C3636" s="194" t="s">
        <v>14</v>
      </c>
      <c r="D3636" s="196" t="s">
        <v>8</v>
      </c>
      <c r="E3636" s="199" t="s">
        <v>94</v>
      </c>
      <c r="F3636" s="200">
        <f>VLOOKUP(B3636,'HSD UPAH,BAHAN,ALAT'!$C$6:F3551,4,FALSE)</f>
        <v>100000</v>
      </c>
      <c r="G3636" s="201">
        <f t="shared" si="441"/>
        <v>330</v>
      </c>
    </row>
    <row r="3637" spans="1:7" s="183" customFormat="1">
      <c r="A3637" s="260" t="s">
        <v>420</v>
      </c>
      <c r="B3637" s="260"/>
      <c r="C3637" s="260"/>
      <c r="D3637" s="260"/>
      <c r="E3637" s="260"/>
      <c r="F3637" s="260"/>
      <c r="G3637" s="202">
        <f>SUM(G3633:G3636)</f>
        <v>6530</v>
      </c>
    </row>
    <row r="3638" spans="1:7" s="183" customFormat="1">
      <c r="A3638" s="194" t="s">
        <v>16</v>
      </c>
      <c r="B3638" s="195" t="s">
        <v>17</v>
      </c>
      <c r="C3638" s="194"/>
      <c r="D3638" s="196"/>
      <c r="E3638" s="197"/>
      <c r="F3638" s="198"/>
      <c r="G3638" s="198"/>
    </row>
    <row r="3639" spans="1:7" s="183" customFormat="1">
      <c r="A3639" s="203" t="s">
        <v>208</v>
      </c>
      <c r="B3639" s="204" t="s">
        <v>822</v>
      </c>
      <c r="C3639" s="203"/>
      <c r="D3639" s="205" t="s">
        <v>86</v>
      </c>
      <c r="E3639" s="206" t="s">
        <v>211</v>
      </c>
      <c r="F3639" s="200">
        <f>VLOOKUP(B3639,'HSD UPAH,BAHAN,ALAT'!$C$6:F3554,4,FALSE)</f>
        <v>10000</v>
      </c>
      <c r="G3639" s="201">
        <f t="shared" ref="G3639:G3640" si="442">E3639*F3639</f>
        <v>250000</v>
      </c>
    </row>
    <row r="3640" spans="1:7" s="183" customFormat="1">
      <c r="A3640" s="194">
        <v>2</v>
      </c>
      <c r="B3640" s="195" t="s">
        <v>18</v>
      </c>
      <c r="C3640" s="194"/>
      <c r="D3640" s="196" t="s">
        <v>19</v>
      </c>
      <c r="E3640" s="199">
        <v>5.0000000000000001E-3</v>
      </c>
      <c r="F3640" s="200">
        <f>VLOOKUP(B3640,'HSD UPAH,BAHAN,ALAT'!$C$6:F3555,4,FALSE)</f>
        <v>10000</v>
      </c>
      <c r="G3640" s="201">
        <f t="shared" si="442"/>
        <v>50</v>
      </c>
    </row>
    <row r="3641" spans="1:7" s="183" customFormat="1">
      <c r="A3641" s="194">
        <v>3</v>
      </c>
      <c r="B3641" s="195" t="s">
        <v>26</v>
      </c>
      <c r="C3641" s="194"/>
      <c r="D3641" s="196"/>
      <c r="E3641" s="197"/>
      <c r="F3641" s="198"/>
      <c r="G3641" s="198"/>
    </row>
    <row r="3642" spans="1:7" s="183" customFormat="1">
      <c r="A3642" s="194" t="s">
        <v>22</v>
      </c>
      <c r="B3642" s="195" t="s">
        <v>27</v>
      </c>
      <c r="C3642" s="194"/>
      <c r="D3642" s="196" t="s">
        <v>28</v>
      </c>
      <c r="E3642" s="199" t="s">
        <v>20</v>
      </c>
      <c r="F3642" s="200">
        <f>VLOOKUP(B3642,'HSD UPAH,BAHAN,ALAT'!$C$6:F3557,4,FALSE)</f>
        <v>10000</v>
      </c>
      <c r="G3642" s="201">
        <f t="shared" ref="G3642:G3644" si="443">E3642*F3642</f>
        <v>50</v>
      </c>
    </row>
    <row r="3643" spans="1:7" s="183" customFormat="1">
      <c r="A3643" s="194" t="s">
        <v>30</v>
      </c>
      <c r="B3643" s="195" t="s">
        <v>31</v>
      </c>
      <c r="C3643" s="194"/>
      <c r="D3643" s="196" t="s">
        <v>28</v>
      </c>
      <c r="E3643" s="199" t="s">
        <v>95</v>
      </c>
      <c r="F3643" s="200">
        <f>VLOOKUP(B3643,'HSD UPAH,BAHAN,ALAT'!$C$6:F3558,4,FALSE)</f>
        <v>10000</v>
      </c>
      <c r="G3643" s="201">
        <f t="shared" si="443"/>
        <v>10</v>
      </c>
    </row>
    <row r="3644" spans="1:7" s="183" customFormat="1">
      <c r="A3644" s="194" t="s">
        <v>33</v>
      </c>
      <c r="B3644" s="195" t="s">
        <v>34</v>
      </c>
      <c r="C3644" s="194"/>
      <c r="D3644" s="196" t="s">
        <v>28</v>
      </c>
      <c r="E3644" s="199" t="s">
        <v>96</v>
      </c>
      <c r="F3644" s="200">
        <f>VLOOKUP(B3644,'HSD UPAH,BAHAN,ALAT'!$C$6:F3559,4,FALSE)</f>
        <v>10000</v>
      </c>
      <c r="G3644" s="201">
        <f t="shared" si="443"/>
        <v>3.25</v>
      </c>
    </row>
    <row r="3645" spans="1:7" s="183" customFormat="1">
      <c r="A3645" s="260" t="s">
        <v>421</v>
      </c>
      <c r="B3645" s="260"/>
      <c r="C3645" s="260"/>
      <c r="D3645" s="260"/>
      <c r="E3645" s="260"/>
      <c r="F3645" s="260"/>
      <c r="G3645" s="202">
        <f>SUM(G3639:G3644)</f>
        <v>250113.25</v>
      </c>
    </row>
    <row r="3646" spans="1:7" s="183" customFormat="1">
      <c r="A3646" s="194" t="s">
        <v>36</v>
      </c>
      <c r="B3646" s="195" t="s">
        <v>37</v>
      </c>
      <c r="C3646" s="194"/>
      <c r="D3646" s="196"/>
      <c r="E3646" s="197"/>
      <c r="F3646" s="198"/>
      <c r="G3646" s="198"/>
    </row>
    <row r="3647" spans="1:7" s="183" customFormat="1">
      <c r="A3647" s="258" t="s">
        <v>419</v>
      </c>
      <c r="B3647" s="258"/>
      <c r="C3647" s="258"/>
      <c r="D3647" s="258"/>
      <c r="E3647" s="258"/>
      <c r="F3647" s="258"/>
      <c r="G3647" s="207">
        <f>SUM(G3646)</f>
        <v>0</v>
      </c>
    </row>
    <row r="3648" spans="1:7" s="183" customFormat="1">
      <c r="A3648" s="208" t="s">
        <v>38</v>
      </c>
      <c r="B3648" s="259" t="s">
        <v>39</v>
      </c>
      <c r="C3648" s="259"/>
      <c r="D3648" s="259"/>
      <c r="E3648" s="259"/>
      <c r="F3648" s="259"/>
      <c r="G3648" s="207">
        <f>SUM(G3633:G3647)/2</f>
        <v>256643.25</v>
      </c>
    </row>
    <row r="3649" spans="1:7" s="183" customFormat="1">
      <c r="A3649" s="208" t="s">
        <v>40</v>
      </c>
      <c r="B3649" s="259" t="s">
        <v>180</v>
      </c>
      <c r="C3649" s="259"/>
      <c r="D3649" s="259"/>
      <c r="E3649" s="259"/>
      <c r="F3649" s="209">
        <v>0.1</v>
      </c>
      <c r="G3649" s="207">
        <f>G3648*F3649</f>
        <v>25664.325000000001</v>
      </c>
    </row>
    <row r="3650" spans="1:7" s="183" customFormat="1">
      <c r="A3650" s="208" t="s">
        <v>41</v>
      </c>
      <c r="B3650" s="259" t="s">
        <v>42</v>
      </c>
      <c r="C3650" s="259"/>
      <c r="D3650" s="259"/>
      <c r="E3650" s="259"/>
      <c r="F3650" s="259"/>
      <c r="G3650" s="207">
        <f>G3648+G3649</f>
        <v>282307.57500000001</v>
      </c>
    </row>
    <row r="3651" spans="1:7" s="183" customFormat="1">
      <c r="A3651" s="210"/>
      <c r="B3651" s="211"/>
      <c r="C3651" s="211"/>
      <c r="D3651" s="211"/>
      <c r="E3651" s="211"/>
      <c r="F3651" s="211"/>
      <c r="G3651" s="212"/>
    </row>
    <row r="3652" spans="1:7" s="183" customFormat="1">
      <c r="A3652" s="187" t="s">
        <v>823</v>
      </c>
      <c r="B3652" s="211"/>
      <c r="C3652" s="211"/>
      <c r="D3652" s="211"/>
      <c r="E3652" s="211"/>
      <c r="F3652" s="211"/>
      <c r="G3652" s="212"/>
    </row>
    <row r="3653" spans="1:7" s="183" customFormat="1" ht="30">
      <c r="A3653" s="193" t="s">
        <v>0</v>
      </c>
      <c r="B3653" s="193" t="s">
        <v>1</v>
      </c>
      <c r="C3653" s="193" t="s">
        <v>207</v>
      </c>
      <c r="D3653" s="193" t="s">
        <v>3</v>
      </c>
      <c r="E3653" s="193" t="s">
        <v>2</v>
      </c>
      <c r="F3653" s="193" t="s">
        <v>417</v>
      </c>
      <c r="G3653" s="193" t="s">
        <v>418</v>
      </c>
    </row>
    <row r="3654" spans="1:7" s="183" customFormat="1">
      <c r="A3654" s="194" t="s">
        <v>4</v>
      </c>
      <c r="B3654" s="195" t="s">
        <v>5</v>
      </c>
      <c r="C3654" s="194"/>
      <c r="D3654" s="196"/>
      <c r="E3654" s="197"/>
      <c r="F3654" s="198"/>
      <c r="G3654" s="198"/>
    </row>
    <row r="3655" spans="1:7" s="183" customFormat="1">
      <c r="A3655" s="194">
        <v>1</v>
      </c>
      <c r="B3655" s="195" t="s">
        <v>6</v>
      </c>
      <c r="C3655" s="194" t="s">
        <v>7</v>
      </c>
      <c r="D3655" s="196" t="s">
        <v>8</v>
      </c>
      <c r="E3655" s="199" t="s">
        <v>92</v>
      </c>
      <c r="F3655" s="200">
        <f>VLOOKUP(B3655,'HSD UPAH,BAHAN,ALAT'!$C$6:F3569,4,FALSE)</f>
        <v>100000</v>
      </c>
      <c r="G3655" s="201">
        <f t="shared" ref="G3655:G3657" si="444">E3655*F3655</f>
        <v>5000</v>
      </c>
    </row>
    <row r="3656" spans="1:7" s="183" customFormat="1">
      <c r="A3656" s="194">
        <v>2</v>
      </c>
      <c r="B3656" s="195" t="s">
        <v>10</v>
      </c>
      <c r="C3656" s="194" t="s">
        <v>11</v>
      </c>
      <c r="D3656" s="196" t="s">
        <v>8</v>
      </c>
      <c r="E3656" s="199" t="s">
        <v>93</v>
      </c>
      <c r="F3656" s="200">
        <f>VLOOKUP(B3656,'HSD UPAH,BAHAN,ALAT'!$C$6:F3570,4,FALSE)</f>
        <v>120000</v>
      </c>
      <c r="G3656" s="201">
        <f t="shared" si="444"/>
        <v>1200</v>
      </c>
    </row>
    <row r="3657" spans="1:7" s="183" customFormat="1">
      <c r="A3657" s="194">
        <v>3</v>
      </c>
      <c r="B3657" s="195" t="s">
        <v>13</v>
      </c>
      <c r="C3657" s="194" t="s">
        <v>14</v>
      </c>
      <c r="D3657" s="196" t="s">
        <v>8</v>
      </c>
      <c r="E3657" s="199" t="s">
        <v>94</v>
      </c>
      <c r="F3657" s="200">
        <f>VLOOKUP(B3657,'HSD UPAH,BAHAN,ALAT'!$C$6:F3571,4,FALSE)</f>
        <v>100000</v>
      </c>
      <c r="G3657" s="201">
        <f t="shared" si="444"/>
        <v>330</v>
      </c>
    </row>
    <row r="3658" spans="1:7" s="183" customFormat="1">
      <c r="A3658" s="260" t="s">
        <v>420</v>
      </c>
      <c r="B3658" s="260"/>
      <c r="C3658" s="260"/>
      <c r="D3658" s="260"/>
      <c r="E3658" s="260"/>
      <c r="F3658" s="260"/>
      <c r="G3658" s="202">
        <f>SUM(G3654:G3657)</f>
        <v>6530</v>
      </c>
    </row>
    <row r="3659" spans="1:7" s="183" customFormat="1">
      <c r="A3659" s="194" t="s">
        <v>16</v>
      </c>
      <c r="B3659" s="195" t="s">
        <v>17</v>
      </c>
      <c r="C3659" s="194"/>
      <c r="D3659" s="196"/>
      <c r="E3659" s="197"/>
      <c r="F3659" s="198"/>
      <c r="G3659" s="198"/>
    </row>
    <row r="3660" spans="1:7" s="183" customFormat="1" ht="30">
      <c r="A3660" s="203" t="s">
        <v>208</v>
      </c>
      <c r="B3660" s="204" t="s">
        <v>824</v>
      </c>
      <c r="C3660" s="203"/>
      <c r="D3660" s="205" t="s">
        <v>86</v>
      </c>
      <c r="E3660" s="206" t="s">
        <v>211</v>
      </c>
      <c r="F3660" s="200">
        <f>VLOOKUP(B3660,'HSD UPAH,BAHAN,ALAT'!$C$6:F3574,4,FALSE)</f>
        <v>10000</v>
      </c>
      <c r="G3660" s="201">
        <f t="shared" ref="G3660:G3661" si="445">E3660*F3660</f>
        <v>250000</v>
      </c>
    </row>
    <row r="3661" spans="1:7" s="183" customFormat="1">
      <c r="A3661" s="194">
        <v>2</v>
      </c>
      <c r="B3661" s="195" t="s">
        <v>18</v>
      </c>
      <c r="C3661" s="194"/>
      <c r="D3661" s="196" t="s">
        <v>19</v>
      </c>
      <c r="E3661" s="199">
        <v>5.0000000000000001E-3</v>
      </c>
      <c r="F3661" s="200">
        <f>VLOOKUP(B3661,'HSD UPAH,BAHAN,ALAT'!$C$6:F3575,4,FALSE)</f>
        <v>10000</v>
      </c>
      <c r="G3661" s="201">
        <f t="shared" si="445"/>
        <v>50</v>
      </c>
    </row>
    <row r="3662" spans="1:7" s="183" customFormat="1">
      <c r="A3662" s="194">
        <v>3</v>
      </c>
      <c r="B3662" s="195" t="s">
        <v>26</v>
      </c>
      <c r="C3662" s="194"/>
      <c r="D3662" s="196"/>
      <c r="E3662" s="197"/>
      <c r="F3662" s="198"/>
      <c r="G3662" s="198"/>
    </row>
    <row r="3663" spans="1:7" s="183" customFormat="1">
      <c r="A3663" s="194" t="s">
        <v>22</v>
      </c>
      <c r="B3663" s="195" t="s">
        <v>27</v>
      </c>
      <c r="C3663" s="194"/>
      <c r="D3663" s="196" t="s">
        <v>28</v>
      </c>
      <c r="E3663" s="199" t="s">
        <v>20</v>
      </c>
      <c r="F3663" s="200">
        <f>VLOOKUP(B3663,'HSD UPAH,BAHAN,ALAT'!$C$6:F3577,4,FALSE)</f>
        <v>10000</v>
      </c>
      <c r="G3663" s="201">
        <f t="shared" ref="G3663:G3665" si="446">E3663*F3663</f>
        <v>50</v>
      </c>
    </row>
    <row r="3664" spans="1:7" s="183" customFormat="1">
      <c r="A3664" s="194" t="s">
        <v>30</v>
      </c>
      <c r="B3664" s="195" t="s">
        <v>31</v>
      </c>
      <c r="C3664" s="194"/>
      <c r="D3664" s="196" t="s">
        <v>28</v>
      </c>
      <c r="E3664" s="199" t="s">
        <v>95</v>
      </c>
      <c r="F3664" s="200">
        <f>VLOOKUP(B3664,'HSD UPAH,BAHAN,ALAT'!$C$6:F3578,4,FALSE)</f>
        <v>10000</v>
      </c>
      <c r="G3664" s="201">
        <f t="shared" si="446"/>
        <v>10</v>
      </c>
    </row>
    <row r="3665" spans="1:7" s="183" customFormat="1">
      <c r="A3665" s="194" t="s">
        <v>33</v>
      </c>
      <c r="B3665" s="195" t="s">
        <v>34</v>
      </c>
      <c r="C3665" s="194"/>
      <c r="D3665" s="196" t="s">
        <v>28</v>
      </c>
      <c r="E3665" s="199" t="s">
        <v>96</v>
      </c>
      <c r="F3665" s="200">
        <f>VLOOKUP(B3665,'HSD UPAH,BAHAN,ALAT'!$C$6:F3579,4,FALSE)</f>
        <v>10000</v>
      </c>
      <c r="G3665" s="201">
        <f t="shared" si="446"/>
        <v>3.25</v>
      </c>
    </row>
    <row r="3666" spans="1:7" s="183" customFormat="1">
      <c r="A3666" s="260" t="s">
        <v>421</v>
      </c>
      <c r="B3666" s="260"/>
      <c r="C3666" s="260"/>
      <c r="D3666" s="260"/>
      <c r="E3666" s="260"/>
      <c r="F3666" s="260"/>
      <c r="G3666" s="202">
        <f>SUM(G3660:G3665)</f>
        <v>250113.25</v>
      </c>
    </row>
    <row r="3667" spans="1:7" s="183" customFormat="1">
      <c r="A3667" s="194" t="s">
        <v>36</v>
      </c>
      <c r="B3667" s="195" t="s">
        <v>37</v>
      </c>
      <c r="C3667" s="194"/>
      <c r="D3667" s="196"/>
      <c r="E3667" s="197"/>
      <c r="F3667" s="198"/>
      <c r="G3667" s="198"/>
    </row>
    <row r="3668" spans="1:7" s="183" customFormat="1">
      <c r="A3668" s="258" t="s">
        <v>419</v>
      </c>
      <c r="B3668" s="258"/>
      <c r="C3668" s="258"/>
      <c r="D3668" s="258"/>
      <c r="E3668" s="258"/>
      <c r="F3668" s="258"/>
      <c r="G3668" s="207">
        <f>SUM(G3667)</f>
        <v>0</v>
      </c>
    </row>
    <row r="3669" spans="1:7" s="183" customFormat="1">
      <c r="A3669" s="208" t="s">
        <v>38</v>
      </c>
      <c r="B3669" s="259" t="s">
        <v>39</v>
      </c>
      <c r="C3669" s="259"/>
      <c r="D3669" s="259"/>
      <c r="E3669" s="259"/>
      <c r="F3669" s="259"/>
      <c r="G3669" s="207">
        <f>SUM(G3654:G3668)/2</f>
        <v>256643.25</v>
      </c>
    </row>
    <row r="3670" spans="1:7" s="183" customFormat="1">
      <c r="A3670" s="208" t="s">
        <v>40</v>
      </c>
      <c r="B3670" s="259" t="s">
        <v>180</v>
      </c>
      <c r="C3670" s="259"/>
      <c r="D3670" s="259"/>
      <c r="E3670" s="259"/>
      <c r="F3670" s="209">
        <v>0.1</v>
      </c>
      <c r="G3670" s="207">
        <f>G3669*F3670</f>
        <v>25664.325000000001</v>
      </c>
    </row>
    <row r="3671" spans="1:7" s="183" customFormat="1">
      <c r="A3671" s="208" t="s">
        <v>41</v>
      </c>
      <c r="B3671" s="259" t="s">
        <v>42</v>
      </c>
      <c r="C3671" s="259"/>
      <c r="D3671" s="259"/>
      <c r="E3671" s="259"/>
      <c r="F3671" s="259"/>
      <c r="G3671" s="207">
        <f>G3669+G3670</f>
        <v>282307.57500000001</v>
      </c>
    </row>
    <row r="3672" spans="1:7" s="183" customFormat="1">
      <c r="A3672" s="210"/>
      <c r="B3672" s="211"/>
      <c r="C3672" s="211"/>
      <c r="D3672" s="211"/>
      <c r="E3672" s="211"/>
      <c r="F3672" s="211"/>
      <c r="G3672" s="212"/>
    </row>
    <row r="3673" spans="1:7" s="183" customFormat="1">
      <c r="A3673" s="187" t="s">
        <v>825</v>
      </c>
      <c r="B3673" s="211"/>
      <c r="C3673" s="211"/>
      <c r="D3673" s="211"/>
      <c r="E3673" s="211"/>
      <c r="F3673" s="211"/>
      <c r="G3673" s="212"/>
    </row>
    <row r="3674" spans="1:7" s="183" customFormat="1" ht="30">
      <c r="A3674" s="193" t="s">
        <v>0</v>
      </c>
      <c r="B3674" s="193" t="s">
        <v>1</v>
      </c>
      <c r="C3674" s="193" t="s">
        <v>207</v>
      </c>
      <c r="D3674" s="193" t="s">
        <v>3</v>
      </c>
      <c r="E3674" s="193" t="s">
        <v>2</v>
      </c>
      <c r="F3674" s="193" t="s">
        <v>417</v>
      </c>
      <c r="G3674" s="193" t="s">
        <v>418</v>
      </c>
    </row>
    <row r="3675" spans="1:7" s="183" customFormat="1">
      <c r="A3675" s="194" t="s">
        <v>4</v>
      </c>
      <c r="B3675" s="195" t="s">
        <v>5</v>
      </c>
      <c r="C3675" s="194"/>
      <c r="D3675" s="196"/>
      <c r="E3675" s="197"/>
      <c r="F3675" s="198"/>
      <c r="G3675" s="198"/>
    </row>
    <row r="3676" spans="1:7" s="183" customFormat="1">
      <c r="A3676" s="194">
        <v>1</v>
      </c>
      <c r="B3676" s="195" t="s">
        <v>6</v>
      </c>
      <c r="C3676" s="194" t="s">
        <v>7</v>
      </c>
      <c r="D3676" s="196" t="s">
        <v>8</v>
      </c>
      <c r="E3676" s="199" t="s">
        <v>92</v>
      </c>
      <c r="F3676" s="200">
        <f>VLOOKUP(B3676,'HSD UPAH,BAHAN,ALAT'!$C$6:F3589,4,FALSE)</f>
        <v>100000</v>
      </c>
      <c r="G3676" s="201">
        <f t="shared" ref="G3676:G3678" si="447">E3676*F3676</f>
        <v>5000</v>
      </c>
    </row>
    <row r="3677" spans="1:7" s="183" customFormat="1">
      <c r="A3677" s="194">
        <v>2</v>
      </c>
      <c r="B3677" s="195" t="s">
        <v>10</v>
      </c>
      <c r="C3677" s="194" t="s">
        <v>11</v>
      </c>
      <c r="D3677" s="196" t="s">
        <v>8</v>
      </c>
      <c r="E3677" s="199" t="s">
        <v>93</v>
      </c>
      <c r="F3677" s="200">
        <f>VLOOKUP(B3677,'HSD UPAH,BAHAN,ALAT'!$C$6:F3590,4,FALSE)</f>
        <v>120000</v>
      </c>
      <c r="G3677" s="201">
        <f t="shared" si="447"/>
        <v>1200</v>
      </c>
    </row>
    <row r="3678" spans="1:7" s="183" customFormat="1">
      <c r="A3678" s="194">
        <v>3</v>
      </c>
      <c r="B3678" s="195" t="s">
        <v>13</v>
      </c>
      <c r="C3678" s="194" t="s">
        <v>14</v>
      </c>
      <c r="D3678" s="196" t="s">
        <v>8</v>
      </c>
      <c r="E3678" s="199" t="s">
        <v>94</v>
      </c>
      <c r="F3678" s="200">
        <f>VLOOKUP(B3678,'HSD UPAH,BAHAN,ALAT'!$C$6:F3591,4,FALSE)</f>
        <v>100000</v>
      </c>
      <c r="G3678" s="201">
        <f t="shared" si="447"/>
        <v>330</v>
      </c>
    </row>
    <row r="3679" spans="1:7" s="183" customFormat="1">
      <c r="A3679" s="260" t="s">
        <v>420</v>
      </c>
      <c r="B3679" s="260"/>
      <c r="C3679" s="260"/>
      <c r="D3679" s="260"/>
      <c r="E3679" s="260"/>
      <c r="F3679" s="260"/>
      <c r="G3679" s="202">
        <f>SUM(G3675:G3678)</f>
        <v>6530</v>
      </c>
    </row>
    <row r="3680" spans="1:7" s="183" customFormat="1">
      <c r="A3680" s="194" t="s">
        <v>16</v>
      </c>
      <c r="B3680" s="195" t="s">
        <v>17</v>
      </c>
      <c r="C3680" s="194"/>
      <c r="D3680" s="196"/>
      <c r="E3680" s="197"/>
      <c r="F3680" s="198"/>
      <c r="G3680" s="198"/>
    </row>
    <row r="3681" spans="1:7" s="183" customFormat="1" ht="30">
      <c r="A3681" s="203" t="s">
        <v>208</v>
      </c>
      <c r="B3681" s="204" t="s">
        <v>826</v>
      </c>
      <c r="C3681" s="203"/>
      <c r="D3681" s="205" t="s">
        <v>86</v>
      </c>
      <c r="E3681" s="206" t="s">
        <v>211</v>
      </c>
      <c r="F3681" s="200">
        <f>VLOOKUP(B3681,'HSD UPAH,BAHAN,ALAT'!$C$6:F3594,4,FALSE)</f>
        <v>10000</v>
      </c>
      <c r="G3681" s="201">
        <f t="shared" ref="G3681:G3682" si="448">E3681*F3681</f>
        <v>250000</v>
      </c>
    </row>
    <row r="3682" spans="1:7" s="183" customFormat="1">
      <c r="A3682" s="194">
        <v>2</v>
      </c>
      <c r="B3682" s="195" t="s">
        <v>18</v>
      </c>
      <c r="C3682" s="194"/>
      <c r="D3682" s="196" t="s">
        <v>19</v>
      </c>
      <c r="E3682" s="199">
        <v>5.0000000000000001E-3</v>
      </c>
      <c r="F3682" s="200">
        <f>VLOOKUP(B3682,'HSD UPAH,BAHAN,ALAT'!$C$6:F3595,4,FALSE)</f>
        <v>10000</v>
      </c>
      <c r="G3682" s="201">
        <f t="shared" si="448"/>
        <v>50</v>
      </c>
    </row>
    <row r="3683" spans="1:7" s="183" customFormat="1">
      <c r="A3683" s="194">
        <v>3</v>
      </c>
      <c r="B3683" s="195" t="s">
        <v>26</v>
      </c>
      <c r="C3683" s="194"/>
      <c r="D3683" s="196"/>
      <c r="E3683" s="197"/>
      <c r="F3683" s="198"/>
      <c r="G3683" s="198"/>
    </row>
    <row r="3684" spans="1:7" s="183" customFormat="1">
      <c r="A3684" s="194" t="s">
        <v>22</v>
      </c>
      <c r="B3684" s="195" t="s">
        <v>27</v>
      </c>
      <c r="C3684" s="194"/>
      <c r="D3684" s="196" t="s">
        <v>28</v>
      </c>
      <c r="E3684" s="199" t="s">
        <v>20</v>
      </c>
      <c r="F3684" s="200">
        <f>VLOOKUP(B3684,'HSD UPAH,BAHAN,ALAT'!$C$6:F3597,4,FALSE)</f>
        <v>10000</v>
      </c>
      <c r="G3684" s="201">
        <f t="shared" ref="G3684:G3686" si="449">E3684*F3684</f>
        <v>50</v>
      </c>
    </row>
    <row r="3685" spans="1:7" s="183" customFormat="1">
      <c r="A3685" s="194" t="s">
        <v>30</v>
      </c>
      <c r="B3685" s="195" t="s">
        <v>31</v>
      </c>
      <c r="C3685" s="194"/>
      <c r="D3685" s="196" t="s">
        <v>28</v>
      </c>
      <c r="E3685" s="199" t="s">
        <v>95</v>
      </c>
      <c r="F3685" s="200">
        <f>VLOOKUP(B3685,'HSD UPAH,BAHAN,ALAT'!$C$6:F3598,4,FALSE)</f>
        <v>10000</v>
      </c>
      <c r="G3685" s="201">
        <f t="shared" si="449"/>
        <v>10</v>
      </c>
    </row>
    <row r="3686" spans="1:7" s="183" customFormat="1">
      <c r="A3686" s="194" t="s">
        <v>33</v>
      </c>
      <c r="B3686" s="195" t="s">
        <v>34</v>
      </c>
      <c r="C3686" s="194"/>
      <c r="D3686" s="196" t="s">
        <v>28</v>
      </c>
      <c r="E3686" s="199" t="s">
        <v>96</v>
      </c>
      <c r="F3686" s="200">
        <f>VLOOKUP(B3686,'HSD UPAH,BAHAN,ALAT'!$C$6:F3599,4,FALSE)</f>
        <v>10000</v>
      </c>
      <c r="G3686" s="201">
        <f t="shared" si="449"/>
        <v>3.25</v>
      </c>
    </row>
    <row r="3687" spans="1:7" s="183" customFormat="1">
      <c r="A3687" s="260" t="s">
        <v>421</v>
      </c>
      <c r="B3687" s="260"/>
      <c r="C3687" s="260"/>
      <c r="D3687" s="260"/>
      <c r="E3687" s="260"/>
      <c r="F3687" s="260"/>
      <c r="G3687" s="202">
        <f>SUM(G3681:G3686)</f>
        <v>250113.25</v>
      </c>
    </row>
    <row r="3688" spans="1:7" s="183" customFormat="1">
      <c r="A3688" s="194" t="s">
        <v>36</v>
      </c>
      <c r="B3688" s="195" t="s">
        <v>37</v>
      </c>
      <c r="C3688" s="194"/>
      <c r="D3688" s="196"/>
      <c r="E3688" s="197"/>
      <c r="F3688" s="198"/>
      <c r="G3688" s="198"/>
    </row>
    <row r="3689" spans="1:7" s="183" customFormat="1">
      <c r="A3689" s="258" t="s">
        <v>419</v>
      </c>
      <c r="B3689" s="258"/>
      <c r="C3689" s="258"/>
      <c r="D3689" s="258"/>
      <c r="E3689" s="258"/>
      <c r="F3689" s="258"/>
      <c r="G3689" s="207">
        <f>SUM(G3688)</f>
        <v>0</v>
      </c>
    </row>
    <row r="3690" spans="1:7" s="183" customFormat="1">
      <c r="A3690" s="208" t="s">
        <v>38</v>
      </c>
      <c r="B3690" s="259" t="s">
        <v>39</v>
      </c>
      <c r="C3690" s="259"/>
      <c r="D3690" s="259"/>
      <c r="E3690" s="259"/>
      <c r="F3690" s="259"/>
      <c r="G3690" s="207">
        <f>SUM(G3675:G3689)/2</f>
        <v>256643.25</v>
      </c>
    </row>
    <row r="3691" spans="1:7" s="183" customFormat="1">
      <c r="A3691" s="208" t="s">
        <v>40</v>
      </c>
      <c r="B3691" s="259" t="s">
        <v>180</v>
      </c>
      <c r="C3691" s="259"/>
      <c r="D3691" s="259"/>
      <c r="E3691" s="259"/>
      <c r="F3691" s="209">
        <v>0.1</v>
      </c>
      <c r="G3691" s="207">
        <f>G3690*F3691</f>
        <v>25664.325000000001</v>
      </c>
    </row>
    <row r="3692" spans="1:7" s="183" customFormat="1">
      <c r="A3692" s="208" t="s">
        <v>41</v>
      </c>
      <c r="B3692" s="259" t="s">
        <v>42</v>
      </c>
      <c r="C3692" s="259"/>
      <c r="D3692" s="259"/>
      <c r="E3692" s="259"/>
      <c r="F3692" s="259"/>
      <c r="G3692" s="207">
        <f>G3690+G3691</f>
        <v>282307.57500000001</v>
      </c>
    </row>
    <row r="3693" spans="1:7" s="183" customFormat="1">
      <c r="A3693" s="210"/>
      <c r="B3693" s="211"/>
      <c r="C3693" s="211"/>
      <c r="D3693" s="211"/>
      <c r="E3693" s="211"/>
      <c r="F3693" s="211"/>
      <c r="G3693" s="212"/>
    </row>
    <row r="3694" spans="1:7" s="183" customFormat="1">
      <c r="A3694" s="187" t="s">
        <v>827</v>
      </c>
      <c r="B3694" s="211"/>
      <c r="C3694" s="211"/>
      <c r="D3694" s="211"/>
      <c r="E3694" s="211"/>
      <c r="F3694" s="211"/>
      <c r="G3694" s="212"/>
    </row>
    <row r="3695" spans="1:7" s="183" customFormat="1" ht="30">
      <c r="A3695" s="193" t="s">
        <v>0</v>
      </c>
      <c r="B3695" s="193" t="s">
        <v>1</v>
      </c>
      <c r="C3695" s="193" t="s">
        <v>207</v>
      </c>
      <c r="D3695" s="193" t="s">
        <v>3</v>
      </c>
      <c r="E3695" s="193" t="s">
        <v>2</v>
      </c>
      <c r="F3695" s="193" t="s">
        <v>417</v>
      </c>
      <c r="G3695" s="193" t="s">
        <v>418</v>
      </c>
    </row>
    <row r="3696" spans="1:7" s="183" customFormat="1">
      <c r="A3696" s="194" t="s">
        <v>4</v>
      </c>
      <c r="B3696" s="195" t="s">
        <v>5</v>
      </c>
      <c r="C3696" s="194"/>
      <c r="D3696" s="196"/>
      <c r="E3696" s="197"/>
      <c r="F3696" s="198"/>
      <c r="G3696" s="198"/>
    </row>
    <row r="3697" spans="1:7" s="183" customFormat="1">
      <c r="A3697" s="194">
        <v>1</v>
      </c>
      <c r="B3697" s="195" t="s">
        <v>6</v>
      </c>
      <c r="C3697" s="194" t="s">
        <v>7</v>
      </c>
      <c r="D3697" s="196" t="s">
        <v>8</v>
      </c>
      <c r="E3697" s="199" t="s">
        <v>92</v>
      </c>
      <c r="F3697" s="200">
        <f>VLOOKUP(B3697,'HSD UPAH,BAHAN,ALAT'!$C$6:F3609,4,FALSE)</f>
        <v>100000</v>
      </c>
      <c r="G3697" s="201">
        <f t="shared" ref="G3697:G3699" si="450">E3697*F3697</f>
        <v>5000</v>
      </c>
    </row>
    <row r="3698" spans="1:7" s="183" customFormat="1">
      <c r="A3698" s="194">
        <v>2</v>
      </c>
      <c r="B3698" s="195" t="s">
        <v>10</v>
      </c>
      <c r="C3698" s="194" t="s">
        <v>11</v>
      </c>
      <c r="D3698" s="196" t="s">
        <v>8</v>
      </c>
      <c r="E3698" s="199" t="s">
        <v>93</v>
      </c>
      <c r="F3698" s="200">
        <f>VLOOKUP(B3698,'HSD UPAH,BAHAN,ALAT'!$C$6:F3610,4,FALSE)</f>
        <v>120000</v>
      </c>
      <c r="G3698" s="201">
        <f t="shared" si="450"/>
        <v>1200</v>
      </c>
    </row>
    <row r="3699" spans="1:7" s="183" customFormat="1">
      <c r="A3699" s="194">
        <v>3</v>
      </c>
      <c r="B3699" s="195" t="s">
        <v>13</v>
      </c>
      <c r="C3699" s="194" t="s">
        <v>14</v>
      </c>
      <c r="D3699" s="196" t="s">
        <v>8</v>
      </c>
      <c r="E3699" s="199" t="s">
        <v>94</v>
      </c>
      <c r="F3699" s="200">
        <f>VLOOKUP(B3699,'HSD UPAH,BAHAN,ALAT'!$C$6:F3611,4,FALSE)</f>
        <v>100000</v>
      </c>
      <c r="G3699" s="201">
        <f t="shared" si="450"/>
        <v>330</v>
      </c>
    </row>
    <row r="3700" spans="1:7" s="183" customFormat="1">
      <c r="A3700" s="260" t="s">
        <v>420</v>
      </c>
      <c r="B3700" s="260"/>
      <c r="C3700" s="260"/>
      <c r="D3700" s="260"/>
      <c r="E3700" s="260"/>
      <c r="F3700" s="260"/>
      <c r="G3700" s="202">
        <f>SUM(G3696:G3699)</f>
        <v>6530</v>
      </c>
    </row>
    <row r="3701" spans="1:7" s="183" customFormat="1">
      <c r="A3701" s="194" t="s">
        <v>16</v>
      </c>
      <c r="B3701" s="195" t="s">
        <v>17</v>
      </c>
      <c r="C3701" s="194"/>
      <c r="D3701" s="196"/>
      <c r="E3701" s="197"/>
      <c r="F3701" s="198"/>
      <c r="G3701" s="198"/>
    </row>
    <row r="3702" spans="1:7" s="183" customFormat="1" ht="30">
      <c r="A3702" s="203" t="s">
        <v>208</v>
      </c>
      <c r="B3702" s="204" t="s">
        <v>828</v>
      </c>
      <c r="C3702" s="203"/>
      <c r="D3702" s="205" t="s">
        <v>86</v>
      </c>
      <c r="E3702" s="206" t="s">
        <v>211</v>
      </c>
      <c r="F3702" s="200">
        <f>VLOOKUP(B3702,'HSD UPAH,BAHAN,ALAT'!$C$6:F3614,4,FALSE)</f>
        <v>10000</v>
      </c>
      <c r="G3702" s="201">
        <f t="shared" ref="G3702:G3703" si="451">E3702*F3702</f>
        <v>250000</v>
      </c>
    </row>
    <row r="3703" spans="1:7" s="183" customFormat="1">
      <c r="A3703" s="194">
        <v>2</v>
      </c>
      <c r="B3703" s="195" t="s">
        <v>18</v>
      </c>
      <c r="C3703" s="194"/>
      <c r="D3703" s="196" t="s">
        <v>19</v>
      </c>
      <c r="E3703" s="199">
        <v>5.0000000000000001E-3</v>
      </c>
      <c r="F3703" s="200">
        <f>VLOOKUP(B3703,'HSD UPAH,BAHAN,ALAT'!$C$6:F3615,4,FALSE)</f>
        <v>10000</v>
      </c>
      <c r="G3703" s="201">
        <f t="shared" si="451"/>
        <v>50</v>
      </c>
    </row>
    <row r="3704" spans="1:7" s="183" customFormat="1">
      <c r="A3704" s="194">
        <v>3</v>
      </c>
      <c r="B3704" s="195" t="s">
        <v>26</v>
      </c>
      <c r="C3704" s="194"/>
      <c r="D3704" s="196"/>
      <c r="E3704" s="197"/>
      <c r="F3704" s="198"/>
      <c r="G3704" s="198"/>
    </row>
    <row r="3705" spans="1:7" s="183" customFormat="1">
      <c r="A3705" s="194" t="s">
        <v>22</v>
      </c>
      <c r="B3705" s="195" t="s">
        <v>27</v>
      </c>
      <c r="C3705" s="194"/>
      <c r="D3705" s="196" t="s">
        <v>28</v>
      </c>
      <c r="E3705" s="199" t="s">
        <v>20</v>
      </c>
      <c r="F3705" s="200">
        <f>VLOOKUP(B3705,'HSD UPAH,BAHAN,ALAT'!$C$6:F3617,4,FALSE)</f>
        <v>10000</v>
      </c>
      <c r="G3705" s="201">
        <f t="shared" ref="G3705:G3707" si="452">E3705*F3705</f>
        <v>50</v>
      </c>
    </row>
    <row r="3706" spans="1:7" s="183" customFormat="1">
      <c r="A3706" s="194" t="s">
        <v>30</v>
      </c>
      <c r="B3706" s="195" t="s">
        <v>31</v>
      </c>
      <c r="C3706" s="194"/>
      <c r="D3706" s="196" t="s">
        <v>28</v>
      </c>
      <c r="E3706" s="199" t="s">
        <v>95</v>
      </c>
      <c r="F3706" s="200">
        <f>VLOOKUP(B3706,'HSD UPAH,BAHAN,ALAT'!$C$6:F3618,4,FALSE)</f>
        <v>10000</v>
      </c>
      <c r="G3706" s="201">
        <f t="shared" si="452"/>
        <v>10</v>
      </c>
    </row>
    <row r="3707" spans="1:7" s="183" customFormat="1">
      <c r="A3707" s="194" t="s">
        <v>33</v>
      </c>
      <c r="B3707" s="195" t="s">
        <v>34</v>
      </c>
      <c r="C3707" s="194"/>
      <c r="D3707" s="196" t="s">
        <v>28</v>
      </c>
      <c r="E3707" s="199" t="s">
        <v>96</v>
      </c>
      <c r="F3707" s="200">
        <f>VLOOKUP(B3707,'HSD UPAH,BAHAN,ALAT'!$C$6:F3619,4,FALSE)</f>
        <v>10000</v>
      </c>
      <c r="G3707" s="201">
        <f t="shared" si="452"/>
        <v>3.25</v>
      </c>
    </row>
    <row r="3708" spans="1:7" s="183" customFormat="1">
      <c r="A3708" s="260" t="s">
        <v>421</v>
      </c>
      <c r="B3708" s="260"/>
      <c r="C3708" s="260"/>
      <c r="D3708" s="260"/>
      <c r="E3708" s="260"/>
      <c r="F3708" s="260"/>
      <c r="G3708" s="202">
        <f>SUM(G3702:G3707)</f>
        <v>250113.25</v>
      </c>
    </row>
    <row r="3709" spans="1:7" s="183" customFormat="1">
      <c r="A3709" s="194" t="s">
        <v>36</v>
      </c>
      <c r="B3709" s="195" t="s">
        <v>37</v>
      </c>
      <c r="C3709" s="194"/>
      <c r="D3709" s="196"/>
      <c r="E3709" s="197"/>
      <c r="F3709" s="198"/>
      <c r="G3709" s="198"/>
    </row>
    <row r="3710" spans="1:7" s="183" customFormat="1">
      <c r="A3710" s="258" t="s">
        <v>419</v>
      </c>
      <c r="B3710" s="258"/>
      <c r="C3710" s="258"/>
      <c r="D3710" s="258"/>
      <c r="E3710" s="258"/>
      <c r="F3710" s="258"/>
      <c r="G3710" s="207">
        <f>SUM(G3709)</f>
        <v>0</v>
      </c>
    </row>
    <row r="3711" spans="1:7" s="183" customFormat="1">
      <c r="A3711" s="208" t="s">
        <v>38</v>
      </c>
      <c r="B3711" s="259" t="s">
        <v>39</v>
      </c>
      <c r="C3711" s="259"/>
      <c r="D3711" s="259"/>
      <c r="E3711" s="259"/>
      <c r="F3711" s="259"/>
      <c r="G3711" s="207">
        <f>SUM(G3696:G3710)/2</f>
        <v>256643.25</v>
      </c>
    </row>
    <row r="3712" spans="1:7" s="183" customFormat="1">
      <c r="A3712" s="208" t="s">
        <v>40</v>
      </c>
      <c r="B3712" s="259" t="s">
        <v>180</v>
      </c>
      <c r="C3712" s="259"/>
      <c r="D3712" s="259"/>
      <c r="E3712" s="259"/>
      <c r="F3712" s="209">
        <v>0.1</v>
      </c>
      <c r="G3712" s="207">
        <f>G3711*F3712</f>
        <v>25664.325000000001</v>
      </c>
    </row>
    <row r="3713" spans="1:7" s="183" customFormat="1">
      <c r="A3713" s="208" t="s">
        <v>41</v>
      </c>
      <c r="B3713" s="259" t="s">
        <v>42</v>
      </c>
      <c r="C3713" s="259"/>
      <c r="D3713" s="259"/>
      <c r="E3713" s="259"/>
      <c r="F3713" s="259"/>
      <c r="G3713" s="207">
        <f>G3711+G3712</f>
        <v>282307.57500000001</v>
      </c>
    </row>
    <row r="3714" spans="1:7" s="183" customFormat="1">
      <c r="A3714" s="210"/>
      <c r="B3714" s="211"/>
      <c r="C3714" s="211"/>
      <c r="D3714" s="211"/>
      <c r="E3714" s="211"/>
      <c r="F3714" s="211"/>
      <c r="G3714" s="212"/>
    </row>
    <row r="3715" spans="1:7" s="183" customFormat="1">
      <c r="A3715" s="187" t="s">
        <v>829</v>
      </c>
      <c r="B3715" s="211"/>
      <c r="C3715" s="211"/>
      <c r="D3715" s="211"/>
      <c r="E3715" s="211"/>
      <c r="F3715" s="211"/>
      <c r="G3715" s="212"/>
    </row>
    <row r="3716" spans="1:7" s="183" customFormat="1" ht="30">
      <c r="A3716" s="193" t="s">
        <v>0</v>
      </c>
      <c r="B3716" s="193" t="s">
        <v>1</v>
      </c>
      <c r="C3716" s="193" t="s">
        <v>207</v>
      </c>
      <c r="D3716" s="193" t="s">
        <v>3</v>
      </c>
      <c r="E3716" s="193" t="s">
        <v>2</v>
      </c>
      <c r="F3716" s="193" t="s">
        <v>417</v>
      </c>
      <c r="G3716" s="193" t="s">
        <v>418</v>
      </c>
    </row>
    <row r="3717" spans="1:7" s="183" customFormat="1">
      <c r="A3717" s="194" t="s">
        <v>4</v>
      </c>
      <c r="B3717" s="195" t="s">
        <v>5</v>
      </c>
      <c r="C3717" s="194"/>
      <c r="D3717" s="196"/>
      <c r="E3717" s="197"/>
      <c r="F3717" s="198"/>
      <c r="G3717" s="198"/>
    </row>
    <row r="3718" spans="1:7" s="183" customFormat="1">
      <c r="A3718" s="194">
        <v>1</v>
      </c>
      <c r="B3718" s="195" t="s">
        <v>6</v>
      </c>
      <c r="C3718" s="194" t="s">
        <v>7</v>
      </c>
      <c r="D3718" s="196" t="s">
        <v>8</v>
      </c>
      <c r="E3718" s="199" t="s">
        <v>92</v>
      </c>
      <c r="F3718" s="200">
        <f>VLOOKUP(B3718,'HSD UPAH,BAHAN,ALAT'!$C$6:F3629,4,FALSE)</f>
        <v>100000</v>
      </c>
      <c r="G3718" s="201">
        <f t="shared" ref="G3718:G3720" si="453">E3718*F3718</f>
        <v>5000</v>
      </c>
    </row>
    <row r="3719" spans="1:7" s="183" customFormat="1">
      <c r="A3719" s="194">
        <v>2</v>
      </c>
      <c r="B3719" s="195" t="s">
        <v>10</v>
      </c>
      <c r="C3719" s="194" t="s">
        <v>11</v>
      </c>
      <c r="D3719" s="196" t="s">
        <v>8</v>
      </c>
      <c r="E3719" s="199" t="s">
        <v>93</v>
      </c>
      <c r="F3719" s="200">
        <f>VLOOKUP(B3719,'HSD UPAH,BAHAN,ALAT'!$C$6:F3630,4,FALSE)</f>
        <v>120000</v>
      </c>
      <c r="G3719" s="201">
        <f t="shared" si="453"/>
        <v>1200</v>
      </c>
    </row>
    <row r="3720" spans="1:7" s="183" customFormat="1">
      <c r="A3720" s="194">
        <v>3</v>
      </c>
      <c r="B3720" s="195" t="s">
        <v>13</v>
      </c>
      <c r="C3720" s="194" t="s">
        <v>14</v>
      </c>
      <c r="D3720" s="196" t="s">
        <v>8</v>
      </c>
      <c r="E3720" s="199" t="s">
        <v>94</v>
      </c>
      <c r="F3720" s="200">
        <f>VLOOKUP(B3720,'HSD UPAH,BAHAN,ALAT'!$C$6:F3631,4,FALSE)</f>
        <v>100000</v>
      </c>
      <c r="G3720" s="201">
        <f t="shared" si="453"/>
        <v>330</v>
      </c>
    </row>
    <row r="3721" spans="1:7" s="183" customFormat="1">
      <c r="A3721" s="260" t="s">
        <v>420</v>
      </c>
      <c r="B3721" s="260"/>
      <c r="C3721" s="260"/>
      <c r="D3721" s="260"/>
      <c r="E3721" s="260"/>
      <c r="F3721" s="260"/>
      <c r="G3721" s="202">
        <f>SUM(G3717:G3720)</f>
        <v>6530</v>
      </c>
    </row>
    <row r="3722" spans="1:7" s="183" customFormat="1">
      <c r="A3722" s="194" t="s">
        <v>16</v>
      </c>
      <c r="B3722" s="195" t="s">
        <v>17</v>
      </c>
      <c r="C3722" s="194"/>
      <c r="D3722" s="196"/>
      <c r="E3722" s="197"/>
      <c r="F3722" s="198"/>
      <c r="G3722" s="198"/>
    </row>
    <row r="3723" spans="1:7" s="183" customFormat="1" ht="30">
      <c r="A3723" s="203" t="s">
        <v>208</v>
      </c>
      <c r="B3723" s="204" t="s">
        <v>830</v>
      </c>
      <c r="C3723" s="203"/>
      <c r="D3723" s="205" t="s">
        <v>86</v>
      </c>
      <c r="E3723" s="206" t="s">
        <v>211</v>
      </c>
      <c r="F3723" s="200">
        <f>VLOOKUP(B3723,'HSD UPAH,BAHAN,ALAT'!$C$6:F3634,4,FALSE)</f>
        <v>10000</v>
      </c>
      <c r="G3723" s="201">
        <f t="shared" ref="G3723:G3724" si="454">E3723*F3723</f>
        <v>250000</v>
      </c>
    </row>
    <row r="3724" spans="1:7" s="183" customFormat="1">
      <c r="A3724" s="194">
        <v>2</v>
      </c>
      <c r="B3724" s="195" t="s">
        <v>18</v>
      </c>
      <c r="C3724" s="194"/>
      <c r="D3724" s="196" t="s">
        <v>19</v>
      </c>
      <c r="E3724" s="199">
        <v>5.0000000000000001E-3</v>
      </c>
      <c r="F3724" s="200">
        <f>VLOOKUP(B3724,'HSD UPAH,BAHAN,ALAT'!$C$6:F3635,4,FALSE)</f>
        <v>10000</v>
      </c>
      <c r="G3724" s="201">
        <f t="shared" si="454"/>
        <v>50</v>
      </c>
    </row>
    <row r="3725" spans="1:7" s="183" customFormat="1">
      <c r="A3725" s="194">
        <v>3</v>
      </c>
      <c r="B3725" s="195" t="s">
        <v>26</v>
      </c>
      <c r="C3725" s="194"/>
      <c r="D3725" s="196"/>
      <c r="E3725" s="197"/>
      <c r="F3725" s="198"/>
      <c r="G3725" s="198"/>
    </row>
    <row r="3726" spans="1:7" s="183" customFormat="1">
      <c r="A3726" s="194" t="s">
        <v>22</v>
      </c>
      <c r="B3726" s="195" t="s">
        <v>27</v>
      </c>
      <c r="C3726" s="194"/>
      <c r="D3726" s="196" t="s">
        <v>28</v>
      </c>
      <c r="E3726" s="199" t="s">
        <v>20</v>
      </c>
      <c r="F3726" s="200">
        <f>VLOOKUP(B3726,'HSD UPAH,BAHAN,ALAT'!$C$6:F3637,4,FALSE)</f>
        <v>10000</v>
      </c>
      <c r="G3726" s="201">
        <f t="shared" ref="G3726:G3728" si="455">E3726*F3726</f>
        <v>50</v>
      </c>
    </row>
    <row r="3727" spans="1:7" s="183" customFormat="1">
      <c r="A3727" s="194" t="s">
        <v>30</v>
      </c>
      <c r="B3727" s="195" t="s">
        <v>31</v>
      </c>
      <c r="C3727" s="194"/>
      <c r="D3727" s="196" t="s">
        <v>28</v>
      </c>
      <c r="E3727" s="199" t="s">
        <v>95</v>
      </c>
      <c r="F3727" s="200">
        <f>VLOOKUP(B3727,'HSD UPAH,BAHAN,ALAT'!$C$6:F3638,4,FALSE)</f>
        <v>10000</v>
      </c>
      <c r="G3727" s="201">
        <f t="shared" si="455"/>
        <v>10</v>
      </c>
    </row>
    <row r="3728" spans="1:7" s="183" customFormat="1">
      <c r="A3728" s="194" t="s">
        <v>33</v>
      </c>
      <c r="B3728" s="195" t="s">
        <v>34</v>
      </c>
      <c r="C3728" s="194"/>
      <c r="D3728" s="196" t="s">
        <v>28</v>
      </c>
      <c r="E3728" s="199" t="s">
        <v>96</v>
      </c>
      <c r="F3728" s="200">
        <f>VLOOKUP(B3728,'HSD UPAH,BAHAN,ALAT'!$C$6:F3639,4,FALSE)</f>
        <v>10000</v>
      </c>
      <c r="G3728" s="201">
        <f t="shared" si="455"/>
        <v>3.25</v>
      </c>
    </row>
    <row r="3729" spans="1:7" s="183" customFormat="1">
      <c r="A3729" s="260" t="s">
        <v>421</v>
      </c>
      <c r="B3729" s="260"/>
      <c r="C3729" s="260"/>
      <c r="D3729" s="260"/>
      <c r="E3729" s="260"/>
      <c r="F3729" s="260"/>
      <c r="G3729" s="202">
        <f>SUM(G3723:G3728)</f>
        <v>250113.25</v>
      </c>
    </row>
    <row r="3730" spans="1:7" s="183" customFormat="1">
      <c r="A3730" s="194" t="s">
        <v>36</v>
      </c>
      <c r="B3730" s="195" t="s">
        <v>37</v>
      </c>
      <c r="C3730" s="194"/>
      <c r="D3730" s="196"/>
      <c r="E3730" s="197"/>
      <c r="F3730" s="198"/>
      <c r="G3730" s="198"/>
    </row>
    <row r="3731" spans="1:7" s="183" customFormat="1">
      <c r="A3731" s="258" t="s">
        <v>419</v>
      </c>
      <c r="B3731" s="258"/>
      <c r="C3731" s="258"/>
      <c r="D3731" s="258"/>
      <c r="E3731" s="258"/>
      <c r="F3731" s="258"/>
      <c r="G3731" s="207">
        <f>SUM(G3730)</f>
        <v>0</v>
      </c>
    </row>
    <row r="3732" spans="1:7" s="183" customFormat="1">
      <c r="A3732" s="208" t="s">
        <v>38</v>
      </c>
      <c r="B3732" s="259" t="s">
        <v>39</v>
      </c>
      <c r="C3732" s="259"/>
      <c r="D3732" s="259"/>
      <c r="E3732" s="259"/>
      <c r="F3732" s="259"/>
      <c r="G3732" s="207">
        <f>SUM(G3717:G3731)/2</f>
        <v>256643.25</v>
      </c>
    </row>
    <row r="3733" spans="1:7" s="183" customFormat="1">
      <c r="A3733" s="208" t="s">
        <v>40</v>
      </c>
      <c r="B3733" s="259" t="s">
        <v>180</v>
      </c>
      <c r="C3733" s="259"/>
      <c r="D3733" s="259"/>
      <c r="E3733" s="259"/>
      <c r="F3733" s="209">
        <v>0.1</v>
      </c>
      <c r="G3733" s="207">
        <f>G3732*F3733</f>
        <v>25664.325000000001</v>
      </c>
    </row>
    <row r="3734" spans="1:7" s="183" customFormat="1">
      <c r="A3734" s="208" t="s">
        <v>41</v>
      </c>
      <c r="B3734" s="259" t="s">
        <v>42</v>
      </c>
      <c r="C3734" s="259"/>
      <c r="D3734" s="259"/>
      <c r="E3734" s="259"/>
      <c r="F3734" s="259"/>
      <c r="G3734" s="207">
        <f>G3732+G3733</f>
        <v>282307.57500000001</v>
      </c>
    </row>
    <row r="3735" spans="1:7" s="183" customFormat="1">
      <c r="A3735" s="210"/>
      <c r="B3735" s="211"/>
      <c r="C3735" s="211"/>
      <c r="D3735" s="211"/>
      <c r="E3735" s="211"/>
      <c r="F3735" s="211"/>
      <c r="G3735" s="212"/>
    </row>
    <row r="3736" spans="1:7" s="183" customFormat="1">
      <c r="A3736" s="187" t="s">
        <v>831</v>
      </c>
      <c r="B3736" s="211"/>
      <c r="C3736" s="211"/>
      <c r="D3736" s="211"/>
      <c r="E3736" s="211"/>
      <c r="F3736" s="211"/>
      <c r="G3736" s="212"/>
    </row>
    <row r="3737" spans="1:7" s="183" customFormat="1" ht="30">
      <c r="A3737" s="193" t="s">
        <v>0</v>
      </c>
      <c r="B3737" s="193" t="s">
        <v>1</v>
      </c>
      <c r="C3737" s="193" t="s">
        <v>207</v>
      </c>
      <c r="D3737" s="193" t="s">
        <v>3</v>
      </c>
      <c r="E3737" s="193" t="s">
        <v>2</v>
      </c>
      <c r="F3737" s="193" t="s">
        <v>417</v>
      </c>
      <c r="G3737" s="193" t="s">
        <v>418</v>
      </c>
    </row>
    <row r="3738" spans="1:7" s="183" customFormat="1">
      <c r="A3738" s="194" t="s">
        <v>4</v>
      </c>
      <c r="B3738" s="195" t="s">
        <v>5</v>
      </c>
      <c r="C3738" s="194"/>
      <c r="D3738" s="196"/>
      <c r="E3738" s="197"/>
      <c r="F3738" s="198"/>
      <c r="G3738" s="198"/>
    </row>
    <row r="3739" spans="1:7" s="183" customFormat="1">
      <c r="A3739" s="194">
        <v>1</v>
      </c>
      <c r="B3739" s="195" t="s">
        <v>6</v>
      </c>
      <c r="C3739" s="194" t="s">
        <v>7</v>
      </c>
      <c r="D3739" s="196" t="s">
        <v>8</v>
      </c>
      <c r="E3739" s="199" t="s">
        <v>92</v>
      </c>
      <c r="F3739" s="200">
        <f>VLOOKUP(B3739,'HSD UPAH,BAHAN,ALAT'!$C$6:F3649,4,FALSE)</f>
        <v>100000</v>
      </c>
      <c r="G3739" s="201">
        <f t="shared" ref="G3739:G3741" si="456">E3739*F3739</f>
        <v>5000</v>
      </c>
    </row>
    <row r="3740" spans="1:7" s="183" customFormat="1">
      <c r="A3740" s="194">
        <v>2</v>
      </c>
      <c r="B3740" s="195" t="s">
        <v>10</v>
      </c>
      <c r="C3740" s="194" t="s">
        <v>11</v>
      </c>
      <c r="D3740" s="196" t="s">
        <v>8</v>
      </c>
      <c r="E3740" s="199" t="s">
        <v>93</v>
      </c>
      <c r="F3740" s="200">
        <f>VLOOKUP(B3740,'HSD UPAH,BAHAN,ALAT'!$C$6:F3650,4,FALSE)</f>
        <v>120000</v>
      </c>
      <c r="G3740" s="201">
        <f t="shared" si="456"/>
        <v>1200</v>
      </c>
    </row>
    <row r="3741" spans="1:7" s="183" customFormat="1">
      <c r="A3741" s="194">
        <v>3</v>
      </c>
      <c r="B3741" s="195" t="s">
        <v>13</v>
      </c>
      <c r="C3741" s="194" t="s">
        <v>14</v>
      </c>
      <c r="D3741" s="196" t="s">
        <v>8</v>
      </c>
      <c r="E3741" s="199" t="s">
        <v>94</v>
      </c>
      <c r="F3741" s="200">
        <f>VLOOKUP(B3741,'HSD UPAH,BAHAN,ALAT'!$C$6:F3651,4,FALSE)</f>
        <v>100000</v>
      </c>
      <c r="G3741" s="201">
        <f t="shared" si="456"/>
        <v>330</v>
      </c>
    </row>
    <row r="3742" spans="1:7" s="183" customFormat="1">
      <c r="A3742" s="260" t="s">
        <v>420</v>
      </c>
      <c r="B3742" s="260"/>
      <c r="C3742" s="260"/>
      <c r="D3742" s="260"/>
      <c r="E3742" s="260"/>
      <c r="F3742" s="260"/>
      <c r="G3742" s="202">
        <f>SUM(G3738:G3741)</f>
        <v>6530</v>
      </c>
    </row>
    <row r="3743" spans="1:7" s="183" customFormat="1">
      <c r="A3743" s="194" t="s">
        <v>16</v>
      </c>
      <c r="B3743" s="195" t="s">
        <v>17</v>
      </c>
      <c r="C3743" s="194"/>
      <c r="D3743" s="196"/>
      <c r="E3743" s="197"/>
      <c r="F3743" s="198"/>
      <c r="G3743" s="198"/>
    </row>
    <row r="3744" spans="1:7" s="183" customFormat="1" ht="30">
      <c r="A3744" s="203" t="s">
        <v>208</v>
      </c>
      <c r="B3744" s="204" t="s">
        <v>832</v>
      </c>
      <c r="C3744" s="203"/>
      <c r="D3744" s="205" t="s">
        <v>86</v>
      </c>
      <c r="E3744" s="206" t="s">
        <v>211</v>
      </c>
      <c r="F3744" s="200">
        <f>VLOOKUP(B3744,'HSD UPAH,BAHAN,ALAT'!$C$6:F3654,4,FALSE)</f>
        <v>10000</v>
      </c>
      <c r="G3744" s="201">
        <f t="shared" ref="G3744:G3745" si="457">E3744*F3744</f>
        <v>250000</v>
      </c>
    </row>
    <row r="3745" spans="1:7" s="183" customFormat="1">
      <c r="A3745" s="194">
        <v>2</v>
      </c>
      <c r="B3745" s="195" t="s">
        <v>18</v>
      </c>
      <c r="C3745" s="194"/>
      <c r="D3745" s="196" t="s">
        <v>19</v>
      </c>
      <c r="E3745" s="199">
        <v>5.0000000000000001E-3</v>
      </c>
      <c r="F3745" s="200">
        <f>VLOOKUP(B3745,'HSD UPAH,BAHAN,ALAT'!$C$6:F3655,4,FALSE)</f>
        <v>10000</v>
      </c>
      <c r="G3745" s="201">
        <f t="shared" si="457"/>
        <v>50</v>
      </c>
    </row>
    <row r="3746" spans="1:7" s="183" customFormat="1">
      <c r="A3746" s="194">
        <v>3</v>
      </c>
      <c r="B3746" s="195" t="s">
        <v>26</v>
      </c>
      <c r="C3746" s="194"/>
      <c r="D3746" s="196"/>
      <c r="E3746" s="197"/>
      <c r="F3746" s="198"/>
      <c r="G3746" s="198"/>
    </row>
    <row r="3747" spans="1:7" s="183" customFormat="1">
      <c r="A3747" s="194" t="s">
        <v>22</v>
      </c>
      <c r="B3747" s="195" t="s">
        <v>27</v>
      </c>
      <c r="C3747" s="194"/>
      <c r="D3747" s="196" t="s">
        <v>28</v>
      </c>
      <c r="E3747" s="199" t="s">
        <v>20</v>
      </c>
      <c r="F3747" s="200">
        <f>VLOOKUP(B3747,'HSD UPAH,BAHAN,ALAT'!$C$6:F3657,4,FALSE)</f>
        <v>10000</v>
      </c>
      <c r="G3747" s="201">
        <f t="shared" ref="G3747:G3749" si="458">E3747*F3747</f>
        <v>50</v>
      </c>
    </row>
    <row r="3748" spans="1:7" s="183" customFormat="1">
      <c r="A3748" s="194" t="s">
        <v>30</v>
      </c>
      <c r="B3748" s="195" t="s">
        <v>31</v>
      </c>
      <c r="C3748" s="194"/>
      <c r="D3748" s="196" t="s">
        <v>28</v>
      </c>
      <c r="E3748" s="199" t="s">
        <v>95</v>
      </c>
      <c r="F3748" s="200">
        <f>VLOOKUP(B3748,'HSD UPAH,BAHAN,ALAT'!$C$6:F3658,4,FALSE)</f>
        <v>10000</v>
      </c>
      <c r="G3748" s="201">
        <f t="shared" si="458"/>
        <v>10</v>
      </c>
    </row>
    <row r="3749" spans="1:7" s="183" customFormat="1">
      <c r="A3749" s="194" t="s">
        <v>33</v>
      </c>
      <c r="B3749" s="195" t="s">
        <v>34</v>
      </c>
      <c r="C3749" s="194"/>
      <c r="D3749" s="196" t="s">
        <v>28</v>
      </c>
      <c r="E3749" s="199" t="s">
        <v>96</v>
      </c>
      <c r="F3749" s="200">
        <f>VLOOKUP(B3749,'HSD UPAH,BAHAN,ALAT'!$C$6:F3659,4,FALSE)</f>
        <v>10000</v>
      </c>
      <c r="G3749" s="201">
        <f t="shared" si="458"/>
        <v>3.25</v>
      </c>
    </row>
    <row r="3750" spans="1:7" s="183" customFormat="1">
      <c r="A3750" s="260" t="s">
        <v>421</v>
      </c>
      <c r="B3750" s="260"/>
      <c r="C3750" s="260"/>
      <c r="D3750" s="260"/>
      <c r="E3750" s="260"/>
      <c r="F3750" s="260"/>
      <c r="G3750" s="202">
        <f>SUM(G3744:G3749)</f>
        <v>250113.25</v>
      </c>
    </row>
    <row r="3751" spans="1:7" s="183" customFormat="1">
      <c r="A3751" s="194" t="s">
        <v>36</v>
      </c>
      <c r="B3751" s="195" t="s">
        <v>37</v>
      </c>
      <c r="C3751" s="194"/>
      <c r="D3751" s="196"/>
      <c r="E3751" s="197"/>
      <c r="F3751" s="198"/>
      <c r="G3751" s="198"/>
    </row>
    <row r="3752" spans="1:7" s="183" customFormat="1">
      <c r="A3752" s="258" t="s">
        <v>419</v>
      </c>
      <c r="B3752" s="258"/>
      <c r="C3752" s="258"/>
      <c r="D3752" s="258"/>
      <c r="E3752" s="258"/>
      <c r="F3752" s="258"/>
      <c r="G3752" s="207">
        <f>SUM(G3751)</f>
        <v>0</v>
      </c>
    </row>
    <row r="3753" spans="1:7" s="183" customFormat="1">
      <c r="A3753" s="208" t="s">
        <v>38</v>
      </c>
      <c r="B3753" s="259" t="s">
        <v>39</v>
      </c>
      <c r="C3753" s="259"/>
      <c r="D3753" s="259"/>
      <c r="E3753" s="259"/>
      <c r="F3753" s="259"/>
      <c r="G3753" s="207">
        <f>SUM(G3738:G3752)/2</f>
        <v>256643.25</v>
      </c>
    </row>
    <row r="3754" spans="1:7" s="183" customFormat="1">
      <c r="A3754" s="208" t="s">
        <v>40</v>
      </c>
      <c r="B3754" s="259" t="s">
        <v>180</v>
      </c>
      <c r="C3754" s="259"/>
      <c r="D3754" s="259"/>
      <c r="E3754" s="259"/>
      <c r="F3754" s="209">
        <v>0.1</v>
      </c>
      <c r="G3754" s="207">
        <f>G3753*F3754</f>
        <v>25664.325000000001</v>
      </c>
    </row>
    <row r="3755" spans="1:7" s="183" customFormat="1">
      <c r="A3755" s="208" t="s">
        <v>41</v>
      </c>
      <c r="B3755" s="259" t="s">
        <v>42</v>
      </c>
      <c r="C3755" s="259"/>
      <c r="D3755" s="259"/>
      <c r="E3755" s="259"/>
      <c r="F3755" s="259"/>
      <c r="G3755" s="207">
        <f>G3753+G3754</f>
        <v>282307.57500000001</v>
      </c>
    </row>
    <row r="3756" spans="1:7" s="183" customFormat="1">
      <c r="A3756" s="210"/>
      <c r="B3756" s="211"/>
      <c r="C3756" s="211"/>
      <c r="D3756" s="211"/>
      <c r="E3756" s="211"/>
      <c r="F3756" s="211"/>
      <c r="G3756" s="212"/>
    </row>
    <row r="3757" spans="1:7">
      <c r="A3757" s="4" t="s">
        <v>467</v>
      </c>
      <c r="B3757" s="91"/>
      <c r="C3757" s="91"/>
      <c r="D3757" s="91"/>
      <c r="E3757" s="91"/>
      <c r="F3757" s="91"/>
      <c r="G3757" s="92"/>
    </row>
    <row r="3758" spans="1:7">
      <c r="A3758" s="4" t="s">
        <v>595</v>
      </c>
      <c r="B3758" s="91"/>
      <c r="C3758" s="91"/>
      <c r="D3758" s="91"/>
      <c r="E3758" s="91"/>
      <c r="F3758" s="91"/>
      <c r="G3758" s="92"/>
    </row>
    <row r="3759" spans="1:7" ht="30">
      <c r="A3759" s="79" t="s">
        <v>0</v>
      </c>
      <c r="B3759" s="79" t="s">
        <v>1</v>
      </c>
      <c r="C3759" s="79" t="s">
        <v>207</v>
      </c>
      <c r="D3759" s="79" t="s">
        <v>3</v>
      </c>
      <c r="E3759" s="79" t="s">
        <v>2</v>
      </c>
      <c r="F3759" s="79" t="s">
        <v>417</v>
      </c>
      <c r="G3759" s="79" t="s">
        <v>418</v>
      </c>
    </row>
    <row r="3760" spans="1:7">
      <c r="A3760" s="8" t="s">
        <v>4</v>
      </c>
      <c r="B3760" s="1" t="s">
        <v>5</v>
      </c>
      <c r="C3760" s="8"/>
      <c r="D3760" s="9"/>
      <c r="E3760" s="19"/>
      <c r="F3760" s="2"/>
      <c r="G3760" s="2"/>
    </row>
    <row r="3761" spans="1:7">
      <c r="A3761" s="8">
        <v>1</v>
      </c>
      <c r="B3761" s="1" t="s">
        <v>6</v>
      </c>
      <c r="C3761" s="8" t="s">
        <v>7</v>
      </c>
      <c r="D3761" s="9" t="s">
        <v>8</v>
      </c>
      <c r="E3761" s="10" t="s">
        <v>92</v>
      </c>
      <c r="F3761" s="86">
        <f>VLOOKUP(B3761,'HSD UPAH,BAHAN,ALAT'!$C$6:F3527,4,FALSE)</f>
        <v>100000</v>
      </c>
      <c r="G3761" s="87">
        <f t="shared" ref="G3761:G3763" si="459">E3761*F3761</f>
        <v>5000</v>
      </c>
    </row>
    <row r="3762" spans="1:7">
      <c r="A3762" s="8">
        <v>2</v>
      </c>
      <c r="B3762" s="1" t="s">
        <v>10</v>
      </c>
      <c r="C3762" s="8" t="s">
        <v>11</v>
      </c>
      <c r="D3762" s="9" t="s">
        <v>8</v>
      </c>
      <c r="E3762" s="10" t="s">
        <v>93</v>
      </c>
      <c r="F3762" s="86">
        <f>VLOOKUP(B3762,'HSD UPAH,BAHAN,ALAT'!$C$6:F3528,4,FALSE)</f>
        <v>120000</v>
      </c>
      <c r="G3762" s="87">
        <f t="shared" si="459"/>
        <v>1200</v>
      </c>
    </row>
    <row r="3763" spans="1:7">
      <c r="A3763" s="8">
        <v>3</v>
      </c>
      <c r="B3763" s="1" t="s">
        <v>13</v>
      </c>
      <c r="C3763" s="8" t="s">
        <v>14</v>
      </c>
      <c r="D3763" s="9" t="s">
        <v>8</v>
      </c>
      <c r="E3763" s="10" t="s">
        <v>94</v>
      </c>
      <c r="F3763" s="86">
        <f>VLOOKUP(B3763,'HSD UPAH,BAHAN,ALAT'!$C$6:F3529,4,FALSE)</f>
        <v>100000</v>
      </c>
      <c r="G3763" s="87">
        <f t="shared" si="459"/>
        <v>330</v>
      </c>
    </row>
    <row r="3764" spans="1:7">
      <c r="A3764" s="261" t="s">
        <v>420</v>
      </c>
      <c r="B3764" s="261"/>
      <c r="C3764" s="261"/>
      <c r="D3764" s="261"/>
      <c r="E3764" s="261"/>
      <c r="F3764" s="261"/>
      <c r="G3764" s="85">
        <f>SUM(G3760:G3763)</f>
        <v>6530</v>
      </c>
    </row>
    <row r="3765" spans="1:7">
      <c r="A3765" s="8" t="s">
        <v>16</v>
      </c>
      <c r="B3765" s="1" t="s">
        <v>17</v>
      </c>
      <c r="C3765" s="8"/>
      <c r="D3765" s="9"/>
      <c r="E3765" s="19"/>
      <c r="F3765" s="2"/>
      <c r="G3765" s="2"/>
    </row>
    <row r="3766" spans="1:7" ht="30">
      <c r="A3766" s="17" t="s">
        <v>208</v>
      </c>
      <c r="B3766" s="5" t="s">
        <v>334</v>
      </c>
      <c r="C3766" s="17"/>
      <c r="D3766" s="12" t="s">
        <v>86</v>
      </c>
      <c r="E3766" s="7" t="s">
        <v>212</v>
      </c>
      <c r="F3766" s="86">
        <f>VLOOKUP(B3766,'HSD UPAH,BAHAN,ALAT'!$C$6:F3532,4,FALSE)</f>
        <v>10000</v>
      </c>
      <c r="G3766" s="87">
        <f t="shared" ref="G3766:G3767" si="460">E3766*F3766</f>
        <v>160000</v>
      </c>
    </row>
    <row r="3767" spans="1:7">
      <c r="A3767" s="8">
        <v>2</v>
      </c>
      <c r="B3767" s="1" t="s">
        <v>18</v>
      </c>
      <c r="C3767" s="8"/>
      <c r="D3767" s="9" t="s">
        <v>19</v>
      </c>
      <c r="E3767" s="10">
        <v>5.0000000000000001E-3</v>
      </c>
      <c r="F3767" s="86">
        <f>VLOOKUP(B3767,'HSD UPAH,BAHAN,ALAT'!$C$6:F3533,4,FALSE)</f>
        <v>10000</v>
      </c>
      <c r="G3767" s="87">
        <f t="shared" si="460"/>
        <v>50</v>
      </c>
    </row>
    <row r="3768" spans="1:7">
      <c r="A3768" s="8">
        <v>3</v>
      </c>
      <c r="B3768" s="1" t="s">
        <v>26</v>
      </c>
      <c r="C3768" s="8"/>
      <c r="D3768" s="9"/>
      <c r="E3768" s="19"/>
      <c r="F3768" s="2"/>
      <c r="G3768" s="2"/>
    </row>
    <row r="3769" spans="1:7">
      <c r="A3769" s="8" t="s">
        <v>22</v>
      </c>
      <c r="B3769" s="1" t="s">
        <v>27</v>
      </c>
      <c r="C3769" s="8"/>
      <c r="D3769" s="9" t="s">
        <v>28</v>
      </c>
      <c r="E3769" s="10" t="s">
        <v>97</v>
      </c>
      <c r="F3769" s="86">
        <f>VLOOKUP(B3769,'HSD UPAH,BAHAN,ALAT'!$C$6:F3535,4,FALSE)</f>
        <v>10000</v>
      </c>
      <c r="G3769" s="87">
        <f t="shared" ref="G3769:G3771" si="461">E3769*F3769</f>
        <v>110</v>
      </c>
    </row>
    <row r="3770" spans="1:7">
      <c r="A3770" s="8" t="s">
        <v>30</v>
      </c>
      <c r="B3770" s="1" t="s">
        <v>31</v>
      </c>
      <c r="C3770" s="8"/>
      <c r="D3770" s="9" t="s">
        <v>28</v>
      </c>
      <c r="E3770" s="10" t="s">
        <v>59</v>
      </c>
      <c r="F3770" s="86">
        <f>VLOOKUP(B3770,'HSD UPAH,BAHAN,ALAT'!$C$6:F3536,4,FALSE)</f>
        <v>10000</v>
      </c>
      <c r="G3770" s="87">
        <f t="shared" si="461"/>
        <v>30</v>
      </c>
    </row>
    <row r="3771" spans="1:7">
      <c r="A3771" s="8" t="s">
        <v>33</v>
      </c>
      <c r="B3771" s="1" t="s">
        <v>34</v>
      </c>
      <c r="C3771" s="8"/>
      <c r="D3771" s="9" t="s">
        <v>28</v>
      </c>
      <c r="E3771" s="10" t="s">
        <v>95</v>
      </c>
      <c r="F3771" s="86">
        <f>VLOOKUP(B3771,'HSD UPAH,BAHAN,ALAT'!$C$6:F3537,4,FALSE)</f>
        <v>10000</v>
      </c>
      <c r="G3771" s="87">
        <f t="shared" si="461"/>
        <v>10</v>
      </c>
    </row>
    <row r="3772" spans="1:7">
      <c r="A3772" s="261" t="s">
        <v>421</v>
      </c>
      <c r="B3772" s="261"/>
      <c r="C3772" s="261"/>
      <c r="D3772" s="261"/>
      <c r="E3772" s="261"/>
      <c r="F3772" s="261"/>
      <c r="G3772" s="85">
        <f>SUM(G3766:G3771)</f>
        <v>160200</v>
      </c>
    </row>
    <row r="3773" spans="1:7">
      <c r="A3773" s="8" t="s">
        <v>36</v>
      </c>
      <c r="B3773" s="1" t="s">
        <v>37</v>
      </c>
      <c r="C3773" s="8"/>
      <c r="D3773" s="9"/>
      <c r="E3773" s="19"/>
      <c r="F3773" s="2"/>
      <c r="G3773" s="2"/>
    </row>
    <row r="3774" spans="1:7">
      <c r="A3774" s="263" t="s">
        <v>419</v>
      </c>
      <c r="B3774" s="263"/>
      <c r="C3774" s="263"/>
      <c r="D3774" s="263"/>
      <c r="E3774" s="263"/>
      <c r="F3774" s="263"/>
      <c r="G3774" s="80">
        <f>SUM(G3773)</f>
        <v>0</v>
      </c>
    </row>
    <row r="3775" spans="1:7">
      <c r="A3775" s="81" t="s">
        <v>38</v>
      </c>
      <c r="B3775" s="262" t="s">
        <v>39</v>
      </c>
      <c r="C3775" s="262"/>
      <c r="D3775" s="262"/>
      <c r="E3775" s="262"/>
      <c r="F3775" s="262"/>
      <c r="G3775" s="80">
        <f>SUM(G3761:G3774)/2</f>
        <v>166730</v>
      </c>
    </row>
    <row r="3776" spans="1:7">
      <c r="A3776" s="81" t="s">
        <v>40</v>
      </c>
      <c r="B3776" s="262" t="s">
        <v>180</v>
      </c>
      <c r="C3776" s="262"/>
      <c r="D3776" s="262"/>
      <c r="E3776" s="262"/>
      <c r="F3776" s="82">
        <v>0.1</v>
      </c>
      <c r="G3776" s="80">
        <f>G3775*F3776</f>
        <v>16673</v>
      </c>
    </row>
    <row r="3777" spans="1:7">
      <c r="A3777" s="81" t="s">
        <v>41</v>
      </c>
      <c r="B3777" s="262" t="s">
        <v>42</v>
      </c>
      <c r="C3777" s="262"/>
      <c r="D3777" s="262"/>
      <c r="E3777" s="262"/>
      <c r="F3777" s="262"/>
      <c r="G3777" s="80">
        <f>G3775+G3776</f>
        <v>183403</v>
      </c>
    </row>
    <row r="3778" spans="1:7">
      <c r="A3778" s="90"/>
      <c r="B3778" s="91"/>
      <c r="C3778" s="91"/>
      <c r="D3778" s="91"/>
      <c r="E3778" s="91"/>
      <c r="F3778" s="91"/>
      <c r="G3778" s="92"/>
    </row>
    <row r="3779" spans="1:7">
      <c r="A3779" s="4" t="s">
        <v>596</v>
      </c>
      <c r="B3779" s="91"/>
      <c r="C3779" s="91"/>
      <c r="D3779" s="91"/>
      <c r="E3779" s="91"/>
      <c r="F3779" s="91"/>
      <c r="G3779" s="92"/>
    </row>
    <row r="3780" spans="1:7" ht="30">
      <c r="A3780" s="79" t="s">
        <v>0</v>
      </c>
      <c r="B3780" s="79" t="s">
        <v>1</v>
      </c>
      <c r="C3780" s="79" t="s">
        <v>207</v>
      </c>
      <c r="D3780" s="79" t="s">
        <v>3</v>
      </c>
      <c r="E3780" s="79" t="s">
        <v>2</v>
      </c>
      <c r="F3780" s="79" t="s">
        <v>417</v>
      </c>
      <c r="G3780" s="79" t="s">
        <v>418</v>
      </c>
    </row>
    <row r="3781" spans="1:7">
      <c r="A3781" s="8" t="s">
        <v>4</v>
      </c>
      <c r="B3781" s="1" t="s">
        <v>5</v>
      </c>
      <c r="C3781" s="8"/>
      <c r="D3781" s="9"/>
      <c r="E3781" s="19"/>
      <c r="F3781" s="2"/>
      <c r="G3781" s="2"/>
    </row>
    <row r="3782" spans="1:7">
      <c r="A3782" s="8">
        <v>1</v>
      </c>
      <c r="B3782" s="1" t="s">
        <v>6</v>
      </c>
      <c r="C3782" s="8" t="s">
        <v>7</v>
      </c>
      <c r="D3782" s="9" t="s">
        <v>8</v>
      </c>
      <c r="E3782" s="10" t="s">
        <v>92</v>
      </c>
      <c r="F3782" s="86">
        <f>VLOOKUP(B3782,'HSD UPAH,BAHAN,ALAT'!$C$6:F3546,4,FALSE)</f>
        <v>100000</v>
      </c>
      <c r="G3782" s="87">
        <f t="shared" ref="G3782:G3784" si="462">E3782*F3782</f>
        <v>5000</v>
      </c>
    </row>
    <row r="3783" spans="1:7">
      <c r="A3783" s="8">
        <v>2</v>
      </c>
      <c r="B3783" s="1" t="s">
        <v>10</v>
      </c>
      <c r="C3783" s="8" t="s">
        <v>11</v>
      </c>
      <c r="D3783" s="9" t="s">
        <v>8</v>
      </c>
      <c r="E3783" s="10" t="s">
        <v>93</v>
      </c>
      <c r="F3783" s="86">
        <f>VLOOKUP(B3783,'HSD UPAH,BAHAN,ALAT'!$C$6:F3547,4,FALSE)</f>
        <v>120000</v>
      </c>
      <c r="G3783" s="87">
        <f t="shared" si="462"/>
        <v>1200</v>
      </c>
    </row>
    <row r="3784" spans="1:7">
      <c r="A3784" s="8">
        <v>3</v>
      </c>
      <c r="B3784" s="1" t="s">
        <v>13</v>
      </c>
      <c r="C3784" s="8" t="s">
        <v>14</v>
      </c>
      <c r="D3784" s="9" t="s">
        <v>8</v>
      </c>
      <c r="E3784" s="10" t="s">
        <v>94</v>
      </c>
      <c r="F3784" s="86">
        <f>VLOOKUP(B3784,'HSD UPAH,BAHAN,ALAT'!$C$6:F3548,4,FALSE)</f>
        <v>100000</v>
      </c>
      <c r="G3784" s="87">
        <f t="shared" si="462"/>
        <v>330</v>
      </c>
    </row>
    <row r="3785" spans="1:7">
      <c r="A3785" s="261" t="s">
        <v>420</v>
      </c>
      <c r="B3785" s="261"/>
      <c r="C3785" s="261"/>
      <c r="D3785" s="261"/>
      <c r="E3785" s="261"/>
      <c r="F3785" s="261"/>
      <c r="G3785" s="85">
        <f>SUM(G3781:G3784)</f>
        <v>6530</v>
      </c>
    </row>
    <row r="3786" spans="1:7">
      <c r="A3786" s="8" t="s">
        <v>16</v>
      </c>
      <c r="B3786" s="1" t="s">
        <v>17</v>
      </c>
      <c r="C3786" s="8"/>
      <c r="D3786" s="9"/>
      <c r="E3786" s="19"/>
      <c r="F3786" s="2"/>
      <c r="G3786" s="2"/>
    </row>
    <row r="3787" spans="1:7" ht="45">
      <c r="A3787" s="17" t="s">
        <v>208</v>
      </c>
      <c r="B3787" s="5" t="s">
        <v>335</v>
      </c>
      <c r="C3787" s="17"/>
      <c r="D3787" s="12" t="s">
        <v>86</v>
      </c>
      <c r="E3787" s="7">
        <v>9</v>
      </c>
      <c r="F3787" s="86">
        <f>VLOOKUP(B3787,'HSD UPAH,BAHAN,ALAT'!$C$6:F3551,4,FALSE)</f>
        <v>10000</v>
      </c>
      <c r="G3787" s="87">
        <f t="shared" ref="G3787:G3788" si="463">E3787*F3787</f>
        <v>90000</v>
      </c>
    </row>
    <row r="3788" spans="1:7">
      <c r="A3788" s="8">
        <v>2</v>
      </c>
      <c r="B3788" s="1" t="s">
        <v>18</v>
      </c>
      <c r="C3788" s="8"/>
      <c r="D3788" s="9" t="s">
        <v>19</v>
      </c>
      <c r="E3788" s="10">
        <v>5.0000000000000001E-3</v>
      </c>
      <c r="F3788" s="86">
        <f>VLOOKUP(B3788,'HSD UPAH,BAHAN,ALAT'!$C$6:F3552,4,FALSE)</f>
        <v>10000</v>
      </c>
      <c r="G3788" s="87">
        <f t="shared" si="463"/>
        <v>50</v>
      </c>
    </row>
    <row r="3789" spans="1:7">
      <c r="A3789" s="8">
        <v>3</v>
      </c>
      <c r="B3789" s="1" t="s">
        <v>26</v>
      </c>
      <c r="C3789" s="8"/>
      <c r="D3789" s="9"/>
      <c r="E3789" s="19"/>
      <c r="F3789" s="2"/>
      <c r="G3789" s="2"/>
    </row>
    <row r="3790" spans="1:7">
      <c r="A3790" s="8" t="s">
        <v>22</v>
      </c>
      <c r="B3790" s="1" t="s">
        <v>27</v>
      </c>
      <c r="C3790" s="8"/>
      <c r="D3790" s="9" t="s">
        <v>28</v>
      </c>
      <c r="E3790" s="10" t="s">
        <v>97</v>
      </c>
      <c r="F3790" s="86">
        <f>VLOOKUP(B3790,'HSD UPAH,BAHAN,ALAT'!$C$6:F3554,4,FALSE)</f>
        <v>10000</v>
      </c>
      <c r="G3790" s="87">
        <f t="shared" ref="G3790:G3792" si="464">E3790*F3790</f>
        <v>110</v>
      </c>
    </row>
    <row r="3791" spans="1:7">
      <c r="A3791" s="8" t="s">
        <v>30</v>
      </c>
      <c r="B3791" s="1" t="s">
        <v>31</v>
      </c>
      <c r="C3791" s="8"/>
      <c r="D3791" s="9" t="s">
        <v>28</v>
      </c>
      <c r="E3791" s="10" t="s">
        <v>59</v>
      </c>
      <c r="F3791" s="86">
        <f>VLOOKUP(B3791,'HSD UPAH,BAHAN,ALAT'!$C$6:F3555,4,FALSE)</f>
        <v>10000</v>
      </c>
      <c r="G3791" s="87">
        <f t="shared" si="464"/>
        <v>30</v>
      </c>
    </row>
    <row r="3792" spans="1:7">
      <c r="A3792" s="8" t="s">
        <v>33</v>
      </c>
      <c r="B3792" s="1" t="s">
        <v>34</v>
      </c>
      <c r="C3792" s="8"/>
      <c r="D3792" s="9" t="s">
        <v>28</v>
      </c>
      <c r="E3792" s="10" t="s">
        <v>95</v>
      </c>
      <c r="F3792" s="86">
        <f>VLOOKUP(B3792,'HSD UPAH,BAHAN,ALAT'!$C$6:F3556,4,FALSE)</f>
        <v>10000</v>
      </c>
      <c r="G3792" s="87">
        <f t="shared" si="464"/>
        <v>10</v>
      </c>
    </row>
    <row r="3793" spans="1:7">
      <c r="A3793" s="261" t="s">
        <v>421</v>
      </c>
      <c r="B3793" s="261"/>
      <c r="C3793" s="261"/>
      <c r="D3793" s="261"/>
      <c r="E3793" s="261"/>
      <c r="F3793" s="261"/>
      <c r="G3793" s="85">
        <f>SUM(G3787:G3792)</f>
        <v>90200</v>
      </c>
    </row>
    <row r="3794" spans="1:7">
      <c r="A3794" s="8" t="s">
        <v>36</v>
      </c>
      <c r="B3794" s="1" t="s">
        <v>37</v>
      </c>
      <c r="C3794" s="8"/>
      <c r="D3794" s="9"/>
      <c r="E3794" s="19"/>
      <c r="F3794" s="2"/>
      <c r="G3794" s="2"/>
    </row>
    <row r="3795" spans="1:7">
      <c r="A3795" s="263" t="s">
        <v>419</v>
      </c>
      <c r="B3795" s="263"/>
      <c r="C3795" s="263"/>
      <c r="D3795" s="263"/>
      <c r="E3795" s="263"/>
      <c r="F3795" s="263"/>
      <c r="G3795" s="80">
        <f>SUM(G3794)</f>
        <v>0</v>
      </c>
    </row>
    <row r="3796" spans="1:7">
      <c r="A3796" s="81" t="s">
        <v>38</v>
      </c>
      <c r="B3796" s="262" t="s">
        <v>39</v>
      </c>
      <c r="C3796" s="262"/>
      <c r="D3796" s="262"/>
      <c r="E3796" s="262"/>
      <c r="F3796" s="262"/>
      <c r="G3796" s="80">
        <f>SUM(G3782:G3795)/2</f>
        <v>96730</v>
      </c>
    </row>
    <row r="3797" spans="1:7">
      <c r="A3797" s="81" t="s">
        <v>40</v>
      </c>
      <c r="B3797" s="262" t="s">
        <v>180</v>
      </c>
      <c r="C3797" s="262"/>
      <c r="D3797" s="262"/>
      <c r="E3797" s="262"/>
      <c r="F3797" s="82">
        <v>0.1</v>
      </c>
      <c r="G3797" s="80">
        <f>G3796*F3797</f>
        <v>9673</v>
      </c>
    </row>
    <row r="3798" spans="1:7">
      <c r="A3798" s="81" t="s">
        <v>41</v>
      </c>
      <c r="B3798" s="262" t="s">
        <v>42</v>
      </c>
      <c r="C3798" s="262"/>
      <c r="D3798" s="262"/>
      <c r="E3798" s="262"/>
      <c r="F3798" s="262"/>
      <c r="G3798" s="80">
        <f>G3796+G3797</f>
        <v>106403</v>
      </c>
    </row>
    <row r="3799" spans="1:7">
      <c r="A3799" s="90"/>
      <c r="B3799" s="91"/>
      <c r="C3799" s="91"/>
      <c r="D3799" s="91"/>
      <c r="E3799" s="91"/>
      <c r="F3799" s="91"/>
      <c r="G3799" s="92"/>
    </row>
    <row r="3800" spans="1:7">
      <c r="A3800" s="4" t="s">
        <v>597</v>
      </c>
      <c r="B3800" s="91"/>
      <c r="C3800" s="91"/>
      <c r="D3800" s="91"/>
      <c r="E3800" s="91"/>
      <c r="F3800" s="91"/>
      <c r="G3800" s="92"/>
    </row>
    <row r="3801" spans="1:7" ht="30">
      <c r="A3801" s="79" t="s">
        <v>0</v>
      </c>
      <c r="B3801" s="79" t="s">
        <v>1</v>
      </c>
      <c r="C3801" s="79" t="s">
        <v>207</v>
      </c>
      <c r="D3801" s="79" t="s">
        <v>3</v>
      </c>
      <c r="E3801" s="79" t="s">
        <v>2</v>
      </c>
      <c r="F3801" s="79" t="s">
        <v>417</v>
      </c>
      <c r="G3801" s="79" t="s">
        <v>418</v>
      </c>
    </row>
    <row r="3802" spans="1:7">
      <c r="A3802" s="8" t="s">
        <v>4</v>
      </c>
      <c r="B3802" s="1" t="s">
        <v>5</v>
      </c>
      <c r="C3802" s="8"/>
      <c r="D3802" s="9"/>
      <c r="E3802" s="19"/>
      <c r="F3802" s="2"/>
      <c r="G3802" s="2"/>
    </row>
    <row r="3803" spans="1:7">
      <c r="A3803" s="8">
        <v>1</v>
      </c>
      <c r="B3803" s="1" t="s">
        <v>6</v>
      </c>
      <c r="C3803" s="8" t="s">
        <v>7</v>
      </c>
      <c r="D3803" s="9" t="s">
        <v>8</v>
      </c>
      <c r="E3803" s="10" t="s">
        <v>92</v>
      </c>
      <c r="F3803" s="86">
        <f>VLOOKUP(B3803,'HSD UPAH,BAHAN,ALAT'!$C$6:F3565,4,FALSE)</f>
        <v>100000</v>
      </c>
      <c r="G3803" s="87">
        <f t="shared" ref="G3803:G3805" si="465">E3803*F3803</f>
        <v>5000</v>
      </c>
    </row>
    <row r="3804" spans="1:7">
      <c r="A3804" s="8">
        <v>2</v>
      </c>
      <c r="B3804" s="1" t="s">
        <v>10</v>
      </c>
      <c r="C3804" s="8" t="s">
        <v>11</v>
      </c>
      <c r="D3804" s="9" t="s">
        <v>8</v>
      </c>
      <c r="E3804" s="10" t="s">
        <v>93</v>
      </c>
      <c r="F3804" s="86">
        <f>VLOOKUP(B3804,'HSD UPAH,BAHAN,ALAT'!$C$6:F3566,4,FALSE)</f>
        <v>120000</v>
      </c>
      <c r="G3804" s="87">
        <f t="shared" si="465"/>
        <v>1200</v>
      </c>
    </row>
    <row r="3805" spans="1:7">
      <c r="A3805" s="8">
        <v>3</v>
      </c>
      <c r="B3805" s="1" t="s">
        <v>13</v>
      </c>
      <c r="C3805" s="8" t="s">
        <v>14</v>
      </c>
      <c r="D3805" s="9" t="s">
        <v>8</v>
      </c>
      <c r="E3805" s="10" t="s">
        <v>94</v>
      </c>
      <c r="F3805" s="86">
        <f>VLOOKUP(B3805,'HSD UPAH,BAHAN,ALAT'!$C$6:F3567,4,FALSE)</f>
        <v>100000</v>
      </c>
      <c r="G3805" s="87">
        <f t="shared" si="465"/>
        <v>330</v>
      </c>
    </row>
    <row r="3806" spans="1:7">
      <c r="A3806" s="261" t="s">
        <v>420</v>
      </c>
      <c r="B3806" s="261"/>
      <c r="C3806" s="261"/>
      <c r="D3806" s="261"/>
      <c r="E3806" s="261"/>
      <c r="F3806" s="261"/>
      <c r="G3806" s="85">
        <f>SUM(G3802:G3805)</f>
        <v>6530</v>
      </c>
    </row>
    <row r="3807" spans="1:7">
      <c r="A3807" s="8" t="s">
        <v>16</v>
      </c>
      <c r="B3807" s="1" t="s">
        <v>17</v>
      </c>
      <c r="C3807" s="8"/>
      <c r="D3807" s="9"/>
      <c r="E3807" s="19"/>
      <c r="F3807" s="2"/>
      <c r="G3807" s="2"/>
    </row>
    <row r="3808" spans="1:7" ht="30">
      <c r="A3808" s="17" t="s">
        <v>208</v>
      </c>
      <c r="B3808" s="5" t="s">
        <v>336</v>
      </c>
      <c r="C3808" s="17"/>
      <c r="D3808" s="12" t="s">
        <v>86</v>
      </c>
      <c r="E3808" s="7" t="s">
        <v>212</v>
      </c>
      <c r="F3808" s="86">
        <f>VLOOKUP(B3808,'HSD UPAH,BAHAN,ALAT'!$C$6:F3570,4,FALSE)</f>
        <v>10000</v>
      </c>
      <c r="G3808" s="87">
        <f t="shared" ref="G3808:G3809" si="466">E3808*F3808</f>
        <v>160000</v>
      </c>
    </row>
    <row r="3809" spans="1:7">
      <c r="A3809" s="8">
        <v>2</v>
      </c>
      <c r="B3809" s="1" t="s">
        <v>18</v>
      </c>
      <c r="C3809" s="8"/>
      <c r="D3809" s="9" t="s">
        <v>19</v>
      </c>
      <c r="E3809" s="10">
        <v>5.0000000000000001E-3</v>
      </c>
      <c r="F3809" s="86">
        <f>VLOOKUP(B3809,'HSD UPAH,BAHAN,ALAT'!$C$6:F3571,4,FALSE)</f>
        <v>10000</v>
      </c>
      <c r="G3809" s="87">
        <f t="shared" si="466"/>
        <v>50</v>
      </c>
    </row>
    <row r="3810" spans="1:7">
      <c r="A3810" s="8">
        <v>3</v>
      </c>
      <c r="B3810" s="1" t="s">
        <v>26</v>
      </c>
      <c r="C3810" s="8"/>
      <c r="D3810" s="9"/>
      <c r="E3810" s="19"/>
      <c r="F3810" s="2"/>
      <c r="G3810" s="2"/>
    </row>
    <row r="3811" spans="1:7">
      <c r="A3811" s="8" t="s">
        <v>22</v>
      </c>
      <c r="B3811" s="1" t="s">
        <v>27</v>
      </c>
      <c r="C3811" s="8"/>
      <c r="D3811" s="9" t="s">
        <v>28</v>
      </c>
      <c r="E3811" s="10" t="s">
        <v>97</v>
      </c>
      <c r="F3811" s="86">
        <f>VLOOKUP(B3811,'HSD UPAH,BAHAN,ALAT'!$C$6:F3573,4,FALSE)</f>
        <v>10000</v>
      </c>
      <c r="G3811" s="87">
        <f t="shared" ref="G3811:G3813" si="467">E3811*F3811</f>
        <v>110</v>
      </c>
    </row>
    <row r="3812" spans="1:7">
      <c r="A3812" s="8" t="s">
        <v>30</v>
      </c>
      <c r="B3812" s="1" t="s">
        <v>31</v>
      </c>
      <c r="C3812" s="8"/>
      <c r="D3812" s="9" t="s">
        <v>28</v>
      </c>
      <c r="E3812" s="10" t="s">
        <v>59</v>
      </c>
      <c r="F3812" s="86">
        <f>VLOOKUP(B3812,'HSD UPAH,BAHAN,ALAT'!$C$6:F3574,4,FALSE)</f>
        <v>10000</v>
      </c>
      <c r="G3812" s="87">
        <f t="shared" si="467"/>
        <v>30</v>
      </c>
    </row>
    <row r="3813" spans="1:7">
      <c r="A3813" s="8" t="s">
        <v>33</v>
      </c>
      <c r="B3813" s="1" t="s">
        <v>34</v>
      </c>
      <c r="C3813" s="8"/>
      <c r="D3813" s="9" t="s">
        <v>28</v>
      </c>
      <c r="E3813" s="10" t="s">
        <v>95</v>
      </c>
      <c r="F3813" s="86">
        <f>VLOOKUP(B3813,'HSD UPAH,BAHAN,ALAT'!$C$6:F3575,4,FALSE)</f>
        <v>10000</v>
      </c>
      <c r="G3813" s="87">
        <f t="shared" si="467"/>
        <v>10</v>
      </c>
    </row>
    <row r="3814" spans="1:7">
      <c r="A3814" s="261" t="s">
        <v>421</v>
      </c>
      <c r="B3814" s="261"/>
      <c r="C3814" s="261"/>
      <c r="D3814" s="261"/>
      <c r="E3814" s="261"/>
      <c r="F3814" s="261"/>
      <c r="G3814" s="85">
        <f>SUM(G3808:G3813)</f>
        <v>160200</v>
      </c>
    </row>
    <row r="3815" spans="1:7">
      <c r="A3815" s="8" t="s">
        <v>36</v>
      </c>
      <c r="B3815" s="1" t="s">
        <v>37</v>
      </c>
      <c r="C3815" s="8"/>
      <c r="D3815" s="9"/>
      <c r="E3815" s="19"/>
      <c r="F3815" s="2"/>
      <c r="G3815" s="2"/>
    </row>
    <row r="3816" spans="1:7">
      <c r="A3816" s="263" t="s">
        <v>419</v>
      </c>
      <c r="B3816" s="263"/>
      <c r="C3816" s="263"/>
      <c r="D3816" s="263"/>
      <c r="E3816" s="263"/>
      <c r="F3816" s="263"/>
      <c r="G3816" s="80">
        <f>SUM(G3815)</f>
        <v>0</v>
      </c>
    </row>
    <row r="3817" spans="1:7">
      <c r="A3817" s="81" t="s">
        <v>38</v>
      </c>
      <c r="B3817" s="262" t="s">
        <v>39</v>
      </c>
      <c r="C3817" s="262"/>
      <c r="D3817" s="262"/>
      <c r="E3817" s="262"/>
      <c r="F3817" s="262"/>
      <c r="G3817" s="80">
        <f>SUM(G3803:G3816)/2</f>
        <v>166730</v>
      </c>
    </row>
    <row r="3818" spans="1:7">
      <c r="A3818" s="81" t="s">
        <v>40</v>
      </c>
      <c r="B3818" s="262" t="s">
        <v>180</v>
      </c>
      <c r="C3818" s="262"/>
      <c r="D3818" s="262"/>
      <c r="E3818" s="262"/>
      <c r="F3818" s="82">
        <v>0.1</v>
      </c>
      <c r="G3818" s="80">
        <f>G3817*F3818</f>
        <v>16673</v>
      </c>
    </row>
    <row r="3819" spans="1:7">
      <c r="A3819" s="81" t="s">
        <v>41</v>
      </c>
      <c r="B3819" s="262" t="s">
        <v>42</v>
      </c>
      <c r="C3819" s="262"/>
      <c r="D3819" s="262"/>
      <c r="E3819" s="262"/>
      <c r="F3819" s="262"/>
      <c r="G3819" s="80">
        <f>G3817+G3818</f>
        <v>183403</v>
      </c>
    </row>
    <row r="3820" spans="1:7">
      <c r="A3820" s="90"/>
      <c r="B3820" s="91"/>
      <c r="C3820" s="91"/>
      <c r="D3820" s="91"/>
      <c r="E3820" s="91"/>
      <c r="F3820" s="91"/>
      <c r="G3820" s="92"/>
    </row>
    <row r="3821" spans="1:7">
      <c r="A3821" s="4" t="s">
        <v>598</v>
      </c>
      <c r="B3821" s="91"/>
      <c r="C3821" s="91"/>
      <c r="D3821" s="91"/>
      <c r="E3821" s="91"/>
      <c r="F3821" s="91"/>
      <c r="G3821" s="92"/>
    </row>
    <row r="3822" spans="1:7" ht="30">
      <c r="A3822" s="79" t="s">
        <v>0</v>
      </c>
      <c r="B3822" s="79" t="s">
        <v>1</v>
      </c>
      <c r="C3822" s="79" t="s">
        <v>207</v>
      </c>
      <c r="D3822" s="79" t="s">
        <v>3</v>
      </c>
      <c r="E3822" s="79" t="s">
        <v>2</v>
      </c>
      <c r="F3822" s="79" t="s">
        <v>417</v>
      </c>
      <c r="G3822" s="79" t="s">
        <v>418</v>
      </c>
    </row>
    <row r="3823" spans="1:7">
      <c r="A3823" s="8" t="s">
        <v>4</v>
      </c>
      <c r="B3823" s="1" t="s">
        <v>5</v>
      </c>
      <c r="C3823" s="8"/>
      <c r="D3823" s="9"/>
      <c r="E3823" s="19"/>
      <c r="F3823" s="2"/>
      <c r="G3823" s="2"/>
    </row>
    <row r="3824" spans="1:7">
      <c r="A3824" s="8">
        <v>1</v>
      </c>
      <c r="B3824" s="1" t="s">
        <v>6</v>
      </c>
      <c r="C3824" s="8" t="s">
        <v>7</v>
      </c>
      <c r="D3824" s="9" t="s">
        <v>8</v>
      </c>
      <c r="E3824" s="10" t="s">
        <v>92</v>
      </c>
      <c r="F3824" s="86">
        <f>VLOOKUP(B3824,'HSD UPAH,BAHAN,ALAT'!$C$6:F3584,4,FALSE)</f>
        <v>100000</v>
      </c>
      <c r="G3824" s="87">
        <f t="shared" ref="G3824:G3826" si="468">E3824*F3824</f>
        <v>5000</v>
      </c>
    </row>
    <row r="3825" spans="1:7">
      <c r="A3825" s="8">
        <v>2</v>
      </c>
      <c r="B3825" s="1" t="s">
        <v>10</v>
      </c>
      <c r="C3825" s="8" t="s">
        <v>11</v>
      </c>
      <c r="D3825" s="9" t="s">
        <v>8</v>
      </c>
      <c r="E3825" s="10" t="s">
        <v>93</v>
      </c>
      <c r="F3825" s="86">
        <f>VLOOKUP(B3825,'HSD UPAH,BAHAN,ALAT'!$C$6:F3585,4,FALSE)</f>
        <v>120000</v>
      </c>
      <c r="G3825" s="87">
        <f t="shared" si="468"/>
        <v>1200</v>
      </c>
    </row>
    <row r="3826" spans="1:7">
      <c r="A3826" s="8">
        <v>3</v>
      </c>
      <c r="B3826" s="1" t="s">
        <v>13</v>
      </c>
      <c r="C3826" s="8" t="s">
        <v>14</v>
      </c>
      <c r="D3826" s="9" t="s">
        <v>8</v>
      </c>
      <c r="E3826" s="10" t="s">
        <v>94</v>
      </c>
      <c r="F3826" s="86">
        <f>VLOOKUP(B3826,'HSD UPAH,BAHAN,ALAT'!$C$6:F3586,4,FALSE)</f>
        <v>100000</v>
      </c>
      <c r="G3826" s="87">
        <f t="shared" si="468"/>
        <v>330</v>
      </c>
    </row>
    <row r="3827" spans="1:7">
      <c r="A3827" s="261" t="s">
        <v>420</v>
      </c>
      <c r="B3827" s="261"/>
      <c r="C3827" s="261"/>
      <c r="D3827" s="261"/>
      <c r="E3827" s="261"/>
      <c r="F3827" s="261"/>
      <c r="G3827" s="85">
        <f>SUM(G3823:G3826)</f>
        <v>6530</v>
      </c>
    </row>
    <row r="3828" spans="1:7">
      <c r="A3828" s="8" t="s">
        <v>16</v>
      </c>
      <c r="B3828" s="1" t="s">
        <v>17</v>
      </c>
      <c r="C3828" s="8"/>
      <c r="D3828" s="9"/>
      <c r="E3828" s="19"/>
      <c r="F3828" s="2"/>
      <c r="G3828" s="2"/>
    </row>
    <row r="3829" spans="1:7" ht="30">
      <c r="A3829" s="17" t="s">
        <v>208</v>
      </c>
      <c r="B3829" s="5" t="s">
        <v>337</v>
      </c>
      <c r="C3829" s="17"/>
      <c r="D3829" s="12" t="s">
        <v>86</v>
      </c>
      <c r="E3829" s="7" t="s">
        <v>212</v>
      </c>
      <c r="F3829" s="86">
        <f>VLOOKUP(B3829,'HSD UPAH,BAHAN,ALAT'!$C$6:F3589,4,FALSE)</f>
        <v>10000</v>
      </c>
      <c r="G3829" s="87">
        <f t="shared" ref="G3829:G3830" si="469">E3829*F3829</f>
        <v>160000</v>
      </c>
    </row>
    <row r="3830" spans="1:7">
      <c r="A3830" s="8">
        <v>2</v>
      </c>
      <c r="B3830" s="1" t="s">
        <v>18</v>
      </c>
      <c r="C3830" s="8"/>
      <c r="D3830" s="9" t="s">
        <v>19</v>
      </c>
      <c r="E3830" s="10">
        <v>5.0000000000000001E-3</v>
      </c>
      <c r="F3830" s="86">
        <f>VLOOKUP(B3830,'HSD UPAH,BAHAN,ALAT'!$C$6:F3590,4,FALSE)</f>
        <v>10000</v>
      </c>
      <c r="G3830" s="87">
        <f t="shared" si="469"/>
        <v>50</v>
      </c>
    </row>
    <row r="3831" spans="1:7">
      <c r="A3831" s="8">
        <v>3</v>
      </c>
      <c r="B3831" s="1" t="s">
        <v>26</v>
      </c>
      <c r="C3831" s="8"/>
      <c r="D3831" s="9"/>
      <c r="E3831" s="19"/>
      <c r="F3831" s="2"/>
      <c r="G3831" s="2"/>
    </row>
    <row r="3832" spans="1:7">
      <c r="A3832" s="8" t="s">
        <v>22</v>
      </c>
      <c r="B3832" s="1" t="s">
        <v>27</v>
      </c>
      <c r="C3832" s="8"/>
      <c r="D3832" s="9" t="s">
        <v>28</v>
      </c>
      <c r="E3832" s="10" t="s">
        <v>97</v>
      </c>
      <c r="F3832" s="86">
        <f>VLOOKUP(B3832,'HSD UPAH,BAHAN,ALAT'!$C$6:F3592,4,FALSE)</f>
        <v>10000</v>
      </c>
      <c r="G3832" s="87">
        <f t="shared" ref="G3832:G3834" si="470">E3832*F3832</f>
        <v>110</v>
      </c>
    </row>
    <row r="3833" spans="1:7">
      <c r="A3833" s="8" t="s">
        <v>30</v>
      </c>
      <c r="B3833" s="1" t="s">
        <v>31</v>
      </c>
      <c r="C3833" s="8"/>
      <c r="D3833" s="9" t="s">
        <v>28</v>
      </c>
      <c r="E3833" s="10" t="s">
        <v>59</v>
      </c>
      <c r="F3833" s="86">
        <f>VLOOKUP(B3833,'HSD UPAH,BAHAN,ALAT'!$C$6:F3593,4,FALSE)</f>
        <v>10000</v>
      </c>
      <c r="G3833" s="87">
        <f t="shared" si="470"/>
        <v>30</v>
      </c>
    </row>
    <row r="3834" spans="1:7">
      <c r="A3834" s="8" t="s">
        <v>33</v>
      </c>
      <c r="B3834" s="1" t="s">
        <v>34</v>
      </c>
      <c r="C3834" s="8"/>
      <c r="D3834" s="9" t="s">
        <v>28</v>
      </c>
      <c r="E3834" s="10" t="s">
        <v>95</v>
      </c>
      <c r="F3834" s="86">
        <f>VLOOKUP(B3834,'HSD UPAH,BAHAN,ALAT'!$C$6:F3594,4,FALSE)</f>
        <v>10000</v>
      </c>
      <c r="G3834" s="87">
        <f t="shared" si="470"/>
        <v>10</v>
      </c>
    </row>
    <row r="3835" spans="1:7">
      <c r="A3835" s="261" t="s">
        <v>421</v>
      </c>
      <c r="B3835" s="261"/>
      <c r="C3835" s="261"/>
      <c r="D3835" s="261"/>
      <c r="E3835" s="261"/>
      <c r="F3835" s="261"/>
      <c r="G3835" s="85">
        <f>SUM(G3829:G3834)</f>
        <v>160200</v>
      </c>
    </row>
    <row r="3836" spans="1:7">
      <c r="A3836" s="8" t="s">
        <v>36</v>
      </c>
      <c r="B3836" s="1" t="s">
        <v>37</v>
      </c>
      <c r="C3836" s="8"/>
      <c r="D3836" s="9"/>
      <c r="E3836" s="19"/>
      <c r="F3836" s="2"/>
      <c r="G3836" s="2"/>
    </row>
    <row r="3837" spans="1:7">
      <c r="A3837" s="263" t="s">
        <v>419</v>
      </c>
      <c r="B3837" s="263"/>
      <c r="C3837" s="263"/>
      <c r="D3837" s="263"/>
      <c r="E3837" s="263"/>
      <c r="F3837" s="263"/>
      <c r="G3837" s="80">
        <f>SUM(G3836)</f>
        <v>0</v>
      </c>
    </row>
    <row r="3838" spans="1:7">
      <c r="A3838" s="81" t="s">
        <v>38</v>
      </c>
      <c r="B3838" s="262" t="s">
        <v>39</v>
      </c>
      <c r="C3838" s="262"/>
      <c r="D3838" s="262"/>
      <c r="E3838" s="262"/>
      <c r="F3838" s="262"/>
      <c r="G3838" s="80">
        <f>SUM(G3824:G3837)/2</f>
        <v>166730</v>
      </c>
    </row>
    <row r="3839" spans="1:7">
      <c r="A3839" s="81" t="s">
        <v>40</v>
      </c>
      <c r="B3839" s="262" t="s">
        <v>180</v>
      </c>
      <c r="C3839" s="262"/>
      <c r="D3839" s="262"/>
      <c r="E3839" s="262"/>
      <c r="F3839" s="82">
        <v>0.1</v>
      </c>
      <c r="G3839" s="80">
        <f>G3838*F3839</f>
        <v>16673</v>
      </c>
    </row>
    <row r="3840" spans="1:7">
      <c r="A3840" s="81" t="s">
        <v>41</v>
      </c>
      <c r="B3840" s="262" t="s">
        <v>42</v>
      </c>
      <c r="C3840" s="262"/>
      <c r="D3840" s="262"/>
      <c r="E3840" s="262"/>
      <c r="F3840" s="262"/>
      <c r="G3840" s="80">
        <f>G3838+G3839</f>
        <v>183403</v>
      </c>
    </row>
    <row r="3841" spans="1:7">
      <c r="A3841" s="90"/>
      <c r="B3841" s="91"/>
      <c r="C3841" s="91"/>
      <c r="D3841" s="91"/>
      <c r="E3841" s="91"/>
      <c r="F3841" s="91"/>
      <c r="G3841" s="92"/>
    </row>
    <row r="3842" spans="1:7">
      <c r="A3842" s="4" t="s">
        <v>599</v>
      </c>
      <c r="B3842" s="91"/>
      <c r="C3842" s="91"/>
      <c r="D3842" s="91"/>
      <c r="E3842" s="91"/>
      <c r="F3842" s="91"/>
      <c r="G3842" s="92"/>
    </row>
    <row r="3843" spans="1:7" ht="30">
      <c r="A3843" s="79" t="s">
        <v>0</v>
      </c>
      <c r="B3843" s="79" t="s">
        <v>1</v>
      </c>
      <c r="C3843" s="79" t="s">
        <v>207</v>
      </c>
      <c r="D3843" s="79" t="s">
        <v>3</v>
      </c>
      <c r="E3843" s="79" t="s">
        <v>2</v>
      </c>
      <c r="F3843" s="79" t="s">
        <v>417</v>
      </c>
      <c r="G3843" s="79" t="s">
        <v>418</v>
      </c>
    </row>
    <row r="3844" spans="1:7">
      <c r="A3844" s="8" t="s">
        <v>4</v>
      </c>
      <c r="B3844" s="1" t="s">
        <v>5</v>
      </c>
      <c r="C3844" s="8"/>
      <c r="D3844" s="9"/>
      <c r="E3844" s="19"/>
      <c r="F3844" s="2"/>
      <c r="G3844" s="2"/>
    </row>
    <row r="3845" spans="1:7">
      <c r="A3845" s="8">
        <v>1</v>
      </c>
      <c r="B3845" s="1" t="s">
        <v>6</v>
      </c>
      <c r="C3845" s="8" t="s">
        <v>7</v>
      </c>
      <c r="D3845" s="9" t="s">
        <v>8</v>
      </c>
      <c r="E3845" s="10" t="s">
        <v>92</v>
      </c>
      <c r="F3845" s="86">
        <f>VLOOKUP(B3845,'HSD UPAH,BAHAN,ALAT'!$C$6:F3603,4,FALSE)</f>
        <v>100000</v>
      </c>
      <c r="G3845" s="87">
        <f t="shared" ref="G3845:G3847" si="471">E3845*F3845</f>
        <v>5000</v>
      </c>
    </row>
    <row r="3846" spans="1:7">
      <c r="A3846" s="8">
        <v>2</v>
      </c>
      <c r="B3846" s="1" t="s">
        <v>10</v>
      </c>
      <c r="C3846" s="8" t="s">
        <v>11</v>
      </c>
      <c r="D3846" s="9" t="s">
        <v>8</v>
      </c>
      <c r="E3846" s="10" t="s">
        <v>93</v>
      </c>
      <c r="F3846" s="86">
        <f>VLOOKUP(B3846,'HSD UPAH,BAHAN,ALAT'!$C$6:F3604,4,FALSE)</f>
        <v>120000</v>
      </c>
      <c r="G3846" s="87">
        <f t="shared" si="471"/>
        <v>1200</v>
      </c>
    </row>
    <row r="3847" spans="1:7">
      <c r="A3847" s="8">
        <v>3</v>
      </c>
      <c r="B3847" s="1" t="s">
        <v>13</v>
      </c>
      <c r="C3847" s="8" t="s">
        <v>14</v>
      </c>
      <c r="D3847" s="9" t="s">
        <v>8</v>
      </c>
      <c r="E3847" s="10" t="s">
        <v>94</v>
      </c>
      <c r="F3847" s="86">
        <f>VLOOKUP(B3847,'HSD UPAH,BAHAN,ALAT'!$C$6:F3605,4,FALSE)</f>
        <v>100000</v>
      </c>
      <c r="G3847" s="87">
        <f t="shared" si="471"/>
        <v>330</v>
      </c>
    </row>
    <row r="3848" spans="1:7">
      <c r="A3848" s="261" t="s">
        <v>420</v>
      </c>
      <c r="B3848" s="261"/>
      <c r="C3848" s="261"/>
      <c r="D3848" s="261"/>
      <c r="E3848" s="261"/>
      <c r="F3848" s="261"/>
      <c r="G3848" s="85">
        <f>SUM(G3844:G3847)</f>
        <v>6530</v>
      </c>
    </row>
    <row r="3849" spans="1:7">
      <c r="A3849" s="8" t="s">
        <v>16</v>
      </c>
      <c r="B3849" s="1" t="s">
        <v>17</v>
      </c>
      <c r="C3849" s="8"/>
      <c r="D3849" s="9"/>
      <c r="E3849" s="19"/>
      <c r="F3849" s="2"/>
      <c r="G3849" s="2"/>
    </row>
    <row r="3850" spans="1:7" ht="30">
      <c r="A3850" s="17" t="s">
        <v>208</v>
      </c>
      <c r="B3850" s="5" t="s">
        <v>338</v>
      </c>
      <c r="C3850" s="17"/>
      <c r="D3850" s="12" t="s">
        <v>86</v>
      </c>
      <c r="E3850" s="7">
        <v>5</v>
      </c>
      <c r="F3850" s="86">
        <f>VLOOKUP(B3850,'HSD UPAH,BAHAN,ALAT'!$C$6:F3608,4,FALSE)</f>
        <v>10000</v>
      </c>
      <c r="G3850" s="87">
        <f t="shared" ref="G3850:G3851" si="472">E3850*F3850</f>
        <v>50000</v>
      </c>
    </row>
    <row r="3851" spans="1:7">
      <c r="A3851" s="8">
        <v>2</v>
      </c>
      <c r="B3851" s="1" t="s">
        <v>18</v>
      </c>
      <c r="C3851" s="8"/>
      <c r="D3851" s="9" t="s">
        <v>19</v>
      </c>
      <c r="E3851" s="10">
        <v>5.0000000000000001E-3</v>
      </c>
      <c r="F3851" s="86">
        <f>VLOOKUP(B3851,'HSD UPAH,BAHAN,ALAT'!$C$6:F3609,4,FALSE)</f>
        <v>10000</v>
      </c>
      <c r="G3851" s="87">
        <f t="shared" si="472"/>
        <v>50</v>
      </c>
    </row>
    <row r="3852" spans="1:7">
      <c r="A3852" s="8">
        <v>3</v>
      </c>
      <c r="B3852" s="1" t="s">
        <v>26</v>
      </c>
      <c r="C3852" s="8"/>
      <c r="D3852" s="9"/>
      <c r="E3852" s="19"/>
      <c r="F3852" s="2"/>
      <c r="G3852" s="2"/>
    </row>
    <row r="3853" spans="1:7">
      <c r="A3853" s="8" t="s">
        <v>22</v>
      </c>
      <c r="B3853" s="1" t="s">
        <v>27</v>
      </c>
      <c r="C3853" s="8"/>
      <c r="D3853" s="9" t="s">
        <v>28</v>
      </c>
      <c r="E3853" s="10" t="s">
        <v>97</v>
      </c>
      <c r="F3853" s="86">
        <f>VLOOKUP(B3853,'HSD UPAH,BAHAN,ALAT'!$C$6:F3611,4,FALSE)</f>
        <v>10000</v>
      </c>
      <c r="G3853" s="87">
        <f t="shared" ref="G3853:G3855" si="473">E3853*F3853</f>
        <v>110</v>
      </c>
    </row>
    <row r="3854" spans="1:7">
      <c r="A3854" s="8" t="s">
        <v>30</v>
      </c>
      <c r="B3854" s="1" t="s">
        <v>31</v>
      </c>
      <c r="C3854" s="8"/>
      <c r="D3854" s="9" t="s">
        <v>28</v>
      </c>
      <c r="E3854" s="10" t="s">
        <v>59</v>
      </c>
      <c r="F3854" s="86">
        <f>VLOOKUP(B3854,'HSD UPAH,BAHAN,ALAT'!$C$6:F3612,4,FALSE)</f>
        <v>10000</v>
      </c>
      <c r="G3854" s="87">
        <f t="shared" si="473"/>
        <v>30</v>
      </c>
    </row>
    <row r="3855" spans="1:7">
      <c r="A3855" s="8" t="s">
        <v>33</v>
      </c>
      <c r="B3855" s="1" t="s">
        <v>34</v>
      </c>
      <c r="C3855" s="8"/>
      <c r="D3855" s="9" t="s">
        <v>28</v>
      </c>
      <c r="E3855" s="10" t="s">
        <v>95</v>
      </c>
      <c r="F3855" s="86">
        <f>VLOOKUP(B3855,'HSD UPAH,BAHAN,ALAT'!$C$6:F3613,4,FALSE)</f>
        <v>10000</v>
      </c>
      <c r="G3855" s="87">
        <f t="shared" si="473"/>
        <v>10</v>
      </c>
    </row>
    <row r="3856" spans="1:7">
      <c r="A3856" s="261" t="s">
        <v>421</v>
      </c>
      <c r="B3856" s="261"/>
      <c r="C3856" s="261"/>
      <c r="D3856" s="261"/>
      <c r="E3856" s="261"/>
      <c r="F3856" s="261"/>
      <c r="G3856" s="85">
        <f>SUM(G3850:G3855)</f>
        <v>50200</v>
      </c>
    </row>
    <row r="3857" spans="1:7">
      <c r="A3857" s="8" t="s">
        <v>36</v>
      </c>
      <c r="B3857" s="1" t="s">
        <v>37</v>
      </c>
      <c r="C3857" s="8"/>
      <c r="D3857" s="9"/>
      <c r="E3857" s="19"/>
      <c r="F3857" s="2"/>
      <c r="G3857" s="2"/>
    </row>
    <row r="3858" spans="1:7">
      <c r="A3858" s="263" t="s">
        <v>419</v>
      </c>
      <c r="B3858" s="263"/>
      <c r="C3858" s="263"/>
      <c r="D3858" s="263"/>
      <c r="E3858" s="263"/>
      <c r="F3858" s="263"/>
      <c r="G3858" s="80">
        <f>SUM(G3857)</f>
        <v>0</v>
      </c>
    </row>
    <row r="3859" spans="1:7">
      <c r="A3859" s="81" t="s">
        <v>38</v>
      </c>
      <c r="B3859" s="262" t="s">
        <v>39</v>
      </c>
      <c r="C3859" s="262"/>
      <c r="D3859" s="262"/>
      <c r="E3859" s="262"/>
      <c r="F3859" s="262"/>
      <c r="G3859" s="80">
        <f>SUM(G3845:G3858)/2</f>
        <v>56730</v>
      </c>
    </row>
    <row r="3860" spans="1:7">
      <c r="A3860" s="81" t="s">
        <v>40</v>
      </c>
      <c r="B3860" s="262" t="s">
        <v>180</v>
      </c>
      <c r="C3860" s="262"/>
      <c r="D3860" s="262"/>
      <c r="E3860" s="262"/>
      <c r="F3860" s="82">
        <v>0.1</v>
      </c>
      <c r="G3860" s="80">
        <f>G3859*F3860</f>
        <v>5673</v>
      </c>
    </row>
    <row r="3861" spans="1:7">
      <c r="A3861" s="81" t="s">
        <v>41</v>
      </c>
      <c r="B3861" s="262" t="s">
        <v>42</v>
      </c>
      <c r="C3861" s="262"/>
      <c r="D3861" s="262"/>
      <c r="E3861" s="262"/>
      <c r="F3861" s="262"/>
      <c r="G3861" s="80">
        <f>G3859+G3860</f>
        <v>62403</v>
      </c>
    </row>
    <row r="3862" spans="1:7">
      <c r="A3862" s="90"/>
      <c r="B3862" s="91"/>
      <c r="C3862" s="91"/>
      <c r="D3862" s="91"/>
      <c r="E3862" s="91"/>
      <c r="F3862" s="91"/>
      <c r="G3862" s="92"/>
    </row>
    <row r="3863" spans="1:7">
      <c r="A3863" s="4" t="s">
        <v>600</v>
      </c>
      <c r="B3863" s="91"/>
      <c r="C3863" s="91"/>
      <c r="D3863" s="91"/>
      <c r="E3863" s="91"/>
      <c r="F3863" s="91"/>
      <c r="G3863" s="92"/>
    </row>
    <row r="3864" spans="1:7" ht="30">
      <c r="A3864" s="79" t="s">
        <v>0</v>
      </c>
      <c r="B3864" s="79" t="s">
        <v>1</v>
      </c>
      <c r="C3864" s="79" t="s">
        <v>207</v>
      </c>
      <c r="D3864" s="79" t="s">
        <v>3</v>
      </c>
      <c r="E3864" s="79" t="s">
        <v>2</v>
      </c>
      <c r="F3864" s="79" t="s">
        <v>417</v>
      </c>
      <c r="G3864" s="79" t="s">
        <v>418</v>
      </c>
    </row>
    <row r="3865" spans="1:7">
      <c r="A3865" s="8" t="s">
        <v>4</v>
      </c>
      <c r="B3865" s="1" t="s">
        <v>5</v>
      </c>
      <c r="C3865" s="8"/>
      <c r="D3865" s="9"/>
      <c r="E3865" s="19"/>
      <c r="F3865" s="2"/>
      <c r="G3865" s="2"/>
    </row>
    <row r="3866" spans="1:7">
      <c r="A3866" s="8">
        <v>1</v>
      </c>
      <c r="B3866" s="1" t="s">
        <v>6</v>
      </c>
      <c r="C3866" s="8" t="s">
        <v>7</v>
      </c>
      <c r="D3866" s="9" t="s">
        <v>8</v>
      </c>
      <c r="E3866" s="10" t="s">
        <v>92</v>
      </c>
      <c r="F3866" s="86">
        <f>VLOOKUP(B3866,'HSD UPAH,BAHAN,ALAT'!$C$6:F3622,4,FALSE)</f>
        <v>100000</v>
      </c>
      <c r="G3866" s="87">
        <f t="shared" ref="G3866:G3868" si="474">E3866*F3866</f>
        <v>5000</v>
      </c>
    </row>
    <row r="3867" spans="1:7">
      <c r="A3867" s="8">
        <v>2</v>
      </c>
      <c r="B3867" s="1" t="s">
        <v>10</v>
      </c>
      <c r="C3867" s="8" t="s">
        <v>11</v>
      </c>
      <c r="D3867" s="9" t="s">
        <v>8</v>
      </c>
      <c r="E3867" s="10" t="s">
        <v>93</v>
      </c>
      <c r="F3867" s="86">
        <f>VLOOKUP(B3867,'HSD UPAH,BAHAN,ALAT'!$C$6:F3623,4,FALSE)</f>
        <v>120000</v>
      </c>
      <c r="G3867" s="87">
        <f t="shared" si="474"/>
        <v>1200</v>
      </c>
    </row>
    <row r="3868" spans="1:7">
      <c r="A3868" s="8">
        <v>3</v>
      </c>
      <c r="B3868" s="1" t="s">
        <v>13</v>
      </c>
      <c r="C3868" s="8" t="s">
        <v>14</v>
      </c>
      <c r="D3868" s="9" t="s">
        <v>8</v>
      </c>
      <c r="E3868" s="10" t="s">
        <v>94</v>
      </c>
      <c r="F3868" s="86">
        <f>VLOOKUP(B3868,'HSD UPAH,BAHAN,ALAT'!$C$6:F3624,4,FALSE)</f>
        <v>100000</v>
      </c>
      <c r="G3868" s="87">
        <f t="shared" si="474"/>
        <v>330</v>
      </c>
    </row>
    <row r="3869" spans="1:7">
      <c r="A3869" s="261" t="s">
        <v>420</v>
      </c>
      <c r="B3869" s="261"/>
      <c r="C3869" s="261"/>
      <c r="D3869" s="261"/>
      <c r="E3869" s="261"/>
      <c r="F3869" s="261"/>
      <c r="G3869" s="85">
        <f>SUM(G3865:G3868)</f>
        <v>6530</v>
      </c>
    </row>
    <row r="3870" spans="1:7">
      <c r="A3870" s="8" t="s">
        <v>16</v>
      </c>
      <c r="B3870" s="1" t="s">
        <v>17</v>
      </c>
      <c r="C3870" s="8"/>
      <c r="D3870" s="9"/>
      <c r="E3870" s="19"/>
      <c r="F3870" s="2"/>
      <c r="G3870" s="2"/>
    </row>
    <row r="3871" spans="1:7" ht="30">
      <c r="A3871" s="17" t="s">
        <v>208</v>
      </c>
      <c r="B3871" s="5" t="s">
        <v>339</v>
      </c>
      <c r="C3871" s="17"/>
      <c r="D3871" s="12" t="s">
        <v>86</v>
      </c>
      <c r="E3871" s="7">
        <v>9</v>
      </c>
      <c r="F3871" s="86">
        <f>VLOOKUP(B3871,'HSD UPAH,BAHAN,ALAT'!$C$6:F3627,4,FALSE)</f>
        <v>10000</v>
      </c>
      <c r="G3871" s="87">
        <f t="shared" ref="G3871:G3876" si="475">E3871*F3871</f>
        <v>90000</v>
      </c>
    </row>
    <row r="3872" spans="1:7">
      <c r="A3872" s="8">
        <v>2</v>
      </c>
      <c r="B3872" s="1" t="s">
        <v>18</v>
      </c>
      <c r="C3872" s="8"/>
      <c r="D3872" s="9" t="s">
        <v>19</v>
      </c>
      <c r="E3872" s="10">
        <v>5.0000000000000001E-3</v>
      </c>
      <c r="F3872" s="86">
        <f>VLOOKUP(B3872,'HSD UPAH,BAHAN,ALAT'!$C$6:F3628,4,FALSE)</f>
        <v>10000</v>
      </c>
      <c r="G3872" s="87">
        <f t="shared" si="475"/>
        <v>50</v>
      </c>
    </row>
    <row r="3873" spans="1:7">
      <c r="A3873" s="8">
        <v>3</v>
      </c>
      <c r="B3873" s="1" t="s">
        <v>26</v>
      </c>
      <c r="C3873" s="8"/>
      <c r="D3873" s="9"/>
      <c r="E3873" s="19"/>
      <c r="F3873" s="86"/>
      <c r="G3873" s="87">
        <f t="shared" si="475"/>
        <v>0</v>
      </c>
    </row>
    <row r="3874" spans="1:7">
      <c r="A3874" s="8" t="s">
        <v>22</v>
      </c>
      <c r="B3874" s="1" t="s">
        <v>27</v>
      </c>
      <c r="C3874" s="8"/>
      <c r="D3874" s="9" t="s">
        <v>28</v>
      </c>
      <c r="E3874" s="10" t="s">
        <v>97</v>
      </c>
      <c r="F3874" s="86">
        <f>VLOOKUP(B3874,'HSD UPAH,BAHAN,ALAT'!$C$6:F3630,4,FALSE)</f>
        <v>10000</v>
      </c>
      <c r="G3874" s="87">
        <f t="shared" si="475"/>
        <v>110</v>
      </c>
    </row>
    <row r="3875" spans="1:7">
      <c r="A3875" s="8" t="s">
        <v>30</v>
      </c>
      <c r="B3875" s="1" t="s">
        <v>31</v>
      </c>
      <c r="C3875" s="8"/>
      <c r="D3875" s="9" t="s">
        <v>28</v>
      </c>
      <c r="E3875" s="10" t="s">
        <v>59</v>
      </c>
      <c r="F3875" s="86">
        <f>VLOOKUP(B3875,'HSD UPAH,BAHAN,ALAT'!$C$6:F3631,4,FALSE)</f>
        <v>10000</v>
      </c>
      <c r="G3875" s="87">
        <f t="shared" si="475"/>
        <v>30</v>
      </c>
    </row>
    <row r="3876" spans="1:7">
      <c r="A3876" s="8" t="s">
        <v>33</v>
      </c>
      <c r="B3876" s="1" t="s">
        <v>34</v>
      </c>
      <c r="C3876" s="8"/>
      <c r="D3876" s="9" t="s">
        <v>28</v>
      </c>
      <c r="E3876" s="10" t="s">
        <v>95</v>
      </c>
      <c r="F3876" s="86">
        <f>VLOOKUP(B3876,'HSD UPAH,BAHAN,ALAT'!$C$6:F3632,4,FALSE)</f>
        <v>10000</v>
      </c>
      <c r="G3876" s="87">
        <f t="shared" si="475"/>
        <v>10</v>
      </c>
    </row>
    <row r="3877" spans="1:7">
      <c r="A3877" s="261" t="s">
        <v>421</v>
      </c>
      <c r="B3877" s="261"/>
      <c r="C3877" s="261"/>
      <c r="D3877" s="261"/>
      <c r="E3877" s="261"/>
      <c r="F3877" s="261"/>
      <c r="G3877" s="85">
        <f>SUM(G3871:G3876)</f>
        <v>90200</v>
      </c>
    </row>
    <row r="3878" spans="1:7">
      <c r="A3878" s="8" t="s">
        <v>36</v>
      </c>
      <c r="B3878" s="1" t="s">
        <v>37</v>
      </c>
      <c r="C3878" s="8"/>
      <c r="D3878" s="9"/>
      <c r="E3878" s="19"/>
      <c r="F3878" s="2"/>
      <c r="G3878" s="2"/>
    </row>
    <row r="3879" spans="1:7">
      <c r="A3879" s="263" t="s">
        <v>419</v>
      </c>
      <c r="B3879" s="263"/>
      <c r="C3879" s="263"/>
      <c r="D3879" s="263"/>
      <c r="E3879" s="263"/>
      <c r="F3879" s="263"/>
      <c r="G3879" s="80">
        <f>SUM(G3878)</f>
        <v>0</v>
      </c>
    </row>
    <row r="3880" spans="1:7">
      <c r="A3880" s="81" t="s">
        <v>38</v>
      </c>
      <c r="B3880" s="262" t="s">
        <v>39</v>
      </c>
      <c r="C3880" s="262"/>
      <c r="D3880" s="262"/>
      <c r="E3880" s="262"/>
      <c r="F3880" s="262"/>
      <c r="G3880" s="80">
        <f>SUM(G3866:G3879)/2</f>
        <v>96730</v>
      </c>
    </row>
    <row r="3881" spans="1:7">
      <c r="A3881" s="81" t="s">
        <v>40</v>
      </c>
      <c r="B3881" s="262" t="s">
        <v>180</v>
      </c>
      <c r="C3881" s="262"/>
      <c r="D3881" s="262"/>
      <c r="E3881" s="262"/>
      <c r="F3881" s="82">
        <v>0.1</v>
      </c>
      <c r="G3881" s="80">
        <f>G3880*F3881</f>
        <v>9673</v>
      </c>
    </row>
    <row r="3882" spans="1:7">
      <c r="A3882" s="81" t="s">
        <v>41</v>
      </c>
      <c r="B3882" s="262" t="s">
        <v>42</v>
      </c>
      <c r="C3882" s="262"/>
      <c r="D3882" s="262"/>
      <c r="E3882" s="262"/>
      <c r="F3882" s="262"/>
      <c r="G3882" s="80">
        <f>G3880+G3881</f>
        <v>106403</v>
      </c>
    </row>
    <row r="3883" spans="1:7">
      <c r="A3883" s="90"/>
      <c r="B3883" s="91"/>
      <c r="C3883" s="91"/>
      <c r="D3883" s="91"/>
      <c r="E3883" s="91"/>
      <c r="F3883" s="91"/>
      <c r="G3883" s="92"/>
    </row>
    <row r="3884" spans="1:7">
      <c r="A3884" s="4" t="s">
        <v>601</v>
      </c>
      <c r="B3884" s="91"/>
      <c r="C3884" s="91"/>
      <c r="D3884" s="91"/>
      <c r="E3884" s="91"/>
      <c r="F3884" s="91"/>
      <c r="G3884" s="92"/>
    </row>
    <row r="3885" spans="1:7" ht="30">
      <c r="A3885" s="79" t="s">
        <v>0</v>
      </c>
      <c r="B3885" s="79" t="s">
        <v>1</v>
      </c>
      <c r="C3885" s="79" t="s">
        <v>207</v>
      </c>
      <c r="D3885" s="79" t="s">
        <v>3</v>
      </c>
      <c r="E3885" s="79" t="s">
        <v>2</v>
      </c>
      <c r="F3885" s="79" t="s">
        <v>417</v>
      </c>
      <c r="G3885" s="79" t="s">
        <v>418</v>
      </c>
    </row>
    <row r="3886" spans="1:7">
      <c r="A3886" s="8" t="s">
        <v>4</v>
      </c>
      <c r="B3886" s="1" t="s">
        <v>5</v>
      </c>
      <c r="C3886" s="8"/>
      <c r="D3886" s="9"/>
      <c r="E3886" s="19"/>
      <c r="F3886" s="2"/>
      <c r="G3886" s="2"/>
    </row>
    <row r="3887" spans="1:7">
      <c r="A3887" s="8">
        <v>1</v>
      </c>
      <c r="B3887" s="1" t="s">
        <v>6</v>
      </c>
      <c r="C3887" s="8" t="s">
        <v>7</v>
      </c>
      <c r="D3887" s="9" t="s">
        <v>8</v>
      </c>
      <c r="E3887" s="10" t="s">
        <v>92</v>
      </c>
      <c r="F3887" s="86">
        <f>VLOOKUP(B3887,'HSD UPAH,BAHAN,ALAT'!$C$6:F3641,4,FALSE)</f>
        <v>100000</v>
      </c>
      <c r="G3887" s="87">
        <f t="shared" ref="G3887:G3889" si="476">E3887*F3887</f>
        <v>5000</v>
      </c>
    </row>
    <row r="3888" spans="1:7">
      <c r="A3888" s="8">
        <v>2</v>
      </c>
      <c r="B3888" s="1" t="s">
        <v>10</v>
      </c>
      <c r="C3888" s="8" t="s">
        <v>11</v>
      </c>
      <c r="D3888" s="9" t="s">
        <v>8</v>
      </c>
      <c r="E3888" s="10" t="s">
        <v>93</v>
      </c>
      <c r="F3888" s="86">
        <f>VLOOKUP(B3888,'HSD UPAH,BAHAN,ALAT'!$C$6:F3642,4,FALSE)</f>
        <v>120000</v>
      </c>
      <c r="G3888" s="87">
        <f t="shared" si="476"/>
        <v>1200</v>
      </c>
    </row>
    <row r="3889" spans="1:7">
      <c r="A3889" s="8">
        <v>3</v>
      </c>
      <c r="B3889" s="1" t="s">
        <v>13</v>
      </c>
      <c r="C3889" s="8" t="s">
        <v>14</v>
      </c>
      <c r="D3889" s="9" t="s">
        <v>8</v>
      </c>
      <c r="E3889" s="10" t="s">
        <v>94</v>
      </c>
      <c r="F3889" s="86">
        <f>VLOOKUP(B3889,'HSD UPAH,BAHAN,ALAT'!$C$6:F3643,4,FALSE)</f>
        <v>100000</v>
      </c>
      <c r="G3889" s="87">
        <f t="shared" si="476"/>
        <v>330</v>
      </c>
    </row>
    <row r="3890" spans="1:7">
      <c r="A3890" s="261" t="s">
        <v>420</v>
      </c>
      <c r="B3890" s="261"/>
      <c r="C3890" s="261"/>
      <c r="D3890" s="261"/>
      <c r="E3890" s="261"/>
      <c r="F3890" s="261"/>
      <c r="G3890" s="85">
        <f>SUM(G3886:G3889)</f>
        <v>6530</v>
      </c>
    </row>
    <row r="3891" spans="1:7">
      <c r="A3891" s="8" t="s">
        <v>16</v>
      </c>
      <c r="B3891" s="1" t="s">
        <v>17</v>
      </c>
      <c r="C3891" s="8"/>
      <c r="D3891" s="9"/>
      <c r="E3891" s="19"/>
      <c r="F3891" s="2"/>
      <c r="G3891" s="2"/>
    </row>
    <row r="3892" spans="1:7" ht="30">
      <c r="A3892" s="17" t="s">
        <v>208</v>
      </c>
      <c r="B3892" s="5" t="s">
        <v>340</v>
      </c>
      <c r="C3892" s="17"/>
      <c r="D3892" s="12" t="s">
        <v>86</v>
      </c>
      <c r="E3892" s="7" t="s">
        <v>212</v>
      </c>
      <c r="F3892" s="86">
        <f>VLOOKUP(B3892,'HSD UPAH,BAHAN,ALAT'!$C$6:F3646,4,FALSE)</f>
        <v>10000</v>
      </c>
      <c r="G3892" s="87">
        <f t="shared" ref="G3892:G3893" si="477">E3892*F3892</f>
        <v>160000</v>
      </c>
    </row>
    <row r="3893" spans="1:7">
      <c r="A3893" s="8">
        <v>2</v>
      </c>
      <c r="B3893" s="1" t="s">
        <v>18</v>
      </c>
      <c r="C3893" s="8"/>
      <c r="D3893" s="9" t="s">
        <v>19</v>
      </c>
      <c r="E3893" s="10">
        <v>5.0000000000000001E-3</v>
      </c>
      <c r="F3893" s="86">
        <f>VLOOKUP(B3893,'HSD UPAH,BAHAN,ALAT'!$C$6:F3647,4,FALSE)</f>
        <v>10000</v>
      </c>
      <c r="G3893" s="87">
        <f t="shared" si="477"/>
        <v>50</v>
      </c>
    </row>
    <row r="3894" spans="1:7">
      <c r="A3894" s="8">
        <v>3</v>
      </c>
      <c r="B3894" s="1" t="s">
        <v>26</v>
      </c>
      <c r="C3894" s="8"/>
      <c r="D3894" s="9"/>
      <c r="E3894" s="19"/>
      <c r="F3894" s="2"/>
      <c r="G3894" s="2"/>
    </row>
    <row r="3895" spans="1:7">
      <c r="A3895" s="8" t="s">
        <v>22</v>
      </c>
      <c r="B3895" s="1" t="s">
        <v>27</v>
      </c>
      <c r="C3895" s="8"/>
      <c r="D3895" s="9" t="s">
        <v>28</v>
      </c>
      <c r="E3895" s="10" t="s">
        <v>97</v>
      </c>
      <c r="F3895" s="86">
        <f>VLOOKUP(B3895,'HSD UPAH,BAHAN,ALAT'!$C$6:F3649,4,FALSE)</f>
        <v>10000</v>
      </c>
      <c r="G3895" s="87">
        <f t="shared" ref="G3895:G3897" si="478">E3895*F3895</f>
        <v>110</v>
      </c>
    </row>
    <row r="3896" spans="1:7">
      <c r="A3896" s="8" t="s">
        <v>30</v>
      </c>
      <c r="B3896" s="1" t="s">
        <v>31</v>
      </c>
      <c r="C3896" s="8"/>
      <c r="D3896" s="9" t="s">
        <v>28</v>
      </c>
      <c r="E3896" s="10" t="s">
        <v>59</v>
      </c>
      <c r="F3896" s="86">
        <f>VLOOKUP(B3896,'HSD UPAH,BAHAN,ALAT'!$C$6:F3650,4,FALSE)</f>
        <v>10000</v>
      </c>
      <c r="G3896" s="87">
        <f t="shared" si="478"/>
        <v>30</v>
      </c>
    </row>
    <row r="3897" spans="1:7">
      <c r="A3897" s="8" t="s">
        <v>33</v>
      </c>
      <c r="B3897" s="1" t="s">
        <v>34</v>
      </c>
      <c r="C3897" s="8"/>
      <c r="D3897" s="9" t="s">
        <v>28</v>
      </c>
      <c r="E3897" s="10" t="s">
        <v>95</v>
      </c>
      <c r="F3897" s="86">
        <f>VLOOKUP(B3897,'HSD UPAH,BAHAN,ALAT'!$C$6:F3651,4,FALSE)</f>
        <v>10000</v>
      </c>
      <c r="G3897" s="87">
        <f t="shared" si="478"/>
        <v>10</v>
      </c>
    </row>
    <row r="3898" spans="1:7">
      <c r="A3898" s="261" t="s">
        <v>421</v>
      </c>
      <c r="B3898" s="261"/>
      <c r="C3898" s="261"/>
      <c r="D3898" s="261"/>
      <c r="E3898" s="261"/>
      <c r="F3898" s="261"/>
      <c r="G3898" s="85">
        <f>SUM(G3892:G3897)</f>
        <v>160200</v>
      </c>
    </row>
    <row r="3899" spans="1:7">
      <c r="A3899" s="8" t="s">
        <v>36</v>
      </c>
      <c r="B3899" s="1" t="s">
        <v>37</v>
      </c>
      <c r="C3899" s="8"/>
      <c r="D3899" s="9"/>
      <c r="E3899" s="19"/>
      <c r="F3899" s="2"/>
      <c r="G3899" s="2"/>
    </row>
    <row r="3900" spans="1:7">
      <c r="A3900" s="263" t="s">
        <v>419</v>
      </c>
      <c r="B3900" s="263"/>
      <c r="C3900" s="263"/>
      <c r="D3900" s="263"/>
      <c r="E3900" s="263"/>
      <c r="F3900" s="263"/>
      <c r="G3900" s="80">
        <f>SUM(G3899)</f>
        <v>0</v>
      </c>
    </row>
    <row r="3901" spans="1:7">
      <c r="A3901" s="81" t="s">
        <v>38</v>
      </c>
      <c r="B3901" s="262" t="s">
        <v>39</v>
      </c>
      <c r="C3901" s="262"/>
      <c r="D3901" s="262"/>
      <c r="E3901" s="262"/>
      <c r="F3901" s="262"/>
      <c r="G3901" s="80">
        <f>SUM(G3887:G3900)/2</f>
        <v>166730</v>
      </c>
    </row>
    <row r="3902" spans="1:7">
      <c r="A3902" s="81" t="s">
        <v>40</v>
      </c>
      <c r="B3902" s="262" t="s">
        <v>180</v>
      </c>
      <c r="C3902" s="262"/>
      <c r="D3902" s="262"/>
      <c r="E3902" s="262"/>
      <c r="F3902" s="82">
        <v>0.1</v>
      </c>
      <c r="G3902" s="80">
        <f>G3901*F3902</f>
        <v>16673</v>
      </c>
    </row>
    <row r="3903" spans="1:7">
      <c r="A3903" s="81" t="s">
        <v>41</v>
      </c>
      <c r="B3903" s="262" t="s">
        <v>42</v>
      </c>
      <c r="C3903" s="262"/>
      <c r="D3903" s="262"/>
      <c r="E3903" s="262"/>
      <c r="F3903" s="262"/>
      <c r="G3903" s="80">
        <f>G3901+G3902</f>
        <v>183403</v>
      </c>
    </row>
    <row r="3904" spans="1:7">
      <c r="A3904" s="90"/>
      <c r="B3904" s="91"/>
      <c r="C3904" s="91"/>
      <c r="D3904" s="91"/>
      <c r="E3904" s="91"/>
      <c r="F3904" s="91"/>
      <c r="G3904" s="92"/>
    </row>
    <row r="3905" spans="1:7">
      <c r="A3905" s="4" t="s">
        <v>602</v>
      </c>
      <c r="B3905" s="91"/>
      <c r="C3905" s="91"/>
      <c r="D3905" s="91"/>
      <c r="E3905" s="91"/>
      <c r="F3905" s="91"/>
      <c r="G3905" s="92"/>
    </row>
    <row r="3906" spans="1:7" ht="30">
      <c r="A3906" s="79" t="s">
        <v>0</v>
      </c>
      <c r="B3906" s="79" t="s">
        <v>1</v>
      </c>
      <c r="C3906" s="79" t="s">
        <v>207</v>
      </c>
      <c r="D3906" s="79" t="s">
        <v>3</v>
      </c>
      <c r="E3906" s="79" t="s">
        <v>2</v>
      </c>
      <c r="F3906" s="79" t="s">
        <v>417</v>
      </c>
      <c r="G3906" s="79" t="s">
        <v>418</v>
      </c>
    </row>
    <row r="3907" spans="1:7">
      <c r="A3907" s="8" t="s">
        <v>4</v>
      </c>
      <c r="B3907" s="1" t="s">
        <v>5</v>
      </c>
      <c r="C3907" s="8"/>
      <c r="D3907" s="9"/>
      <c r="E3907" s="19"/>
      <c r="F3907" s="2"/>
      <c r="G3907" s="2"/>
    </row>
    <row r="3908" spans="1:7">
      <c r="A3908" s="8">
        <v>1</v>
      </c>
      <c r="B3908" s="1" t="s">
        <v>6</v>
      </c>
      <c r="C3908" s="8" t="s">
        <v>7</v>
      </c>
      <c r="D3908" s="9" t="s">
        <v>8</v>
      </c>
      <c r="E3908" s="10" t="s">
        <v>92</v>
      </c>
      <c r="F3908" s="86">
        <f>VLOOKUP(B3908,'HSD UPAH,BAHAN,ALAT'!$C$6:F3660,4,FALSE)</f>
        <v>100000</v>
      </c>
      <c r="G3908" s="87">
        <f t="shared" ref="G3908:G3910" si="479">E3908*F3908</f>
        <v>5000</v>
      </c>
    </row>
    <row r="3909" spans="1:7">
      <c r="A3909" s="8">
        <v>2</v>
      </c>
      <c r="B3909" s="1" t="s">
        <v>10</v>
      </c>
      <c r="C3909" s="8" t="s">
        <v>11</v>
      </c>
      <c r="D3909" s="9" t="s">
        <v>8</v>
      </c>
      <c r="E3909" s="10" t="s">
        <v>93</v>
      </c>
      <c r="F3909" s="86">
        <f>VLOOKUP(B3909,'HSD UPAH,BAHAN,ALAT'!$C$6:F3661,4,FALSE)</f>
        <v>120000</v>
      </c>
      <c r="G3909" s="87">
        <f t="shared" si="479"/>
        <v>1200</v>
      </c>
    </row>
    <row r="3910" spans="1:7">
      <c r="A3910" s="8">
        <v>3</v>
      </c>
      <c r="B3910" s="1" t="s">
        <v>13</v>
      </c>
      <c r="C3910" s="8" t="s">
        <v>14</v>
      </c>
      <c r="D3910" s="9" t="s">
        <v>8</v>
      </c>
      <c r="E3910" s="10" t="s">
        <v>94</v>
      </c>
      <c r="F3910" s="86">
        <f>VLOOKUP(B3910,'HSD UPAH,BAHAN,ALAT'!$C$6:F3662,4,FALSE)</f>
        <v>100000</v>
      </c>
      <c r="G3910" s="87">
        <f t="shared" si="479"/>
        <v>330</v>
      </c>
    </row>
    <row r="3911" spans="1:7">
      <c r="A3911" s="261" t="s">
        <v>420</v>
      </c>
      <c r="B3911" s="261"/>
      <c r="C3911" s="261"/>
      <c r="D3911" s="261"/>
      <c r="E3911" s="261"/>
      <c r="F3911" s="261"/>
      <c r="G3911" s="85">
        <f>SUM(G3907:G3910)</f>
        <v>6530</v>
      </c>
    </row>
    <row r="3912" spans="1:7">
      <c r="A3912" s="8" t="s">
        <v>16</v>
      </c>
      <c r="B3912" s="1" t="s">
        <v>17</v>
      </c>
      <c r="C3912" s="8"/>
      <c r="D3912" s="9"/>
      <c r="E3912" s="19"/>
      <c r="F3912" s="2"/>
      <c r="G3912" s="2"/>
    </row>
    <row r="3913" spans="1:7" ht="30">
      <c r="A3913" s="17" t="s">
        <v>208</v>
      </c>
      <c r="B3913" s="5" t="s">
        <v>341</v>
      </c>
      <c r="C3913" s="17"/>
      <c r="D3913" s="12" t="s">
        <v>86</v>
      </c>
      <c r="E3913" s="7">
        <v>9</v>
      </c>
      <c r="F3913" s="86">
        <f>VLOOKUP(B3913,'HSD UPAH,BAHAN,ALAT'!$C$6:F3665,4,FALSE)</f>
        <v>10000</v>
      </c>
      <c r="G3913" s="87">
        <f t="shared" ref="G3913:G3914" si="480">E3913*F3913</f>
        <v>90000</v>
      </c>
    </row>
    <row r="3914" spans="1:7">
      <c r="A3914" s="8">
        <v>2</v>
      </c>
      <c r="B3914" s="1" t="s">
        <v>18</v>
      </c>
      <c r="C3914" s="8"/>
      <c r="D3914" s="9" t="s">
        <v>19</v>
      </c>
      <c r="E3914" s="10">
        <v>5.0000000000000001E-3</v>
      </c>
      <c r="F3914" s="86">
        <f>VLOOKUP(B3914,'HSD UPAH,BAHAN,ALAT'!$C$6:F3666,4,FALSE)</f>
        <v>10000</v>
      </c>
      <c r="G3914" s="87">
        <f t="shared" si="480"/>
        <v>50</v>
      </c>
    </row>
    <row r="3915" spans="1:7">
      <c r="A3915" s="8">
        <v>3</v>
      </c>
      <c r="B3915" s="1" t="s">
        <v>26</v>
      </c>
      <c r="C3915" s="8"/>
      <c r="D3915" s="9"/>
      <c r="E3915" s="19"/>
      <c r="F3915" s="2"/>
      <c r="G3915" s="2"/>
    </row>
    <row r="3916" spans="1:7">
      <c r="A3916" s="8" t="s">
        <v>22</v>
      </c>
      <c r="B3916" s="1" t="s">
        <v>27</v>
      </c>
      <c r="C3916" s="8"/>
      <c r="D3916" s="9" t="s">
        <v>28</v>
      </c>
      <c r="E3916" s="10" t="s">
        <v>97</v>
      </c>
      <c r="F3916" s="86">
        <f>VLOOKUP(B3916,'HSD UPAH,BAHAN,ALAT'!$C$6:F3668,4,FALSE)</f>
        <v>10000</v>
      </c>
      <c r="G3916" s="87">
        <f t="shared" ref="G3916:G3918" si="481">E3916*F3916</f>
        <v>110</v>
      </c>
    </row>
    <row r="3917" spans="1:7">
      <c r="A3917" s="8" t="s">
        <v>30</v>
      </c>
      <c r="B3917" s="1" t="s">
        <v>31</v>
      </c>
      <c r="C3917" s="8"/>
      <c r="D3917" s="9" t="s">
        <v>28</v>
      </c>
      <c r="E3917" s="10" t="s">
        <v>59</v>
      </c>
      <c r="F3917" s="86">
        <f>VLOOKUP(B3917,'HSD UPAH,BAHAN,ALAT'!$C$6:F3669,4,FALSE)</f>
        <v>10000</v>
      </c>
      <c r="G3917" s="87">
        <f t="shared" si="481"/>
        <v>30</v>
      </c>
    </row>
    <row r="3918" spans="1:7">
      <c r="A3918" s="8" t="s">
        <v>33</v>
      </c>
      <c r="B3918" s="1" t="s">
        <v>34</v>
      </c>
      <c r="C3918" s="8"/>
      <c r="D3918" s="9" t="s">
        <v>28</v>
      </c>
      <c r="E3918" s="10" t="s">
        <v>95</v>
      </c>
      <c r="F3918" s="86">
        <f>VLOOKUP(B3918,'HSD UPAH,BAHAN,ALAT'!$C$6:F3670,4,FALSE)</f>
        <v>10000</v>
      </c>
      <c r="G3918" s="87">
        <f t="shared" si="481"/>
        <v>10</v>
      </c>
    </row>
    <row r="3919" spans="1:7">
      <c r="A3919" s="261" t="s">
        <v>421</v>
      </c>
      <c r="B3919" s="261"/>
      <c r="C3919" s="261"/>
      <c r="D3919" s="261"/>
      <c r="E3919" s="261"/>
      <c r="F3919" s="261"/>
      <c r="G3919" s="85">
        <f>SUM(G3913:G3918)</f>
        <v>90200</v>
      </c>
    </row>
    <row r="3920" spans="1:7">
      <c r="A3920" s="8" t="s">
        <v>36</v>
      </c>
      <c r="B3920" s="1" t="s">
        <v>37</v>
      </c>
      <c r="C3920" s="8"/>
      <c r="D3920" s="9"/>
      <c r="E3920" s="19"/>
      <c r="F3920" s="2"/>
      <c r="G3920" s="2"/>
    </row>
    <row r="3921" spans="1:7">
      <c r="A3921" s="263" t="s">
        <v>419</v>
      </c>
      <c r="B3921" s="263"/>
      <c r="C3921" s="263"/>
      <c r="D3921" s="263"/>
      <c r="E3921" s="263"/>
      <c r="F3921" s="263"/>
      <c r="G3921" s="80">
        <f>SUM(G3920)</f>
        <v>0</v>
      </c>
    </row>
    <row r="3922" spans="1:7">
      <c r="A3922" s="81" t="s">
        <v>38</v>
      </c>
      <c r="B3922" s="262" t="s">
        <v>39</v>
      </c>
      <c r="C3922" s="262"/>
      <c r="D3922" s="262"/>
      <c r="E3922" s="262"/>
      <c r="F3922" s="262"/>
      <c r="G3922" s="80">
        <f>SUM(G3908:G3921)/2</f>
        <v>96730</v>
      </c>
    </row>
    <row r="3923" spans="1:7">
      <c r="A3923" s="81" t="s">
        <v>40</v>
      </c>
      <c r="B3923" s="262" t="s">
        <v>180</v>
      </c>
      <c r="C3923" s="262"/>
      <c r="D3923" s="262"/>
      <c r="E3923" s="262"/>
      <c r="F3923" s="82">
        <v>0.1</v>
      </c>
      <c r="G3923" s="80">
        <f>G3922*F3923</f>
        <v>9673</v>
      </c>
    </row>
    <row r="3924" spans="1:7">
      <c r="A3924" s="81" t="s">
        <v>41</v>
      </c>
      <c r="B3924" s="262" t="s">
        <v>42</v>
      </c>
      <c r="C3924" s="262"/>
      <c r="D3924" s="262"/>
      <c r="E3924" s="262"/>
      <c r="F3924" s="262"/>
      <c r="G3924" s="80">
        <f>G3922+G3923</f>
        <v>106403</v>
      </c>
    </row>
    <row r="3925" spans="1:7">
      <c r="A3925" s="90"/>
      <c r="B3925" s="91"/>
      <c r="C3925" s="91"/>
      <c r="D3925" s="91"/>
      <c r="E3925" s="91"/>
      <c r="F3925" s="91"/>
      <c r="G3925" s="92"/>
    </row>
    <row r="3926" spans="1:7">
      <c r="A3926" s="96" t="s">
        <v>603</v>
      </c>
      <c r="B3926" s="91"/>
      <c r="C3926" s="91"/>
      <c r="D3926" s="91"/>
      <c r="E3926" s="91"/>
      <c r="F3926" s="91"/>
      <c r="G3926" s="92"/>
    </row>
    <row r="3927" spans="1:7" ht="30">
      <c r="A3927" s="79" t="s">
        <v>0</v>
      </c>
      <c r="B3927" s="79" t="s">
        <v>1</v>
      </c>
      <c r="C3927" s="79" t="s">
        <v>207</v>
      </c>
      <c r="D3927" s="79" t="s">
        <v>3</v>
      </c>
      <c r="E3927" s="79" t="s">
        <v>2</v>
      </c>
      <c r="F3927" s="79" t="s">
        <v>417</v>
      </c>
      <c r="G3927" s="79" t="s">
        <v>418</v>
      </c>
    </row>
    <row r="3928" spans="1:7">
      <c r="A3928" s="8" t="s">
        <v>4</v>
      </c>
      <c r="B3928" s="1" t="s">
        <v>5</v>
      </c>
      <c r="C3928" s="8"/>
      <c r="D3928" s="9"/>
      <c r="E3928" s="19"/>
      <c r="F3928" s="2"/>
      <c r="G3928" s="2"/>
    </row>
    <row r="3929" spans="1:7">
      <c r="A3929" s="8">
        <v>1</v>
      </c>
      <c r="B3929" s="1" t="s">
        <v>6</v>
      </c>
      <c r="C3929" s="8" t="s">
        <v>7</v>
      </c>
      <c r="D3929" s="9" t="s">
        <v>8</v>
      </c>
      <c r="E3929" s="10" t="s">
        <v>92</v>
      </c>
      <c r="F3929" s="86">
        <f>VLOOKUP(B3929,'HSD UPAH,BAHAN,ALAT'!$C$6:F3679,4,FALSE)</f>
        <v>100000</v>
      </c>
      <c r="G3929" s="87">
        <f t="shared" ref="G3929:G3931" si="482">E3929*F3929</f>
        <v>5000</v>
      </c>
    </row>
    <row r="3930" spans="1:7">
      <c r="A3930" s="8">
        <v>2</v>
      </c>
      <c r="B3930" s="1" t="s">
        <v>10</v>
      </c>
      <c r="C3930" s="8" t="s">
        <v>11</v>
      </c>
      <c r="D3930" s="9" t="s">
        <v>8</v>
      </c>
      <c r="E3930" s="10" t="s">
        <v>93</v>
      </c>
      <c r="F3930" s="86">
        <f>VLOOKUP(B3930,'HSD UPAH,BAHAN,ALAT'!$C$6:F3680,4,FALSE)</f>
        <v>120000</v>
      </c>
      <c r="G3930" s="87">
        <f t="shared" si="482"/>
        <v>1200</v>
      </c>
    </row>
    <row r="3931" spans="1:7">
      <c r="A3931" s="8">
        <v>3</v>
      </c>
      <c r="B3931" s="1" t="s">
        <v>13</v>
      </c>
      <c r="C3931" s="8" t="s">
        <v>14</v>
      </c>
      <c r="D3931" s="9" t="s">
        <v>8</v>
      </c>
      <c r="E3931" s="10" t="s">
        <v>94</v>
      </c>
      <c r="F3931" s="86">
        <f>VLOOKUP(B3931,'HSD UPAH,BAHAN,ALAT'!$C$6:F3681,4,FALSE)</f>
        <v>100000</v>
      </c>
      <c r="G3931" s="87">
        <f t="shared" si="482"/>
        <v>330</v>
      </c>
    </row>
    <row r="3932" spans="1:7">
      <c r="A3932" s="261" t="s">
        <v>420</v>
      </c>
      <c r="B3932" s="261"/>
      <c r="C3932" s="261"/>
      <c r="D3932" s="261"/>
      <c r="E3932" s="261"/>
      <c r="F3932" s="261"/>
      <c r="G3932" s="85">
        <f>SUM(G3928:G3931)</f>
        <v>6530</v>
      </c>
    </row>
    <row r="3933" spans="1:7">
      <c r="A3933" s="8" t="s">
        <v>16</v>
      </c>
      <c r="B3933" s="1" t="s">
        <v>17</v>
      </c>
      <c r="C3933" s="8"/>
      <c r="D3933" s="9"/>
      <c r="E3933" s="19"/>
      <c r="F3933" s="2"/>
      <c r="G3933" s="2"/>
    </row>
    <row r="3934" spans="1:7" ht="30">
      <c r="A3934" s="17" t="s">
        <v>208</v>
      </c>
      <c r="B3934" s="5" t="s">
        <v>342</v>
      </c>
      <c r="C3934" s="17"/>
      <c r="D3934" s="12" t="s">
        <v>86</v>
      </c>
      <c r="E3934" s="7">
        <v>9</v>
      </c>
      <c r="F3934" s="86">
        <f>VLOOKUP(B3934,'HSD UPAH,BAHAN,ALAT'!$C$6:F3684,4,FALSE)</f>
        <v>10000</v>
      </c>
      <c r="G3934" s="87">
        <f t="shared" ref="G3934:G3935" si="483">E3934*F3934</f>
        <v>90000</v>
      </c>
    </row>
    <row r="3935" spans="1:7">
      <c r="A3935" s="8">
        <v>2</v>
      </c>
      <c r="B3935" s="1" t="s">
        <v>18</v>
      </c>
      <c r="C3935" s="8"/>
      <c r="D3935" s="9" t="s">
        <v>19</v>
      </c>
      <c r="E3935" s="10">
        <v>5.0000000000000001E-3</v>
      </c>
      <c r="F3935" s="86">
        <f>VLOOKUP(B3935,'HSD UPAH,BAHAN,ALAT'!$C$6:F3685,4,FALSE)</f>
        <v>10000</v>
      </c>
      <c r="G3935" s="87">
        <f t="shared" si="483"/>
        <v>50</v>
      </c>
    </row>
    <row r="3936" spans="1:7">
      <c r="A3936" s="8">
        <v>3</v>
      </c>
      <c r="B3936" s="1" t="s">
        <v>26</v>
      </c>
      <c r="C3936" s="8"/>
      <c r="D3936" s="9"/>
      <c r="E3936" s="19"/>
      <c r="F3936" s="2"/>
      <c r="G3936" s="2"/>
    </row>
    <row r="3937" spans="1:7">
      <c r="A3937" s="8" t="s">
        <v>22</v>
      </c>
      <c r="B3937" s="1" t="s">
        <v>27</v>
      </c>
      <c r="C3937" s="8"/>
      <c r="D3937" s="9" t="s">
        <v>28</v>
      </c>
      <c r="E3937" s="10" t="s">
        <v>97</v>
      </c>
      <c r="F3937" s="86">
        <f>VLOOKUP(B3937,'HSD UPAH,BAHAN,ALAT'!$C$6:F3687,4,FALSE)</f>
        <v>10000</v>
      </c>
      <c r="G3937" s="87">
        <f t="shared" ref="G3937:G3939" si="484">E3937*F3937</f>
        <v>110</v>
      </c>
    </row>
    <row r="3938" spans="1:7">
      <c r="A3938" s="8" t="s">
        <v>30</v>
      </c>
      <c r="B3938" s="1" t="s">
        <v>31</v>
      </c>
      <c r="C3938" s="8"/>
      <c r="D3938" s="9" t="s">
        <v>28</v>
      </c>
      <c r="E3938" s="10" t="s">
        <v>59</v>
      </c>
      <c r="F3938" s="86">
        <f>VLOOKUP(B3938,'HSD UPAH,BAHAN,ALAT'!$C$6:F3688,4,FALSE)</f>
        <v>10000</v>
      </c>
      <c r="G3938" s="87">
        <f t="shared" si="484"/>
        <v>30</v>
      </c>
    </row>
    <row r="3939" spans="1:7">
      <c r="A3939" s="8" t="s">
        <v>33</v>
      </c>
      <c r="B3939" s="1" t="s">
        <v>34</v>
      </c>
      <c r="C3939" s="8"/>
      <c r="D3939" s="9" t="s">
        <v>28</v>
      </c>
      <c r="E3939" s="10" t="s">
        <v>95</v>
      </c>
      <c r="F3939" s="86">
        <f>VLOOKUP(B3939,'HSD UPAH,BAHAN,ALAT'!$C$6:F3689,4,FALSE)</f>
        <v>10000</v>
      </c>
      <c r="G3939" s="87">
        <f t="shared" si="484"/>
        <v>10</v>
      </c>
    </row>
    <row r="3940" spans="1:7">
      <c r="A3940" s="261" t="s">
        <v>421</v>
      </c>
      <c r="B3940" s="261"/>
      <c r="C3940" s="261"/>
      <c r="D3940" s="261"/>
      <c r="E3940" s="261"/>
      <c r="F3940" s="261"/>
      <c r="G3940" s="85">
        <f>SUM(G3934:G3939)</f>
        <v>90200</v>
      </c>
    </row>
    <row r="3941" spans="1:7">
      <c r="A3941" s="8" t="s">
        <v>36</v>
      </c>
      <c r="B3941" s="1" t="s">
        <v>37</v>
      </c>
      <c r="C3941" s="8"/>
      <c r="D3941" s="9"/>
      <c r="E3941" s="19"/>
      <c r="F3941" s="2"/>
      <c r="G3941" s="2"/>
    </row>
    <row r="3942" spans="1:7">
      <c r="A3942" s="263" t="s">
        <v>419</v>
      </c>
      <c r="B3942" s="263"/>
      <c r="C3942" s="263"/>
      <c r="D3942" s="263"/>
      <c r="E3942" s="263"/>
      <c r="F3942" s="263"/>
      <c r="G3942" s="80">
        <f>SUM(G3941)</f>
        <v>0</v>
      </c>
    </row>
    <row r="3943" spans="1:7">
      <c r="A3943" s="81" t="s">
        <v>38</v>
      </c>
      <c r="B3943" s="262" t="s">
        <v>39</v>
      </c>
      <c r="C3943" s="262"/>
      <c r="D3943" s="262"/>
      <c r="E3943" s="262"/>
      <c r="F3943" s="262"/>
      <c r="G3943" s="80">
        <f>SUM(G3929:G3942)/2</f>
        <v>96730</v>
      </c>
    </row>
    <row r="3944" spans="1:7">
      <c r="A3944" s="81" t="s">
        <v>40</v>
      </c>
      <c r="B3944" s="262" t="s">
        <v>180</v>
      </c>
      <c r="C3944" s="262"/>
      <c r="D3944" s="262"/>
      <c r="E3944" s="262"/>
      <c r="F3944" s="82">
        <v>0.1</v>
      </c>
      <c r="G3944" s="80">
        <f>G3943*F3944</f>
        <v>9673</v>
      </c>
    </row>
    <row r="3945" spans="1:7">
      <c r="A3945" s="81" t="s">
        <v>41</v>
      </c>
      <c r="B3945" s="262" t="s">
        <v>42</v>
      </c>
      <c r="C3945" s="262"/>
      <c r="D3945" s="262"/>
      <c r="E3945" s="262"/>
      <c r="F3945" s="262"/>
      <c r="G3945" s="80">
        <f>G3943+G3944</f>
        <v>106403</v>
      </c>
    </row>
    <row r="3946" spans="1:7">
      <c r="A3946" s="90"/>
      <c r="B3946" s="91"/>
      <c r="C3946" s="91"/>
      <c r="D3946" s="91"/>
      <c r="E3946" s="91"/>
      <c r="F3946" s="91"/>
      <c r="G3946" s="92"/>
    </row>
    <row r="3947" spans="1:7">
      <c r="A3947" s="4" t="s">
        <v>604</v>
      </c>
      <c r="B3947" s="91"/>
      <c r="C3947" s="91"/>
      <c r="D3947" s="91"/>
      <c r="E3947" s="91"/>
      <c r="F3947" s="91"/>
      <c r="G3947" s="92"/>
    </row>
    <row r="3948" spans="1:7" ht="30">
      <c r="A3948" s="79" t="s">
        <v>0</v>
      </c>
      <c r="B3948" s="79" t="s">
        <v>1</v>
      </c>
      <c r="C3948" s="79" t="s">
        <v>207</v>
      </c>
      <c r="D3948" s="79" t="s">
        <v>3</v>
      </c>
      <c r="E3948" s="79" t="s">
        <v>2</v>
      </c>
      <c r="F3948" s="79" t="s">
        <v>417</v>
      </c>
      <c r="G3948" s="79" t="s">
        <v>418</v>
      </c>
    </row>
    <row r="3949" spans="1:7">
      <c r="A3949" s="8" t="s">
        <v>4</v>
      </c>
      <c r="B3949" s="1" t="s">
        <v>5</v>
      </c>
      <c r="C3949" s="8"/>
      <c r="D3949" s="9"/>
      <c r="E3949" s="19"/>
      <c r="F3949" s="2"/>
      <c r="G3949" s="2"/>
    </row>
    <row r="3950" spans="1:7">
      <c r="A3950" s="8">
        <v>1</v>
      </c>
      <c r="B3950" s="1" t="s">
        <v>6</v>
      </c>
      <c r="C3950" s="8" t="s">
        <v>7</v>
      </c>
      <c r="D3950" s="9" t="s">
        <v>8</v>
      </c>
      <c r="E3950" s="10" t="s">
        <v>92</v>
      </c>
      <c r="F3950" s="86">
        <f>VLOOKUP(B3950,'HSD UPAH,BAHAN,ALAT'!$C$6:F3698,4,FALSE)</f>
        <v>100000</v>
      </c>
      <c r="G3950" s="87">
        <f t="shared" ref="G3950:G3952" si="485">E3950*F3950</f>
        <v>5000</v>
      </c>
    </row>
    <row r="3951" spans="1:7">
      <c r="A3951" s="8">
        <v>2</v>
      </c>
      <c r="B3951" s="1" t="s">
        <v>10</v>
      </c>
      <c r="C3951" s="8" t="s">
        <v>11</v>
      </c>
      <c r="D3951" s="9" t="s">
        <v>8</v>
      </c>
      <c r="E3951" s="10" t="s">
        <v>93</v>
      </c>
      <c r="F3951" s="86">
        <f>VLOOKUP(B3951,'HSD UPAH,BAHAN,ALAT'!$C$6:F3699,4,FALSE)</f>
        <v>120000</v>
      </c>
      <c r="G3951" s="87">
        <f t="shared" si="485"/>
        <v>1200</v>
      </c>
    </row>
    <row r="3952" spans="1:7">
      <c r="A3952" s="8">
        <v>3</v>
      </c>
      <c r="B3952" s="1" t="s">
        <v>13</v>
      </c>
      <c r="C3952" s="8" t="s">
        <v>14</v>
      </c>
      <c r="D3952" s="9" t="s">
        <v>8</v>
      </c>
      <c r="E3952" s="10" t="s">
        <v>94</v>
      </c>
      <c r="F3952" s="86">
        <f>VLOOKUP(B3952,'HSD UPAH,BAHAN,ALAT'!$C$6:F3700,4,FALSE)</f>
        <v>100000</v>
      </c>
      <c r="G3952" s="87">
        <f t="shared" si="485"/>
        <v>330</v>
      </c>
    </row>
    <row r="3953" spans="1:7">
      <c r="A3953" s="261" t="s">
        <v>420</v>
      </c>
      <c r="B3953" s="261"/>
      <c r="C3953" s="261"/>
      <c r="D3953" s="261"/>
      <c r="E3953" s="261"/>
      <c r="F3953" s="261"/>
      <c r="G3953" s="85">
        <f>SUM(G3949:G3952)</f>
        <v>6530</v>
      </c>
    </row>
    <row r="3954" spans="1:7">
      <c r="A3954" s="8" t="s">
        <v>16</v>
      </c>
      <c r="B3954" s="1" t="s">
        <v>17</v>
      </c>
      <c r="C3954" s="8"/>
      <c r="D3954" s="9"/>
      <c r="E3954" s="19"/>
      <c r="F3954" s="2"/>
      <c r="G3954" s="2"/>
    </row>
    <row r="3955" spans="1:7" ht="30">
      <c r="A3955" s="17" t="s">
        <v>208</v>
      </c>
      <c r="B3955" s="5" t="s">
        <v>343</v>
      </c>
      <c r="C3955" s="17"/>
      <c r="D3955" s="12" t="s">
        <v>86</v>
      </c>
      <c r="E3955" s="7" t="s">
        <v>212</v>
      </c>
      <c r="F3955" s="86">
        <f>VLOOKUP(B3955,'HSD UPAH,BAHAN,ALAT'!$C$6:F3703,4,FALSE)</f>
        <v>10000</v>
      </c>
      <c r="G3955" s="87">
        <f t="shared" ref="G3955:G3956" si="486">E3955*F3955</f>
        <v>160000</v>
      </c>
    </row>
    <row r="3956" spans="1:7">
      <c r="A3956" s="8">
        <v>2</v>
      </c>
      <c r="B3956" s="1" t="s">
        <v>18</v>
      </c>
      <c r="C3956" s="8"/>
      <c r="D3956" s="9" t="s">
        <v>19</v>
      </c>
      <c r="E3956" s="10">
        <v>5.0000000000000001E-3</v>
      </c>
      <c r="F3956" s="86">
        <f>VLOOKUP(B3956,'HSD UPAH,BAHAN,ALAT'!$C$6:F3704,4,FALSE)</f>
        <v>10000</v>
      </c>
      <c r="G3956" s="87">
        <f t="shared" si="486"/>
        <v>50</v>
      </c>
    </row>
    <row r="3957" spans="1:7">
      <c r="A3957" s="8">
        <v>3</v>
      </c>
      <c r="B3957" s="1" t="s">
        <v>26</v>
      </c>
      <c r="C3957" s="8"/>
      <c r="D3957" s="9"/>
      <c r="E3957" s="19"/>
      <c r="F3957" s="2"/>
      <c r="G3957" s="2"/>
    </row>
    <row r="3958" spans="1:7">
      <c r="A3958" s="8" t="s">
        <v>22</v>
      </c>
      <c r="B3958" s="1" t="s">
        <v>27</v>
      </c>
      <c r="C3958" s="8"/>
      <c r="D3958" s="9" t="s">
        <v>28</v>
      </c>
      <c r="E3958" s="10" t="s">
        <v>97</v>
      </c>
      <c r="F3958" s="86">
        <f>VLOOKUP(B3958,'HSD UPAH,BAHAN,ALAT'!$C$6:F3706,4,FALSE)</f>
        <v>10000</v>
      </c>
      <c r="G3958" s="87">
        <f t="shared" ref="G3958:G3960" si="487">E3958*F3958</f>
        <v>110</v>
      </c>
    </row>
    <row r="3959" spans="1:7">
      <c r="A3959" s="8" t="s">
        <v>30</v>
      </c>
      <c r="B3959" s="1" t="s">
        <v>31</v>
      </c>
      <c r="C3959" s="8"/>
      <c r="D3959" s="9" t="s">
        <v>28</v>
      </c>
      <c r="E3959" s="10" t="s">
        <v>59</v>
      </c>
      <c r="F3959" s="86">
        <f>VLOOKUP(B3959,'HSD UPAH,BAHAN,ALAT'!$C$6:F3707,4,FALSE)</f>
        <v>10000</v>
      </c>
      <c r="G3959" s="87">
        <f t="shared" si="487"/>
        <v>30</v>
      </c>
    </row>
    <row r="3960" spans="1:7">
      <c r="A3960" s="8" t="s">
        <v>33</v>
      </c>
      <c r="B3960" s="1" t="s">
        <v>34</v>
      </c>
      <c r="C3960" s="8"/>
      <c r="D3960" s="9" t="s">
        <v>28</v>
      </c>
      <c r="E3960" s="10" t="s">
        <v>95</v>
      </c>
      <c r="F3960" s="86">
        <f>VLOOKUP(B3960,'HSD UPAH,BAHAN,ALAT'!$C$6:F3708,4,FALSE)</f>
        <v>10000</v>
      </c>
      <c r="G3960" s="87">
        <f t="shared" si="487"/>
        <v>10</v>
      </c>
    </row>
    <row r="3961" spans="1:7">
      <c r="A3961" s="261" t="s">
        <v>421</v>
      </c>
      <c r="B3961" s="261"/>
      <c r="C3961" s="261"/>
      <c r="D3961" s="261"/>
      <c r="E3961" s="261"/>
      <c r="F3961" s="261"/>
      <c r="G3961" s="85">
        <f>SUM(G3955:G3960)</f>
        <v>160200</v>
      </c>
    </row>
    <row r="3962" spans="1:7">
      <c r="A3962" s="8" t="s">
        <v>36</v>
      </c>
      <c r="B3962" s="1" t="s">
        <v>37</v>
      </c>
      <c r="C3962" s="8"/>
      <c r="D3962" s="9"/>
      <c r="E3962" s="19"/>
      <c r="F3962" s="2"/>
      <c r="G3962" s="2"/>
    </row>
    <row r="3963" spans="1:7">
      <c r="A3963" s="263" t="s">
        <v>419</v>
      </c>
      <c r="B3963" s="263"/>
      <c r="C3963" s="263"/>
      <c r="D3963" s="263"/>
      <c r="E3963" s="263"/>
      <c r="F3963" s="263"/>
      <c r="G3963" s="80">
        <f>SUM(G3962)</f>
        <v>0</v>
      </c>
    </row>
    <row r="3964" spans="1:7">
      <c r="A3964" s="81" t="s">
        <v>38</v>
      </c>
      <c r="B3964" s="262" t="s">
        <v>39</v>
      </c>
      <c r="C3964" s="262"/>
      <c r="D3964" s="262"/>
      <c r="E3964" s="262"/>
      <c r="F3964" s="262"/>
      <c r="G3964" s="80">
        <f>SUM(G3950:G3963)/2</f>
        <v>166730</v>
      </c>
    </row>
    <row r="3965" spans="1:7">
      <c r="A3965" s="81" t="s">
        <v>40</v>
      </c>
      <c r="B3965" s="262" t="s">
        <v>180</v>
      </c>
      <c r="C3965" s="262"/>
      <c r="D3965" s="262"/>
      <c r="E3965" s="262"/>
      <c r="F3965" s="82">
        <v>0.1</v>
      </c>
      <c r="G3965" s="80">
        <f>G3964*F3965</f>
        <v>16673</v>
      </c>
    </row>
    <row r="3966" spans="1:7">
      <c r="A3966" s="81" t="s">
        <v>41</v>
      </c>
      <c r="B3966" s="262" t="s">
        <v>42</v>
      </c>
      <c r="C3966" s="262"/>
      <c r="D3966" s="262"/>
      <c r="E3966" s="262"/>
      <c r="F3966" s="262"/>
      <c r="G3966" s="80">
        <f>G3964+G3965</f>
        <v>183403</v>
      </c>
    </row>
    <row r="3967" spans="1:7">
      <c r="A3967" s="90"/>
      <c r="B3967" s="91"/>
      <c r="C3967" s="91"/>
      <c r="D3967" s="91"/>
      <c r="E3967" s="91"/>
      <c r="F3967" s="91"/>
      <c r="G3967" s="92"/>
    </row>
    <row r="3968" spans="1:7">
      <c r="A3968" s="4" t="s">
        <v>605</v>
      </c>
      <c r="B3968" s="91"/>
      <c r="C3968" s="91"/>
      <c r="D3968" s="91"/>
      <c r="E3968" s="91"/>
      <c r="F3968" s="91"/>
      <c r="G3968" s="92"/>
    </row>
    <row r="3969" spans="1:7" ht="30">
      <c r="A3969" s="79" t="s">
        <v>0</v>
      </c>
      <c r="B3969" s="79" t="s">
        <v>1</v>
      </c>
      <c r="C3969" s="79" t="s">
        <v>207</v>
      </c>
      <c r="D3969" s="79" t="s">
        <v>3</v>
      </c>
      <c r="E3969" s="79" t="s">
        <v>2</v>
      </c>
      <c r="F3969" s="79" t="s">
        <v>417</v>
      </c>
      <c r="G3969" s="79" t="s">
        <v>418</v>
      </c>
    </row>
    <row r="3970" spans="1:7">
      <c r="A3970" s="8" t="s">
        <v>4</v>
      </c>
      <c r="B3970" s="1" t="s">
        <v>5</v>
      </c>
      <c r="C3970" s="8"/>
      <c r="D3970" s="9"/>
      <c r="E3970" s="19"/>
      <c r="F3970" s="2"/>
      <c r="G3970" s="2"/>
    </row>
    <row r="3971" spans="1:7">
      <c r="A3971" s="8">
        <v>1</v>
      </c>
      <c r="B3971" s="1" t="s">
        <v>6</v>
      </c>
      <c r="C3971" s="8" t="s">
        <v>7</v>
      </c>
      <c r="D3971" s="9" t="s">
        <v>8</v>
      </c>
      <c r="E3971" s="10" t="s">
        <v>92</v>
      </c>
      <c r="F3971" s="86">
        <f>VLOOKUP(B3971,'HSD UPAH,BAHAN,ALAT'!$C$6:F3717,4,FALSE)</f>
        <v>100000</v>
      </c>
      <c r="G3971" s="87">
        <f t="shared" ref="G3971:G3973" si="488">E3971*F3971</f>
        <v>5000</v>
      </c>
    </row>
    <row r="3972" spans="1:7">
      <c r="A3972" s="8">
        <v>2</v>
      </c>
      <c r="B3972" s="1" t="s">
        <v>10</v>
      </c>
      <c r="C3972" s="8" t="s">
        <v>11</v>
      </c>
      <c r="D3972" s="9" t="s">
        <v>8</v>
      </c>
      <c r="E3972" s="10" t="s">
        <v>93</v>
      </c>
      <c r="F3972" s="86">
        <f>VLOOKUP(B3972,'HSD UPAH,BAHAN,ALAT'!$C$6:F3718,4,FALSE)</f>
        <v>120000</v>
      </c>
      <c r="G3972" s="87">
        <f t="shared" si="488"/>
        <v>1200</v>
      </c>
    </row>
    <row r="3973" spans="1:7">
      <c r="A3973" s="8">
        <v>3</v>
      </c>
      <c r="B3973" s="1" t="s">
        <v>13</v>
      </c>
      <c r="C3973" s="8" t="s">
        <v>14</v>
      </c>
      <c r="D3973" s="9" t="s">
        <v>8</v>
      </c>
      <c r="E3973" s="10" t="s">
        <v>94</v>
      </c>
      <c r="F3973" s="86">
        <f>VLOOKUP(B3973,'HSD UPAH,BAHAN,ALAT'!$C$6:F3719,4,FALSE)</f>
        <v>100000</v>
      </c>
      <c r="G3973" s="87">
        <f t="shared" si="488"/>
        <v>330</v>
      </c>
    </row>
    <row r="3974" spans="1:7">
      <c r="A3974" s="261" t="s">
        <v>420</v>
      </c>
      <c r="B3974" s="261"/>
      <c r="C3974" s="261"/>
      <c r="D3974" s="261"/>
      <c r="E3974" s="261"/>
      <c r="F3974" s="261"/>
      <c r="G3974" s="85">
        <f>SUM(G3970:G3973)</f>
        <v>6530</v>
      </c>
    </row>
    <row r="3975" spans="1:7">
      <c r="A3975" s="8" t="s">
        <v>16</v>
      </c>
      <c r="B3975" s="1" t="s">
        <v>17</v>
      </c>
      <c r="C3975" s="8"/>
      <c r="D3975" s="9"/>
      <c r="E3975" s="19"/>
      <c r="F3975" s="2"/>
      <c r="G3975" s="2"/>
    </row>
    <row r="3976" spans="1:7" ht="30">
      <c r="A3976" s="17" t="s">
        <v>208</v>
      </c>
      <c r="B3976" s="5" t="s">
        <v>344</v>
      </c>
      <c r="C3976" s="17"/>
      <c r="D3976" s="12" t="s">
        <v>86</v>
      </c>
      <c r="E3976" s="7" t="s">
        <v>212</v>
      </c>
      <c r="F3976" s="86">
        <f>VLOOKUP(B3976,'HSD UPAH,BAHAN,ALAT'!$C$6:F3722,4,FALSE)</f>
        <v>10000</v>
      </c>
      <c r="G3976" s="87">
        <f t="shared" ref="G3976:G3977" si="489">E3976*F3976</f>
        <v>160000</v>
      </c>
    </row>
    <row r="3977" spans="1:7">
      <c r="A3977" s="8">
        <v>2</v>
      </c>
      <c r="B3977" s="1" t="s">
        <v>18</v>
      </c>
      <c r="C3977" s="8"/>
      <c r="D3977" s="9" t="s">
        <v>19</v>
      </c>
      <c r="E3977" s="10">
        <v>5.0000000000000001E-3</v>
      </c>
      <c r="F3977" s="86">
        <f>VLOOKUP(B3977,'HSD UPAH,BAHAN,ALAT'!$C$6:F3723,4,FALSE)</f>
        <v>10000</v>
      </c>
      <c r="G3977" s="87">
        <f t="shared" si="489"/>
        <v>50</v>
      </c>
    </row>
    <row r="3978" spans="1:7">
      <c r="A3978" s="8">
        <v>3</v>
      </c>
      <c r="B3978" s="1" t="s">
        <v>26</v>
      </c>
      <c r="C3978" s="8"/>
      <c r="D3978" s="9"/>
      <c r="E3978" s="19"/>
      <c r="F3978" s="2"/>
      <c r="G3978" s="2"/>
    </row>
    <row r="3979" spans="1:7">
      <c r="A3979" s="8" t="s">
        <v>22</v>
      </c>
      <c r="B3979" s="1" t="s">
        <v>27</v>
      </c>
      <c r="C3979" s="8"/>
      <c r="D3979" s="9" t="s">
        <v>28</v>
      </c>
      <c r="E3979" s="10" t="s">
        <v>97</v>
      </c>
      <c r="F3979" s="86">
        <f>VLOOKUP(B3979,'HSD UPAH,BAHAN,ALAT'!$C$6:F3725,4,FALSE)</f>
        <v>10000</v>
      </c>
      <c r="G3979" s="87">
        <f t="shared" ref="G3979:G3981" si="490">E3979*F3979</f>
        <v>110</v>
      </c>
    </row>
    <row r="3980" spans="1:7">
      <c r="A3980" s="8" t="s">
        <v>30</v>
      </c>
      <c r="B3980" s="1" t="s">
        <v>31</v>
      </c>
      <c r="C3980" s="8"/>
      <c r="D3980" s="9" t="s">
        <v>28</v>
      </c>
      <c r="E3980" s="10" t="s">
        <v>59</v>
      </c>
      <c r="F3980" s="86">
        <f>VLOOKUP(B3980,'HSD UPAH,BAHAN,ALAT'!$C$6:F3726,4,FALSE)</f>
        <v>10000</v>
      </c>
      <c r="G3980" s="87">
        <f t="shared" si="490"/>
        <v>30</v>
      </c>
    </row>
    <row r="3981" spans="1:7">
      <c r="A3981" s="8" t="s">
        <v>33</v>
      </c>
      <c r="B3981" s="1" t="s">
        <v>34</v>
      </c>
      <c r="C3981" s="8"/>
      <c r="D3981" s="9" t="s">
        <v>28</v>
      </c>
      <c r="E3981" s="10" t="s">
        <v>95</v>
      </c>
      <c r="F3981" s="86">
        <f>VLOOKUP(B3981,'HSD UPAH,BAHAN,ALAT'!$C$6:F3727,4,FALSE)</f>
        <v>10000</v>
      </c>
      <c r="G3981" s="87">
        <f t="shared" si="490"/>
        <v>10</v>
      </c>
    </row>
    <row r="3982" spans="1:7">
      <c r="A3982" s="261" t="s">
        <v>421</v>
      </c>
      <c r="B3982" s="261"/>
      <c r="C3982" s="261"/>
      <c r="D3982" s="261"/>
      <c r="E3982" s="261"/>
      <c r="F3982" s="261"/>
      <c r="G3982" s="85">
        <f>SUM(G3976:G3981)</f>
        <v>160200</v>
      </c>
    </row>
    <row r="3983" spans="1:7">
      <c r="A3983" s="8" t="s">
        <v>36</v>
      </c>
      <c r="B3983" s="1" t="s">
        <v>37</v>
      </c>
      <c r="C3983" s="8"/>
      <c r="D3983" s="9"/>
      <c r="E3983" s="19"/>
      <c r="F3983" s="2"/>
      <c r="G3983" s="2"/>
    </row>
    <row r="3984" spans="1:7">
      <c r="A3984" s="263" t="s">
        <v>419</v>
      </c>
      <c r="B3984" s="263"/>
      <c r="C3984" s="263"/>
      <c r="D3984" s="263"/>
      <c r="E3984" s="263"/>
      <c r="F3984" s="263"/>
      <c r="G3984" s="80">
        <f>SUM(G3983)</f>
        <v>0</v>
      </c>
    </row>
    <row r="3985" spans="1:7">
      <c r="A3985" s="81" t="s">
        <v>38</v>
      </c>
      <c r="B3985" s="262" t="s">
        <v>39</v>
      </c>
      <c r="C3985" s="262"/>
      <c r="D3985" s="262"/>
      <c r="E3985" s="262"/>
      <c r="F3985" s="262"/>
      <c r="G3985" s="80">
        <f>SUM(G3971:G3984)/2</f>
        <v>166730</v>
      </c>
    </row>
    <row r="3986" spans="1:7">
      <c r="A3986" s="81" t="s">
        <v>40</v>
      </c>
      <c r="B3986" s="262" t="s">
        <v>180</v>
      </c>
      <c r="C3986" s="262"/>
      <c r="D3986" s="262"/>
      <c r="E3986" s="262"/>
      <c r="F3986" s="82">
        <v>0.1</v>
      </c>
      <c r="G3986" s="80">
        <f>G3985*F3986</f>
        <v>16673</v>
      </c>
    </row>
    <row r="3987" spans="1:7">
      <c r="A3987" s="81" t="s">
        <v>41</v>
      </c>
      <c r="B3987" s="262" t="s">
        <v>42</v>
      </c>
      <c r="C3987" s="262"/>
      <c r="D3987" s="262"/>
      <c r="E3987" s="262"/>
      <c r="F3987" s="262"/>
      <c r="G3987" s="80">
        <f>G3985+G3986</f>
        <v>183403</v>
      </c>
    </row>
    <row r="3988" spans="1:7">
      <c r="A3988" s="90"/>
      <c r="B3988" s="91"/>
      <c r="C3988" s="91"/>
      <c r="D3988" s="91"/>
      <c r="E3988" s="91"/>
      <c r="F3988" s="91"/>
      <c r="G3988" s="92"/>
    </row>
    <row r="3989" spans="1:7">
      <c r="A3989" s="4" t="s">
        <v>606</v>
      </c>
      <c r="B3989" s="91"/>
      <c r="C3989" s="91"/>
      <c r="D3989" s="91"/>
      <c r="E3989" s="91"/>
      <c r="F3989" s="91"/>
      <c r="G3989" s="92"/>
    </row>
    <row r="3990" spans="1:7" ht="30">
      <c r="A3990" s="79" t="s">
        <v>0</v>
      </c>
      <c r="B3990" s="79" t="s">
        <v>1</v>
      </c>
      <c r="C3990" s="79" t="s">
        <v>207</v>
      </c>
      <c r="D3990" s="79" t="s">
        <v>3</v>
      </c>
      <c r="E3990" s="79" t="s">
        <v>2</v>
      </c>
      <c r="F3990" s="79" t="s">
        <v>417</v>
      </c>
      <c r="G3990" s="79" t="s">
        <v>418</v>
      </c>
    </row>
    <row r="3991" spans="1:7">
      <c r="A3991" s="8" t="s">
        <v>4</v>
      </c>
      <c r="B3991" s="1" t="s">
        <v>5</v>
      </c>
      <c r="C3991" s="8"/>
      <c r="D3991" s="9"/>
      <c r="E3991" s="19"/>
      <c r="F3991" s="2"/>
      <c r="G3991" s="2"/>
    </row>
    <row r="3992" spans="1:7">
      <c r="A3992" s="8">
        <v>1</v>
      </c>
      <c r="B3992" s="1" t="s">
        <v>6</v>
      </c>
      <c r="C3992" s="8" t="s">
        <v>7</v>
      </c>
      <c r="D3992" s="9" t="s">
        <v>8</v>
      </c>
      <c r="E3992" s="10" t="s">
        <v>92</v>
      </c>
      <c r="F3992" s="86">
        <f>VLOOKUP(B3992,'HSD UPAH,BAHAN,ALAT'!$C$6:F3736,4,FALSE)</f>
        <v>100000</v>
      </c>
      <c r="G3992" s="87">
        <f t="shared" ref="G3992:G3994" si="491">E3992*F3992</f>
        <v>5000</v>
      </c>
    </row>
    <row r="3993" spans="1:7">
      <c r="A3993" s="8">
        <v>2</v>
      </c>
      <c r="B3993" s="1" t="s">
        <v>10</v>
      </c>
      <c r="C3993" s="8" t="s">
        <v>11</v>
      </c>
      <c r="D3993" s="9" t="s">
        <v>8</v>
      </c>
      <c r="E3993" s="10" t="s">
        <v>93</v>
      </c>
      <c r="F3993" s="86">
        <f>VLOOKUP(B3993,'HSD UPAH,BAHAN,ALAT'!$C$6:F3737,4,FALSE)</f>
        <v>120000</v>
      </c>
      <c r="G3993" s="87">
        <f t="shared" si="491"/>
        <v>1200</v>
      </c>
    </row>
    <row r="3994" spans="1:7">
      <c r="A3994" s="8">
        <v>3</v>
      </c>
      <c r="B3994" s="1" t="s">
        <v>13</v>
      </c>
      <c r="C3994" s="8" t="s">
        <v>14</v>
      </c>
      <c r="D3994" s="9" t="s">
        <v>8</v>
      </c>
      <c r="E3994" s="10" t="s">
        <v>94</v>
      </c>
      <c r="F3994" s="86">
        <f>VLOOKUP(B3994,'HSD UPAH,BAHAN,ALAT'!$C$6:F3738,4,FALSE)</f>
        <v>100000</v>
      </c>
      <c r="G3994" s="87">
        <f t="shared" si="491"/>
        <v>330</v>
      </c>
    </row>
    <row r="3995" spans="1:7">
      <c r="A3995" s="261" t="s">
        <v>420</v>
      </c>
      <c r="B3995" s="261"/>
      <c r="C3995" s="261"/>
      <c r="D3995" s="261"/>
      <c r="E3995" s="261"/>
      <c r="F3995" s="261"/>
      <c r="G3995" s="85">
        <f>SUM(G3991:G3994)</f>
        <v>6530</v>
      </c>
    </row>
    <row r="3996" spans="1:7">
      <c r="A3996" s="8" t="s">
        <v>16</v>
      </c>
      <c r="B3996" s="1" t="s">
        <v>17</v>
      </c>
      <c r="C3996" s="8"/>
      <c r="D3996" s="9"/>
      <c r="E3996" s="19"/>
      <c r="F3996" s="2"/>
      <c r="G3996" s="2"/>
    </row>
    <row r="3997" spans="1:7" ht="30">
      <c r="A3997" s="17" t="s">
        <v>208</v>
      </c>
      <c r="B3997" s="5" t="s">
        <v>345</v>
      </c>
      <c r="C3997" s="17"/>
      <c r="D3997" s="12" t="s">
        <v>86</v>
      </c>
      <c r="E3997" s="7" t="s">
        <v>212</v>
      </c>
      <c r="F3997" s="86">
        <f>VLOOKUP(B3997,'HSD UPAH,BAHAN,ALAT'!$C$6:F3741,4,FALSE)</f>
        <v>10000</v>
      </c>
      <c r="G3997" s="87">
        <f t="shared" ref="G3997:G3998" si="492">E3997*F3997</f>
        <v>160000</v>
      </c>
    </row>
    <row r="3998" spans="1:7">
      <c r="A3998" s="8">
        <v>2</v>
      </c>
      <c r="B3998" s="1" t="s">
        <v>18</v>
      </c>
      <c r="C3998" s="8"/>
      <c r="D3998" s="9" t="s">
        <v>19</v>
      </c>
      <c r="E3998" s="10">
        <v>5.0000000000000001E-3</v>
      </c>
      <c r="F3998" s="86">
        <f>VLOOKUP(B3998,'HSD UPAH,BAHAN,ALAT'!$C$6:F3742,4,FALSE)</f>
        <v>10000</v>
      </c>
      <c r="G3998" s="87">
        <f t="shared" si="492"/>
        <v>50</v>
      </c>
    </row>
    <row r="3999" spans="1:7">
      <c r="A3999" s="8">
        <v>3</v>
      </c>
      <c r="B3999" s="1" t="s">
        <v>26</v>
      </c>
      <c r="C3999" s="8"/>
      <c r="D3999" s="9"/>
      <c r="E3999" s="19"/>
      <c r="F3999" s="2"/>
      <c r="G3999" s="2"/>
    </row>
    <row r="4000" spans="1:7">
      <c r="A4000" s="8" t="s">
        <v>22</v>
      </c>
      <c r="B4000" s="1" t="s">
        <v>27</v>
      </c>
      <c r="C4000" s="8"/>
      <c r="D4000" s="9" t="s">
        <v>28</v>
      </c>
      <c r="E4000" s="10" t="s">
        <v>97</v>
      </c>
      <c r="F4000" s="86">
        <f>VLOOKUP(B4000,'HSD UPAH,BAHAN,ALAT'!$C$6:F3744,4,FALSE)</f>
        <v>10000</v>
      </c>
      <c r="G4000" s="87">
        <f t="shared" ref="G4000:G4002" si="493">E4000*F4000</f>
        <v>110</v>
      </c>
    </row>
    <row r="4001" spans="1:7">
      <c r="A4001" s="8" t="s">
        <v>30</v>
      </c>
      <c r="B4001" s="1" t="s">
        <v>31</v>
      </c>
      <c r="C4001" s="8"/>
      <c r="D4001" s="9" t="s">
        <v>28</v>
      </c>
      <c r="E4001" s="10" t="s">
        <v>59</v>
      </c>
      <c r="F4001" s="86">
        <f>VLOOKUP(B4001,'HSD UPAH,BAHAN,ALAT'!$C$6:F3745,4,FALSE)</f>
        <v>10000</v>
      </c>
      <c r="G4001" s="87">
        <f t="shared" si="493"/>
        <v>30</v>
      </c>
    </row>
    <row r="4002" spans="1:7">
      <c r="A4002" s="8" t="s">
        <v>33</v>
      </c>
      <c r="B4002" s="1" t="s">
        <v>34</v>
      </c>
      <c r="C4002" s="8"/>
      <c r="D4002" s="9" t="s">
        <v>28</v>
      </c>
      <c r="E4002" s="10" t="s">
        <v>95</v>
      </c>
      <c r="F4002" s="86">
        <f>VLOOKUP(B4002,'HSD UPAH,BAHAN,ALAT'!$C$6:F3746,4,FALSE)</f>
        <v>10000</v>
      </c>
      <c r="G4002" s="87">
        <f t="shared" si="493"/>
        <v>10</v>
      </c>
    </row>
    <row r="4003" spans="1:7">
      <c r="A4003" s="261" t="s">
        <v>421</v>
      </c>
      <c r="B4003" s="261"/>
      <c r="C4003" s="261"/>
      <c r="D4003" s="261"/>
      <c r="E4003" s="261"/>
      <c r="F4003" s="261"/>
      <c r="G4003" s="85">
        <f>SUM(G3997:G4002)</f>
        <v>160200</v>
      </c>
    </row>
    <row r="4004" spans="1:7">
      <c r="A4004" s="8" t="s">
        <v>36</v>
      </c>
      <c r="B4004" s="1" t="s">
        <v>37</v>
      </c>
      <c r="C4004" s="8"/>
      <c r="D4004" s="9"/>
      <c r="E4004" s="19"/>
      <c r="F4004" s="2"/>
      <c r="G4004" s="2"/>
    </row>
    <row r="4005" spans="1:7">
      <c r="A4005" s="263" t="s">
        <v>419</v>
      </c>
      <c r="B4005" s="263"/>
      <c r="C4005" s="263"/>
      <c r="D4005" s="263"/>
      <c r="E4005" s="263"/>
      <c r="F4005" s="263"/>
      <c r="G4005" s="80">
        <f>SUM(G4004)</f>
        <v>0</v>
      </c>
    </row>
    <row r="4006" spans="1:7">
      <c r="A4006" s="81" t="s">
        <v>38</v>
      </c>
      <c r="B4006" s="262" t="s">
        <v>39</v>
      </c>
      <c r="C4006" s="262"/>
      <c r="D4006" s="262"/>
      <c r="E4006" s="262"/>
      <c r="F4006" s="262"/>
      <c r="G4006" s="80">
        <f>SUM(G3992:G4005)/2</f>
        <v>166730</v>
      </c>
    </row>
    <row r="4007" spans="1:7">
      <c r="A4007" s="81" t="s">
        <v>40</v>
      </c>
      <c r="B4007" s="262" t="s">
        <v>180</v>
      </c>
      <c r="C4007" s="262"/>
      <c r="D4007" s="262"/>
      <c r="E4007" s="262"/>
      <c r="F4007" s="82">
        <v>0.1</v>
      </c>
      <c r="G4007" s="80">
        <f>G4006*F4007</f>
        <v>16673</v>
      </c>
    </row>
    <row r="4008" spans="1:7">
      <c r="A4008" s="81" t="s">
        <v>41</v>
      </c>
      <c r="B4008" s="262" t="s">
        <v>42</v>
      </c>
      <c r="C4008" s="262"/>
      <c r="D4008" s="262"/>
      <c r="E4008" s="262"/>
      <c r="F4008" s="262"/>
      <c r="G4008" s="80">
        <f>G4006+G4007</f>
        <v>183403</v>
      </c>
    </row>
    <row r="4009" spans="1:7">
      <c r="A4009" s="90"/>
      <c r="B4009" s="91"/>
      <c r="C4009" s="91"/>
      <c r="D4009" s="91"/>
      <c r="E4009" s="91"/>
      <c r="F4009" s="91"/>
      <c r="G4009" s="92"/>
    </row>
    <row r="4010" spans="1:7">
      <c r="A4010" s="4" t="s">
        <v>607</v>
      </c>
      <c r="B4010" s="91"/>
      <c r="C4010" s="91"/>
      <c r="D4010" s="91"/>
      <c r="E4010" s="91"/>
      <c r="F4010" s="91"/>
      <c r="G4010" s="92"/>
    </row>
    <row r="4011" spans="1:7" ht="30">
      <c r="A4011" s="79" t="s">
        <v>0</v>
      </c>
      <c r="B4011" s="79" t="s">
        <v>1</v>
      </c>
      <c r="C4011" s="79" t="s">
        <v>207</v>
      </c>
      <c r="D4011" s="79" t="s">
        <v>3</v>
      </c>
      <c r="E4011" s="79" t="s">
        <v>2</v>
      </c>
      <c r="F4011" s="79" t="s">
        <v>417</v>
      </c>
      <c r="G4011" s="79" t="s">
        <v>418</v>
      </c>
    </row>
    <row r="4012" spans="1:7">
      <c r="A4012" s="8" t="s">
        <v>4</v>
      </c>
      <c r="B4012" s="1" t="s">
        <v>5</v>
      </c>
      <c r="C4012" s="8"/>
      <c r="D4012" s="9"/>
      <c r="E4012" s="19"/>
      <c r="F4012" s="2"/>
      <c r="G4012" s="2"/>
    </row>
    <row r="4013" spans="1:7">
      <c r="A4013" s="8">
        <v>1</v>
      </c>
      <c r="B4013" s="1" t="s">
        <v>6</v>
      </c>
      <c r="C4013" s="8" t="s">
        <v>7</v>
      </c>
      <c r="D4013" s="9" t="s">
        <v>8</v>
      </c>
      <c r="E4013" s="10" t="s">
        <v>92</v>
      </c>
      <c r="F4013" s="86">
        <f>VLOOKUP(B4013,'HSD UPAH,BAHAN,ALAT'!$C$6:F3755,4,FALSE)</f>
        <v>100000</v>
      </c>
      <c r="G4013" s="87">
        <f t="shared" ref="G4013:G4015" si="494">E4013*F4013</f>
        <v>5000</v>
      </c>
    </row>
    <row r="4014" spans="1:7">
      <c r="A4014" s="8">
        <v>2</v>
      </c>
      <c r="B4014" s="1" t="s">
        <v>10</v>
      </c>
      <c r="C4014" s="8" t="s">
        <v>11</v>
      </c>
      <c r="D4014" s="9" t="s">
        <v>8</v>
      </c>
      <c r="E4014" s="10" t="s">
        <v>93</v>
      </c>
      <c r="F4014" s="86">
        <f>VLOOKUP(B4014,'HSD UPAH,BAHAN,ALAT'!$C$6:F3756,4,FALSE)</f>
        <v>120000</v>
      </c>
      <c r="G4014" s="87">
        <f t="shared" si="494"/>
        <v>1200</v>
      </c>
    </row>
    <row r="4015" spans="1:7">
      <c r="A4015" s="8">
        <v>3</v>
      </c>
      <c r="B4015" s="1" t="s">
        <v>13</v>
      </c>
      <c r="C4015" s="8" t="s">
        <v>14</v>
      </c>
      <c r="D4015" s="9" t="s">
        <v>8</v>
      </c>
      <c r="E4015" s="10" t="s">
        <v>94</v>
      </c>
      <c r="F4015" s="86">
        <f>VLOOKUP(B4015,'HSD UPAH,BAHAN,ALAT'!$C$6:F3757,4,FALSE)</f>
        <v>100000</v>
      </c>
      <c r="G4015" s="87">
        <f t="shared" si="494"/>
        <v>330</v>
      </c>
    </row>
    <row r="4016" spans="1:7">
      <c r="A4016" s="261" t="s">
        <v>420</v>
      </c>
      <c r="B4016" s="261"/>
      <c r="C4016" s="261"/>
      <c r="D4016" s="261"/>
      <c r="E4016" s="261"/>
      <c r="F4016" s="261"/>
      <c r="G4016" s="85">
        <f>SUM(G4012:G4015)</f>
        <v>6530</v>
      </c>
    </row>
    <row r="4017" spans="1:7">
      <c r="A4017" s="8" t="s">
        <v>16</v>
      </c>
      <c r="B4017" s="1" t="s">
        <v>17</v>
      </c>
      <c r="C4017" s="8"/>
      <c r="D4017" s="9"/>
      <c r="E4017" s="19"/>
      <c r="F4017" s="2"/>
      <c r="G4017" s="2"/>
    </row>
    <row r="4018" spans="1:7" ht="30">
      <c r="A4018" s="17" t="s">
        <v>208</v>
      </c>
      <c r="B4018" s="5" t="s">
        <v>346</v>
      </c>
      <c r="C4018" s="17"/>
      <c r="D4018" s="12" t="s">
        <v>86</v>
      </c>
      <c r="E4018" s="7" t="s">
        <v>212</v>
      </c>
      <c r="F4018" s="86">
        <f>VLOOKUP(B4018,'HSD UPAH,BAHAN,ALAT'!$C$6:F3760,4,FALSE)</f>
        <v>10000</v>
      </c>
      <c r="G4018" s="87">
        <f t="shared" ref="G4018:G4019" si="495">E4018*F4018</f>
        <v>160000</v>
      </c>
    </row>
    <row r="4019" spans="1:7">
      <c r="A4019" s="8">
        <v>2</v>
      </c>
      <c r="B4019" s="1" t="s">
        <v>18</v>
      </c>
      <c r="C4019" s="8"/>
      <c r="D4019" s="9" t="s">
        <v>19</v>
      </c>
      <c r="E4019" s="10">
        <v>5.0000000000000001E-3</v>
      </c>
      <c r="F4019" s="86">
        <f>VLOOKUP(B4019,'HSD UPAH,BAHAN,ALAT'!$C$6:F3761,4,FALSE)</f>
        <v>10000</v>
      </c>
      <c r="G4019" s="87">
        <f t="shared" si="495"/>
        <v>50</v>
      </c>
    </row>
    <row r="4020" spans="1:7">
      <c r="A4020" s="8">
        <v>3</v>
      </c>
      <c r="B4020" s="1" t="s">
        <v>26</v>
      </c>
      <c r="C4020" s="8"/>
      <c r="D4020" s="9"/>
      <c r="E4020" s="19"/>
      <c r="F4020" s="2"/>
      <c r="G4020" s="2"/>
    </row>
    <row r="4021" spans="1:7">
      <c r="A4021" s="8" t="s">
        <v>22</v>
      </c>
      <c r="B4021" s="1" t="s">
        <v>27</v>
      </c>
      <c r="C4021" s="8"/>
      <c r="D4021" s="9" t="s">
        <v>28</v>
      </c>
      <c r="E4021" s="10" t="s">
        <v>97</v>
      </c>
      <c r="F4021" s="86">
        <f>VLOOKUP(B4021,'HSD UPAH,BAHAN,ALAT'!$C$6:F3763,4,FALSE)</f>
        <v>10000</v>
      </c>
      <c r="G4021" s="87">
        <f t="shared" ref="G4021:G4023" si="496">E4021*F4021</f>
        <v>110</v>
      </c>
    </row>
    <row r="4022" spans="1:7">
      <c r="A4022" s="8" t="s">
        <v>30</v>
      </c>
      <c r="B4022" s="1" t="s">
        <v>31</v>
      </c>
      <c r="C4022" s="8"/>
      <c r="D4022" s="9" t="s">
        <v>28</v>
      </c>
      <c r="E4022" s="10" t="s">
        <v>59</v>
      </c>
      <c r="F4022" s="86">
        <f>VLOOKUP(B4022,'HSD UPAH,BAHAN,ALAT'!$C$6:F3764,4,FALSE)</f>
        <v>10000</v>
      </c>
      <c r="G4022" s="87">
        <f t="shared" si="496"/>
        <v>30</v>
      </c>
    </row>
    <row r="4023" spans="1:7">
      <c r="A4023" s="8" t="s">
        <v>33</v>
      </c>
      <c r="B4023" s="1" t="s">
        <v>34</v>
      </c>
      <c r="C4023" s="8"/>
      <c r="D4023" s="9" t="s">
        <v>28</v>
      </c>
      <c r="E4023" s="10" t="s">
        <v>95</v>
      </c>
      <c r="F4023" s="86">
        <f>VLOOKUP(B4023,'HSD UPAH,BAHAN,ALAT'!$C$6:F3765,4,FALSE)</f>
        <v>10000</v>
      </c>
      <c r="G4023" s="87">
        <f t="shared" si="496"/>
        <v>10</v>
      </c>
    </row>
    <row r="4024" spans="1:7">
      <c r="A4024" s="261" t="s">
        <v>421</v>
      </c>
      <c r="B4024" s="261"/>
      <c r="C4024" s="261"/>
      <c r="D4024" s="261"/>
      <c r="E4024" s="261"/>
      <c r="F4024" s="261"/>
      <c r="G4024" s="85">
        <f>SUM(G4018:G4023)</f>
        <v>160200</v>
      </c>
    </row>
    <row r="4025" spans="1:7">
      <c r="A4025" s="8" t="s">
        <v>36</v>
      </c>
      <c r="B4025" s="1" t="s">
        <v>37</v>
      </c>
      <c r="C4025" s="8"/>
      <c r="D4025" s="9"/>
      <c r="E4025" s="19"/>
      <c r="F4025" s="2"/>
      <c r="G4025" s="2"/>
    </row>
    <row r="4026" spans="1:7">
      <c r="A4026" s="263" t="s">
        <v>419</v>
      </c>
      <c r="B4026" s="263"/>
      <c r="C4026" s="263"/>
      <c r="D4026" s="263"/>
      <c r="E4026" s="263"/>
      <c r="F4026" s="263"/>
      <c r="G4026" s="80">
        <f>SUM(G4025)</f>
        <v>0</v>
      </c>
    </row>
    <row r="4027" spans="1:7">
      <c r="A4027" s="81" t="s">
        <v>38</v>
      </c>
      <c r="B4027" s="262" t="s">
        <v>39</v>
      </c>
      <c r="C4027" s="262"/>
      <c r="D4027" s="262"/>
      <c r="E4027" s="262"/>
      <c r="F4027" s="262"/>
      <c r="G4027" s="80">
        <f>SUM(G4013:G4026)/2</f>
        <v>166730</v>
      </c>
    </row>
    <row r="4028" spans="1:7">
      <c r="A4028" s="81" t="s">
        <v>40</v>
      </c>
      <c r="B4028" s="262" t="s">
        <v>180</v>
      </c>
      <c r="C4028" s="262"/>
      <c r="D4028" s="262"/>
      <c r="E4028" s="262"/>
      <c r="F4028" s="82">
        <v>0.1</v>
      </c>
      <c r="G4028" s="80">
        <f>G4027*F4028</f>
        <v>16673</v>
      </c>
    </row>
    <row r="4029" spans="1:7">
      <c r="A4029" s="81" t="s">
        <v>41</v>
      </c>
      <c r="B4029" s="262" t="s">
        <v>42</v>
      </c>
      <c r="C4029" s="262"/>
      <c r="D4029" s="262"/>
      <c r="E4029" s="262"/>
      <c r="F4029" s="262"/>
      <c r="G4029" s="80">
        <f>G4027+G4028</f>
        <v>183403</v>
      </c>
    </row>
    <row r="4030" spans="1:7">
      <c r="A4030" s="90"/>
      <c r="B4030" s="91"/>
      <c r="C4030" s="91"/>
      <c r="D4030" s="91"/>
      <c r="E4030" s="91"/>
      <c r="F4030" s="91"/>
      <c r="G4030" s="92"/>
    </row>
    <row r="4031" spans="1:7">
      <c r="A4031" s="4" t="s">
        <v>608</v>
      </c>
      <c r="B4031" s="91"/>
      <c r="C4031" s="91"/>
      <c r="D4031" s="91"/>
      <c r="E4031" s="91"/>
      <c r="F4031" s="91"/>
      <c r="G4031" s="92"/>
    </row>
    <row r="4032" spans="1:7" ht="30">
      <c r="A4032" s="79" t="s">
        <v>0</v>
      </c>
      <c r="B4032" s="79" t="s">
        <v>1</v>
      </c>
      <c r="C4032" s="79" t="s">
        <v>207</v>
      </c>
      <c r="D4032" s="79" t="s">
        <v>3</v>
      </c>
      <c r="E4032" s="79" t="s">
        <v>2</v>
      </c>
      <c r="F4032" s="79" t="s">
        <v>417</v>
      </c>
      <c r="G4032" s="79" t="s">
        <v>418</v>
      </c>
    </row>
    <row r="4033" spans="1:7">
      <c r="A4033" s="8" t="s">
        <v>4</v>
      </c>
      <c r="B4033" s="1" t="s">
        <v>5</v>
      </c>
      <c r="C4033" s="8"/>
      <c r="D4033" s="9"/>
      <c r="E4033" s="19"/>
      <c r="F4033" s="2"/>
      <c r="G4033" s="2"/>
    </row>
    <row r="4034" spans="1:7">
      <c r="A4034" s="8">
        <v>1</v>
      </c>
      <c r="B4034" s="1" t="s">
        <v>6</v>
      </c>
      <c r="C4034" s="8" t="s">
        <v>7</v>
      </c>
      <c r="D4034" s="9" t="s">
        <v>8</v>
      </c>
      <c r="E4034" s="10" t="s">
        <v>92</v>
      </c>
      <c r="F4034" s="86">
        <f>VLOOKUP(B4034,'HSD UPAH,BAHAN,ALAT'!$C$6:F3774,4,FALSE)</f>
        <v>100000</v>
      </c>
      <c r="G4034" s="87">
        <f t="shared" ref="G4034:G4036" si="497">E4034*F4034</f>
        <v>5000</v>
      </c>
    </row>
    <row r="4035" spans="1:7">
      <c r="A4035" s="8">
        <v>2</v>
      </c>
      <c r="B4035" s="1" t="s">
        <v>10</v>
      </c>
      <c r="C4035" s="8" t="s">
        <v>11</v>
      </c>
      <c r="D4035" s="9" t="s">
        <v>8</v>
      </c>
      <c r="E4035" s="10" t="s">
        <v>93</v>
      </c>
      <c r="F4035" s="86">
        <f>VLOOKUP(B4035,'HSD UPAH,BAHAN,ALAT'!$C$6:F3775,4,FALSE)</f>
        <v>120000</v>
      </c>
      <c r="G4035" s="87">
        <f t="shared" si="497"/>
        <v>1200</v>
      </c>
    </row>
    <row r="4036" spans="1:7">
      <c r="A4036" s="8">
        <v>3</v>
      </c>
      <c r="B4036" s="1" t="s">
        <v>13</v>
      </c>
      <c r="C4036" s="8" t="s">
        <v>14</v>
      </c>
      <c r="D4036" s="9" t="s">
        <v>8</v>
      </c>
      <c r="E4036" s="10" t="s">
        <v>94</v>
      </c>
      <c r="F4036" s="86">
        <f>VLOOKUP(B4036,'HSD UPAH,BAHAN,ALAT'!$C$6:F3776,4,FALSE)</f>
        <v>100000</v>
      </c>
      <c r="G4036" s="87">
        <f t="shared" si="497"/>
        <v>330</v>
      </c>
    </row>
    <row r="4037" spans="1:7">
      <c r="A4037" s="261" t="s">
        <v>420</v>
      </c>
      <c r="B4037" s="261"/>
      <c r="C4037" s="261"/>
      <c r="D4037" s="261"/>
      <c r="E4037" s="261"/>
      <c r="F4037" s="261"/>
      <c r="G4037" s="85">
        <f>SUM(G4033:G4036)</f>
        <v>6530</v>
      </c>
    </row>
    <row r="4038" spans="1:7">
      <c r="A4038" s="8" t="s">
        <v>16</v>
      </c>
      <c r="B4038" s="1" t="s">
        <v>17</v>
      </c>
      <c r="C4038" s="8"/>
      <c r="D4038" s="9"/>
      <c r="E4038" s="19"/>
      <c r="F4038" s="2"/>
      <c r="G4038" s="2"/>
    </row>
    <row r="4039" spans="1:7" ht="45">
      <c r="A4039" s="17" t="s">
        <v>208</v>
      </c>
      <c r="B4039" s="5" t="s">
        <v>347</v>
      </c>
      <c r="C4039" s="17"/>
      <c r="D4039" s="12" t="s">
        <v>86</v>
      </c>
      <c r="E4039" s="7" t="s">
        <v>212</v>
      </c>
      <c r="F4039" s="86">
        <f>VLOOKUP(B4039,'HSD UPAH,BAHAN,ALAT'!$C$6:F3779,4,FALSE)</f>
        <v>10000</v>
      </c>
      <c r="G4039" s="87">
        <f t="shared" ref="G4039:G4040" si="498">E4039*F4039</f>
        <v>160000</v>
      </c>
    </row>
    <row r="4040" spans="1:7">
      <c r="A4040" s="8">
        <v>2</v>
      </c>
      <c r="B4040" s="1" t="s">
        <v>18</v>
      </c>
      <c r="C4040" s="8"/>
      <c r="D4040" s="9" t="s">
        <v>19</v>
      </c>
      <c r="E4040" s="10">
        <v>5.0000000000000001E-3</v>
      </c>
      <c r="F4040" s="86">
        <f>VLOOKUP(B4040,'HSD UPAH,BAHAN,ALAT'!$C$6:F3780,4,FALSE)</f>
        <v>10000</v>
      </c>
      <c r="G4040" s="87">
        <f t="shared" si="498"/>
        <v>50</v>
      </c>
    </row>
    <row r="4041" spans="1:7">
      <c r="A4041" s="8">
        <v>3</v>
      </c>
      <c r="B4041" s="1" t="s">
        <v>26</v>
      </c>
      <c r="C4041" s="8"/>
      <c r="D4041" s="9"/>
      <c r="E4041" s="19"/>
      <c r="F4041" s="2"/>
      <c r="G4041" s="2"/>
    </row>
    <row r="4042" spans="1:7">
      <c r="A4042" s="8" t="s">
        <v>22</v>
      </c>
      <c r="B4042" s="1" t="s">
        <v>27</v>
      </c>
      <c r="C4042" s="8"/>
      <c r="D4042" s="9" t="s">
        <v>28</v>
      </c>
      <c r="E4042" s="10" t="s">
        <v>97</v>
      </c>
      <c r="F4042" s="86">
        <f>VLOOKUP(B4042,'HSD UPAH,BAHAN,ALAT'!$C$6:F3782,4,FALSE)</f>
        <v>10000</v>
      </c>
      <c r="G4042" s="87">
        <f t="shared" ref="G4042:G4044" si="499">E4042*F4042</f>
        <v>110</v>
      </c>
    </row>
    <row r="4043" spans="1:7">
      <c r="A4043" s="8" t="s">
        <v>30</v>
      </c>
      <c r="B4043" s="1" t="s">
        <v>31</v>
      </c>
      <c r="C4043" s="8"/>
      <c r="D4043" s="9" t="s">
        <v>28</v>
      </c>
      <c r="E4043" s="10" t="s">
        <v>59</v>
      </c>
      <c r="F4043" s="86">
        <f>VLOOKUP(B4043,'HSD UPAH,BAHAN,ALAT'!$C$6:F3783,4,FALSE)</f>
        <v>10000</v>
      </c>
      <c r="G4043" s="87">
        <f t="shared" si="499"/>
        <v>30</v>
      </c>
    </row>
    <row r="4044" spans="1:7">
      <c r="A4044" s="8" t="s">
        <v>33</v>
      </c>
      <c r="B4044" s="1" t="s">
        <v>34</v>
      </c>
      <c r="C4044" s="8"/>
      <c r="D4044" s="9" t="s">
        <v>28</v>
      </c>
      <c r="E4044" s="10" t="s">
        <v>95</v>
      </c>
      <c r="F4044" s="86">
        <f>VLOOKUP(B4044,'HSD UPAH,BAHAN,ALAT'!$C$6:F3784,4,FALSE)</f>
        <v>10000</v>
      </c>
      <c r="G4044" s="87">
        <f t="shared" si="499"/>
        <v>10</v>
      </c>
    </row>
    <row r="4045" spans="1:7">
      <c r="A4045" s="261" t="s">
        <v>421</v>
      </c>
      <c r="B4045" s="261"/>
      <c r="C4045" s="261"/>
      <c r="D4045" s="261"/>
      <c r="E4045" s="261"/>
      <c r="F4045" s="261"/>
      <c r="G4045" s="85">
        <f>SUM(G4039:G4044)</f>
        <v>160200</v>
      </c>
    </row>
    <row r="4046" spans="1:7">
      <c r="A4046" s="8" t="s">
        <v>36</v>
      </c>
      <c r="B4046" s="1" t="s">
        <v>37</v>
      </c>
      <c r="C4046" s="8"/>
      <c r="D4046" s="9"/>
      <c r="E4046" s="19"/>
      <c r="F4046" s="2"/>
      <c r="G4046" s="2"/>
    </row>
    <row r="4047" spans="1:7">
      <c r="A4047" s="263" t="s">
        <v>419</v>
      </c>
      <c r="B4047" s="263"/>
      <c r="C4047" s="263"/>
      <c r="D4047" s="263"/>
      <c r="E4047" s="263"/>
      <c r="F4047" s="263"/>
      <c r="G4047" s="80">
        <f>SUM(G4046)</f>
        <v>0</v>
      </c>
    </row>
    <row r="4048" spans="1:7">
      <c r="A4048" s="81" t="s">
        <v>38</v>
      </c>
      <c r="B4048" s="262" t="s">
        <v>39</v>
      </c>
      <c r="C4048" s="262"/>
      <c r="D4048" s="262"/>
      <c r="E4048" s="262"/>
      <c r="F4048" s="262"/>
      <c r="G4048" s="80">
        <f>SUM(G4034:G4047)/2</f>
        <v>166730</v>
      </c>
    </row>
    <row r="4049" spans="1:7">
      <c r="A4049" s="81" t="s">
        <v>40</v>
      </c>
      <c r="B4049" s="262" t="s">
        <v>180</v>
      </c>
      <c r="C4049" s="262"/>
      <c r="D4049" s="262"/>
      <c r="E4049" s="262"/>
      <c r="F4049" s="82">
        <v>0.1</v>
      </c>
      <c r="G4049" s="80">
        <f>G4048*F4049</f>
        <v>16673</v>
      </c>
    </row>
    <row r="4050" spans="1:7">
      <c r="A4050" s="81" t="s">
        <v>41</v>
      </c>
      <c r="B4050" s="262" t="s">
        <v>42</v>
      </c>
      <c r="C4050" s="262"/>
      <c r="D4050" s="262"/>
      <c r="E4050" s="262"/>
      <c r="F4050" s="262"/>
      <c r="G4050" s="80">
        <f>G4048+G4049</f>
        <v>183403</v>
      </c>
    </row>
    <row r="4051" spans="1:7">
      <c r="A4051" s="90"/>
      <c r="B4051" s="91"/>
      <c r="C4051" s="91"/>
      <c r="D4051" s="91"/>
      <c r="E4051" s="91"/>
      <c r="F4051" s="91"/>
      <c r="G4051" s="92"/>
    </row>
    <row r="4052" spans="1:7">
      <c r="A4052" s="4" t="s">
        <v>609</v>
      </c>
      <c r="B4052" s="91"/>
      <c r="C4052" s="91"/>
      <c r="D4052" s="91"/>
      <c r="E4052" s="91"/>
      <c r="F4052" s="91"/>
      <c r="G4052" s="92"/>
    </row>
    <row r="4053" spans="1:7" ht="30">
      <c r="A4053" s="79" t="s">
        <v>0</v>
      </c>
      <c r="B4053" s="79" t="s">
        <v>1</v>
      </c>
      <c r="C4053" s="79" t="s">
        <v>207</v>
      </c>
      <c r="D4053" s="79" t="s">
        <v>3</v>
      </c>
      <c r="E4053" s="79" t="s">
        <v>2</v>
      </c>
      <c r="F4053" s="79" t="s">
        <v>417</v>
      </c>
      <c r="G4053" s="79" t="s">
        <v>418</v>
      </c>
    </row>
    <row r="4054" spans="1:7">
      <c r="A4054" s="8" t="s">
        <v>4</v>
      </c>
      <c r="B4054" s="1" t="s">
        <v>5</v>
      </c>
      <c r="C4054" s="8"/>
      <c r="D4054" s="9"/>
      <c r="E4054" s="19"/>
      <c r="F4054" s="2"/>
      <c r="G4054" s="2"/>
    </row>
    <row r="4055" spans="1:7">
      <c r="A4055" s="8">
        <v>1</v>
      </c>
      <c r="B4055" s="1" t="s">
        <v>6</v>
      </c>
      <c r="C4055" s="8" t="s">
        <v>7</v>
      </c>
      <c r="D4055" s="9" t="s">
        <v>8</v>
      </c>
      <c r="E4055" s="10" t="s">
        <v>92</v>
      </c>
      <c r="F4055" s="86">
        <f>VLOOKUP(B4055,'HSD UPAH,BAHAN,ALAT'!$C$6:F3793,4,FALSE)</f>
        <v>100000</v>
      </c>
      <c r="G4055" s="87">
        <f t="shared" ref="G4055:G4057" si="500">E4055*F4055</f>
        <v>5000</v>
      </c>
    </row>
    <row r="4056" spans="1:7">
      <c r="A4056" s="8">
        <v>2</v>
      </c>
      <c r="B4056" s="1" t="s">
        <v>10</v>
      </c>
      <c r="C4056" s="8" t="s">
        <v>11</v>
      </c>
      <c r="D4056" s="9" t="s">
        <v>8</v>
      </c>
      <c r="E4056" s="10" t="s">
        <v>93</v>
      </c>
      <c r="F4056" s="86">
        <f>VLOOKUP(B4056,'HSD UPAH,BAHAN,ALAT'!$C$6:F3794,4,FALSE)</f>
        <v>120000</v>
      </c>
      <c r="G4056" s="87">
        <f t="shared" si="500"/>
        <v>1200</v>
      </c>
    </row>
    <row r="4057" spans="1:7">
      <c r="A4057" s="8">
        <v>3</v>
      </c>
      <c r="B4057" s="1" t="s">
        <v>13</v>
      </c>
      <c r="C4057" s="8" t="s">
        <v>14</v>
      </c>
      <c r="D4057" s="9" t="s">
        <v>8</v>
      </c>
      <c r="E4057" s="10" t="s">
        <v>94</v>
      </c>
      <c r="F4057" s="86">
        <f>VLOOKUP(B4057,'HSD UPAH,BAHAN,ALAT'!$C$6:F3795,4,FALSE)</f>
        <v>100000</v>
      </c>
      <c r="G4057" s="87">
        <f t="shared" si="500"/>
        <v>330</v>
      </c>
    </row>
    <row r="4058" spans="1:7">
      <c r="A4058" s="261" t="s">
        <v>420</v>
      </c>
      <c r="B4058" s="261"/>
      <c r="C4058" s="261"/>
      <c r="D4058" s="261"/>
      <c r="E4058" s="261"/>
      <c r="F4058" s="261"/>
      <c r="G4058" s="85">
        <f>SUM(G4054:G4057)</f>
        <v>6530</v>
      </c>
    </row>
    <row r="4059" spans="1:7">
      <c r="A4059" s="8" t="s">
        <v>16</v>
      </c>
      <c r="B4059" s="1" t="s">
        <v>17</v>
      </c>
      <c r="C4059" s="8"/>
      <c r="D4059" s="9"/>
      <c r="E4059" s="19"/>
      <c r="F4059" s="2"/>
      <c r="G4059" s="2"/>
    </row>
    <row r="4060" spans="1:7" ht="30">
      <c r="A4060" s="17" t="s">
        <v>208</v>
      </c>
      <c r="B4060" s="5" t="s">
        <v>348</v>
      </c>
      <c r="C4060" s="17"/>
      <c r="D4060" s="12" t="s">
        <v>86</v>
      </c>
      <c r="E4060" s="7" t="s">
        <v>212</v>
      </c>
      <c r="F4060" s="86">
        <f>VLOOKUP(B4060,'HSD UPAH,BAHAN,ALAT'!$C$6:F3798,4,FALSE)</f>
        <v>10000</v>
      </c>
      <c r="G4060" s="87">
        <f t="shared" ref="G4060:G4061" si="501">E4060*F4060</f>
        <v>160000</v>
      </c>
    </row>
    <row r="4061" spans="1:7">
      <c r="A4061" s="8">
        <v>2</v>
      </c>
      <c r="B4061" s="1" t="s">
        <v>18</v>
      </c>
      <c r="C4061" s="8"/>
      <c r="D4061" s="9" t="s">
        <v>19</v>
      </c>
      <c r="E4061" s="10">
        <v>5.0000000000000001E-3</v>
      </c>
      <c r="F4061" s="86">
        <f>VLOOKUP(B4061,'HSD UPAH,BAHAN,ALAT'!$C$6:F3799,4,FALSE)</f>
        <v>10000</v>
      </c>
      <c r="G4061" s="87">
        <f t="shared" si="501"/>
        <v>50</v>
      </c>
    </row>
    <row r="4062" spans="1:7">
      <c r="A4062" s="8">
        <v>3</v>
      </c>
      <c r="B4062" s="1" t="s">
        <v>26</v>
      </c>
      <c r="C4062" s="8"/>
      <c r="D4062" s="9"/>
      <c r="E4062" s="19"/>
      <c r="F4062" s="2"/>
      <c r="G4062" s="2"/>
    </row>
    <row r="4063" spans="1:7">
      <c r="A4063" s="8" t="s">
        <v>22</v>
      </c>
      <c r="B4063" s="1" t="s">
        <v>27</v>
      </c>
      <c r="C4063" s="8"/>
      <c r="D4063" s="9" t="s">
        <v>28</v>
      </c>
      <c r="E4063" s="10" t="s">
        <v>97</v>
      </c>
      <c r="F4063" s="86">
        <f>VLOOKUP(B4063,'HSD UPAH,BAHAN,ALAT'!$C$6:F3801,4,FALSE)</f>
        <v>10000</v>
      </c>
      <c r="G4063" s="87">
        <f t="shared" ref="G4063:G4065" si="502">E4063*F4063</f>
        <v>110</v>
      </c>
    </row>
    <row r="4064" spans="1:7">
      <c r="A4064" s="8" t="s">
        <v>30</v>
      </c>
      <c r="B4064" s="1" t="s">
        <v>31</v>
      </c>
      <c r="C4064" s="8"/>
      <c r="D4064" s="9" t="s">
        <v>28</v>
      </c>
      <c r="E4064" s="10" t="s">
        <v>59</v>
      </c>
      <c r="F4064" s="86">
        <f>VLOOKUP(B4064,'HSD UPAH,BAHAN,ALAT'!$C$6:F3802,4,FALSE)</f>
        <v>10000</v>
      </c>
      <c r="G4064" s="87">
        <f t="shared" si="502"/>
        <v>30</v>
      </c>
    </row>
    <row r="4065" spans="1:7">
      <c r="A4065" s="8" t="s">
        <v>33</v>
      </c>
      <c r="B4065" s="1" t="s">
        <v>34</v>
      </c>
      <c r="C4065" s="8"/>
      <c r="D4065" s="9" t="s">
        <v>28</v>
      </c>
      <c r="E4065" s="10" t="s">
        <v>95</v>
      </c>
      <c r="F4065" s="86">
        <f>VLOOKUP(B4065,'HSD UPAH,BAHAN,ALAT'!$C$6:F3803,4,FALSE)</f>
        <v>10000</v>
      </c>
      <c r="G4065" s="87">
        <f t="shared" si="502"/>
        <v>10</v>
      </c>
    </row>
    <row r="4066" spans="1:7">
      <c r="A4066" s="261" t="s">
        <v>421</v>
      </c>
      <c r="B4066" s="261"/>
      <c r="C4066" s="261"/>
      <c r="D4066" s="261"/>
      <c r="E4066" s="261"/>
      <c r="F4066" s="261"/>
      <c r="G4066" s="85">
        <f>SUM(G4060:G4065)</f>
        <v>160200</v>
      </c>
    </row>
    <row r="4067" spans="1:7">
      <c r="A4067" s="8" t="s">
        <v>36</v>
      </c>
      <c r="B4067" s="1" t="s">
        <v>37</v>
      </c>
      <c r="C4067" s="8"/>
      <c r="D4067" s="9"/>
      <c r="E4067" s="19"/>
      <c r="F4067" s="2"/>
      <c r="G4067" s="2"/>
    </row>
    <row r="4068" spans="1:7">
      <c r="A4068" s="263" t="s">
        <v>419</v>
      </c>
      <c r="B4068" s="263"/>
      <c r="C4068" s="263"/>
      <c r="D4068" s="263"/>
      <c r="E4068" s="263"/>
      <c r="F4068" s="263"/>
      <c r="G4068" s="80">
        <f>SUM(G4067)</f>
        <v>0</v>
      </c>
    </row>
    <row r="4069" spans="1:7">
      <c r="A4069" s="81" t="s">
        <v>38</v>
      </c>
      <c r="B4069" s="262" t="s">
        <v>39</v>
      </c>
      <c r="C4069" s="262"/>
      <c r="D4069" s="262"/>
      <c r="E4069" s="262"/>
      <c r="F4069" s="262"/>
      <c r="G4069" s="80">
        <f>SUM(G4055:G4068)/2</f>
        <v>166730</v>
      </c>
    </row>
    <row r="4070" spans="1:7">
      <c r="A4070" s="81" t="s">
        <v>40</v>
      </c>
      <c r="B4070" s="262" t="s">
        <v>180</v>
      </c>
      <c r="C4070" s="262"/>
      <c r="D4070" s="262"/>
      <c r="E4070" s="262"/>
      <c r="F4070" s="82">
        <v>0.1</v>
      </c>
      <c r="G4070" s="80">
        <f>G4069*F4070</f>
        <v>16673</v>
      </c>
    </row>
    <row r="4071" spans="1:7">
      <c r="A4071" s="81" t="s">
        <v>41</v>
      </c>
      <c r="B4071" s="262" t="s">
        <v>42</v>
      </c>
      <c r="C4071" s="262"/>
      <c r="D4071" s="262"/>
      <c r="E4071" s="262"/>
      <c r="F4071" s="262"/>
      <c r="G4071" s="80">
        <f>G4069+G4070</f>
        <v>183403</v>
      </c>
    </row>
    <row r="4072" spans="1:7">
      <c r="A4072" s="90"/>
      <c r="B4072" s="91"/>
      <c r="C4072" s="91"/>
      <c r="D4072" s="91"/>
      <c r="E4072" s="91"/>
      <c r="F4072" s="91"/>
      <c r="G4072" s="92"/>
    </row>
    <row r="4073" spans="1:7">
      <c r="A4073" s="4" t="s">
        <v>610</v>
      </c>
      <c r="B4073" s="91"/>
      <c r="C4073" s="91"/>
      <c r="D4073" s="91"/>
      <c r="E4073" s="91"/>
      <c r="F4073" s="91"/>
      <c r="G4073" s="92"/>
    </row>
    <row r="4074" spans="1:7" ht="30">
      <c r="A4074" s="79" t="s">
        <v>0</v>
      </c>
      <c r="B4074" s="79" t="s">
        <v>1</v>
      </c>
      <c r="C4074" s="79" t="s">
        <v>207</v>
      </c>
      <c r="D4074" s="79" t="s">
        <v>3</v>
      </c>
      <c r="E4074" s="79" t="s">
        <v>2</v>
      </c>
      <c r="F4074" s="79" t="s">
        <v>417</v>
      </c>
      <c r="G4074" s="79" t="s">
        <v>418</v>
      </c>
    </row>
    <row r="4075" spans="1:7">
      <c r="A4075" s="8" t="s">
        <v>4</v>
      </c>
      <c r="B4075" s="1" t="s">
        <v>5</v>
      </c>
      <c r="C4075" s="8"/>
      <c r="D4075" s="9"/>
      <c r="E4075" s="19"/>
      <c r="F4075" s="2"/>
      <c r="G4075" s="2"/>
    </row>
    <row r="4076" spans="1:7">
      <c r="A4076" s="8">
        <v>1</v>
      </c>
      <c r="B4076" s="1" t="s">
        <v>6</v>
      </c>
      <c r="C4076" s="8" t="s">
        <v>7</v>
      </c>
      <c r="D4076" s="9" t="s">
        <v>8</v>
      </c>
      <c r="E4076" s="10" t="s">
        <v>92</v>
      </c>
      <c r="F4076" s="86">
        <f>VLOOKUP(B4076,'HSD UPAH,BAHAN,ALAT'!$C$6:F3812,4,FALSE)</f>
        <v>100000</v>
      </c>
      <c r="G4076" s="87">
        <f t="shared" ref="G4076:G4078" si="503">E4076*F4076</f>
        <v>5000</v>
      </c>
    </row>
    <row r="4077" spans="1:7">
      <c r="A4077" s="8">
        <v>2</v>
      </c>
      <c r="B4077" s="1" t="s">
        <v>10</v>
      </c>
      <c r="C4077" s="8" t="s">
        <v>11</v>
      </c>
      <c r="D4077" s="9" t="s">
        <v>8</v>
      </c>
      <c r="E4077" s="10" t="s">
        <v>93</v>
      </c>
      <c r="F4077" s="86">
        <f>VLOOKUP(B4077,'HSD UPAH,BAHAN,ALAT'!$C$6:F3813,4,FALSE)</f>
        <v>120000</v>
      </c>
      <c r="G4077" s="87">
        <f t="shared" si="503"/>
        <v>1200</v>
      </c>
    </row>
    <row r="4078" spans="1:7">
      <c r="A4078" s="8">
        <v>3</v>
      </c>
      <c r="B4078" s="1" t="s">
        <v>13</v>
      </c>
      <c r="C4078" s="8" t="s">
        <v>14</v>
      </c>
      <c r="D4078" s="9" t="s">
        <v>8</v>
      </c>
      <c r="E4078" s="10" t="s">
        <v>94</v>
      </c>
      <c r="F4078" s="86">
        <f>VLOOKUP(B4078,'HSD UPAH,BAHAN,ALAT'!$C$6:F3814,4,FALSE)</f>
        <v>100000</v>
      </c>
      <c r="G4078" s="87">
        <f t="shared" si="503"/>
        <v>330</v>
      </c>
    </row>
    <row r="4079" spans="1:7">
      <c r="A4079" s="261" t="s">
        <v>420</v>
      </c>
      <c r="B4079" s="261"/>
      <c r="C4079" s="261"/>
      <c r="D4079" s="261"/>
      <c r="E4079" s="261"/>
      <c r="F4079" s="261"/>
      <c r="G4079" s="85">
        <f>SUM(G4075:G4078)</f>
        <v>6530</v>
      </c>
    </row>
    <row r="4080" spans="1:7">
      <c r="A4080" s="8" t="s">
        <v>16</v>
      </c>
      <c r="B4080" s="1" t="s">
        <v>17</v>
      </c>
      <c r="C4080" s="8"/>
      <c r="D4080" s="9"/>
      <c r="E4080" s="19"/>
      <c r="F4080" s="2"/>
      <c r="G4080" s="2"/>
    </row>
    <row r="4081" spans="1:7" ht="30">
      <c r="A4081" s="17" t="s">
        <v>208</v>
      </c>
      <c r="B4081" s="5" t="s">
        <v>349</v>
      </c>
      <c r="C4081" s="17"/>
      <c r="D4081" s="12" t="s">
        <v>86</v>
      </c>
      <c r="E4081" s="7" t="s">
        <v>212</v>
      </c>
      <c r="F4081" s="86">
        <f>VLOOKUP(B4081,'HSD UPAH,BAHAN,ALAT'!$C$6:F3817,4,FALSE)</f>
        <v>10000</v>
      </c>
      <c r="G4081" s="87">
        <f t="shared" ref="G4081:G4082" si="504">E4081*F4081</f>
        <v>160000</v>
      </c>
    </row>
    <row r="4082" spans="1:7">
      <c r="A4082" s="8">
        <v>2</v>
      </c>
      <c r="B4082" s="1" t="s">
        <v>18</v>
      </c>
      <c r="C4082" s="8"/>
      <c r="D4082" s="9" t="s">
        <v>19</v>
      </c>
      <c r="E4082" s="10">
        <v>5.0000000000000001E-3</v>
      </c>
      <c r="F4082" s="86">
        <f>VLOOKUP(B4082,'HSD UPAH,BAHAN,ALAT'!$C$6:F3818,4,FALSE)</f>
        <v>10000</v>
      </c>
      <c r="G4082" s="87">
        <f t="shared" si="504"/>
        <v>50</v>
      </c>
    </row>
    <row r="4083" spans="1:7">
      <c r="A4083" s="8">
        <v>3</v>
      </c>
      <c r="B4083" s="1" t="s">
        <v>26</v>
      </c>
      <c r="C4083" s="8"/>
      <c r="D4083" s="9"/>
      <c r="E4083" s="19"/>
      <c r="F4083" s="2"/>
      <c r="G4083" s="2"/>
    </row>
    <row r="4084" spans="1:7">
      <c r="A4084" s="8" t="s">
        <v>22</v>
      </c>
      <c r="B4084" s="1" t="s">
        <v>27</v>
      </c>
      <c r="C4084" s="8"/>
      <c r="D4084" s="9" t="s">
        <v>28</v>
      </c>
      <c r="E4084" s="10" t="s">
        <v>97</v>
      </c>
      <c r="F4084" s="86">
        <f>VLOOKUP(B4084,'HSD UPAH,BAHAN,ALAT'!$C$6:F3820,4,FALSE)</f>
        <v>10000</v>
      </c>
      <c r="G4084" s="87">
        <f t="shared" ref="G4084:G4086" si="505">E4084*F4084</f>
        <v>110</v>
      </c>
    </row>
    <row r="4085" spans="1:7">
      <c r="A4085" s="8" t="s">
        <v>30</v>
      </c>
      <c r="B4085" s="1" t="s">
        <v>31</v>
      </c>
      <c r="C4085" s="8"/>
      <c r="D4085" s="9" t="s">
        <v>28</v>
      </c>
      <c r="E4085" s="10" t="s">
        <v>59</v>
      </c>
      <c r="F4085" s="86">
        <f>VLOOKUP(B4085,'HSD UPAH,BAHAN,ALAT'!$C$6:F3821,4,FALSE)</f>
        <v>10000</v>
      </c>
      <c r="G4085" s="87">
        <f t="shared" si="505"/>
        <v>30</v>
      </c>
    </row>
    <row r="4086" spans="1:7">
      <c r="A4086" s="8" t="s">
        <v>33</v>
      </c>
      <c r="B4086" s="1" t="s">
        <v>34</v>
      </c>
      <c r="C4086" s="8"/>
      <c r="D4086" s="9" t="s">
        <v>28</v>
      </c>
      <c r="E4086" s="10" t="s">
        <v>95</v>
      </c>
      <c r="F4086" s="86">
        <f>VLOOKUP(B4086,'HSD UPAH,BAHAN,ALAT'!$C$6:F3822,4,FALSE)</f>
        <v>10000</v>
      </c>
      <c r="G4086" s="87">
        <f t="shared" si="505"/>
        <v>10</v>
      </c>
    </row>
    <row r="4087" spans="1:7">
      <c r="A4087" s="261" t="s">
        <v>421</v>
      </c>
      <c r="B4087" s="261"/>
      <c r="C4087" s="261"/>
      <c r="D4087" s="261"/>
      <c r="E4087" s="261"/>
      <c r="F4087" s="261"/>
      <c r="G4087" s="85">
        <f>SUM(G4081:G4086)</f>
        <v>160200</v>
      </c>
    </row>
    <row r="4088" spans="1:7">
      <c r="A4088" s="8" t="s">
        <v>36</v>
      </c>
      <c r="B4088" s="1" t="s">
        <v>37</v>
      </c>
      <c r="C4088" s="8"/>
      <c r="D4088" s="9"/>
      <c r="E4088" s="19"/>
      <c r="F4088" s="2"/>
      <c r="G4088" s="2"/>
    </row>
    <row r="4089" spans="1:7">
      <c r="A4089" s="263" t="s">
        <v>419</v>
      </c>
      <c r="B4089" s="263"/>
      <c r="C4089" s="263"/>
      <c r="D4089" s="263"/>
      <c r="E4089" s="263"/>
      <c r="F4089" s="263"/>
      <c r="G4089" s="80">
        <f>SUM(G4088)</f>
        <v>0</v>
      </c>
    </row>
    <row r="4090" spans="1:7">
      <c r="A4090" s="81" t="s">
        <v>38</v>
      </c>
      <c r="B4090" s="262" t="s">
        <v>39</v>
      </c>
      <c r="C4090" s="262"/>
      <c r="D4090" s="262"/>
      <c r="E4090" s="262"/>
      <c r="F4090" s="262"/>
      <c r="G4090" s="80">
        <f>SUM(G4076:G4089)/2</f>
        <v>166730</v>
      </c>
    </row>
    <row r="4091" spans="1:7">
      <c r="A4091" s="81" t="s">
        <v>40</v>
      </c>
      <c r="B4091" s="262" t="s">
        <v>180</v>
      </c>
      <c r="C4091" s="262"/>
      <c r="D4091" s="262"/>
      <c r="E4091" s="262"/>
      <c r="F4091" s="82">
        <v>0.1</v>
      </c>
      <c r="G4091" s="80">
        <f>G4090*F4091</f>
        <v>16673</v>
      </c>
    </row>
    <row r="4092" spans="1:7">
      <c r="A4092" s="81" t="s">
        <v>41</v>
      </c>
      <c r="B4092" s="262" t="s">
        <v>42</v>
      </c>
      <c r="C4092" s="262"/>
      <c r="D4092" s="262"/>
      <c r="E4092" s="262"/>
      <c r="F4092" s="262"/>
      <c r="G4092" s="80">
        <f>G4090+G4091</f>
        <v>183403</v>
      </c>
    </row>
    <row r="4093" spans="1:7">
      <c r="A4093" s="90"/>
      <c r="B4093" s="91"/>
      <c r="C4093" s="91"/>
      <c r="D4093" s="91"/>
      <c r="E4093" s="91"/>
      <c r="F4093" s="91"/>
      <c r="G4093" s="92"/>
    </row>
    <row r="4094" spans="1:7">
      <c r="A4094" s="4" t="s">
        <v>611</v>
      </c>
      <c r="B4094" s="91"/>
      <c r="C4094" s="91"/>
      <c r="D4094" s="91"/>
      <c r="E4094" s="91"/>
      <c r="F4094" s="91"/>
      <c r="G4094" s="92"/>
    </row>
    <row r="4095" spans="1:7" ht="30">
      <c r="A4095" s="79" t="s">
        <v>0</v>
      </c>
      <c r="B4095" s="79" t="s">
        <v>1</v>
      </c>
      <c r="C4095" s="79" t="s">
        <v>207</v>
      </c>
      <c r="D4095" s="79" t="s">
        <v>3</v>
      </c>
      <c r="E4095" s="79" t="s">
        <v>2</v>
      </c>
      <c r="F4095" s="79" t="s">
        <v>417</v>
      </c>
      <c r="G4095" s="79" t="s">
        <v>418</v>
      </c>
    </row>
    <row r="4096" spans="1:7">
      <c r="A4096" s="8" t="s">
        <v>4</v>
      </c>
      <c r="B4096" s="1" t="s">
        <v>5</v>
      </c>
      <c r="C4096" s="8"/>
      <c r="D4096" s="9"/>
      <c r="E4096" s="19"/>
      <c r="F4096" s="2"/>
      <c r="G4096" s="2"/>
    </row>
    <row r="4097" spans="1:7">
      <c r="A4097" s="8">
        <v>1</v>
      </c>
      <c r="B4097" s="1" t="s">
        <v>6</v>
      </c>
      <c r="C4097" s="8" t="s">
        <v>7</v>
      </c>
      <c r="D4097" s="9" t="s">
        <v>8</v>
      </c>
      <c r="E4097" s="10" t="s">
        <v>92</v>
      </c>
      <c r="F4097" s="86">
        <f>VLOOKUP(B4097,'HSD UPAH,BAHAN,ALAT'!$C$6:F3831,4,FALSE)</f>
        <v>100000</v>
      </c>
      <c r="G4097" s="87">
        <f t="shared" ref="G4097:G4099" si="506">E4097*F4097</f>
        <v>5000</v>
      </c>
    </row>
    <row r="4098" spans="1:7">
      <c r="A4098" s="8">
        <v>2</v>
      </c>
      <c r="B4098" s="1" t="s">
        <v>10</v>
      </c>
      <c r="C4098" s="8" t="s">
        <v>11</v>
      </c>
      <c r="D4098" s="9" t="s">
        <v>8</v>
      </c>
      <c r="E4098" s="10" t="s">
        <v>93</v>
      </c>
      <c r="F4098" s="86">
        <f>VLOOKUP(B4098,'HSD UPAH,BAHAN,ALAT'!$C$6:F3832,4,FALSE)</f>
        <v>120000</v>
      </c>
      <c r="G4098" s="87">
        <f t="shared" si="506"/>
        <v>1200</v>
      </c>
    </row>
    <row r="4099" spans="1:7">
      <c r="A4099" s="8">
        <v>3</v>
      </c>
      <c r="B4099" s="1" t="s">
        <v>13</v>
      </c>
      <c r="C4099" s="8" t="s">
        <v>14</v>
      </c>
      <c r="D4099" s="9" t="s">
        <v>8</v>
      </c>
      <c r="E4099" s="10" t="s">
        <v>94</v>
      </c>
      <c r="F4099" s="86">
        <f>VLOOKUP(B4099,'HSD UPAH,BAHAN,ALAT'!$C$6:F3833,4,FALSE)</f>
        <v>100000</v>
      </c>
      <c r="G4099" s="87">
        <f t="shared" si="506"/>
        <v>330</v>
      </c>
    </row>
    <row r="4100" spans="1:7">
      <c r="A4100" s="261" t="s">
        <v>420</v>
      </c>
      <c r="B4100" s="261"/>
      <c r="C4100" s="261"/>
      <c r="D4100" s="261"/>
      <c r="E4100" s="261"/>
      <c r="F4100" s="261"/>
      <c r="G4100" s="85">
        <f>SUM(G4096:G4099)</f>
        <v>6530</v>
      </c>
    </row>
    <row r="4101" spans="1:7">
      <c r="A4101" s="8" t="s">
        <v>16</v>
      </c>
      <c r="B4101" s="1" t="s">
        <v>17</v>
      </c>
      <c r="C4101" s="8"/>
      <c r="D4101" s="9"/>
      <c r="E4101" s="19"/>
      <c r="F4101" s="2"/>
      <c r="G4101" s="2"/>
    </row>
    <row r="4102" spans="1:7" ht="30">
      <c r="A4102" s="17" t="s">
        <v>208</v>
      </c>
      <c r="B4102" s="5" t="s">
        <v>350</v>
      </c>
      <c r="C4102" s="17"/>
      <c r="D4102" s="12" t="s">
        <v>86</v>
      </c>
      <c r="E4102" s="7" t="s">
        <v>212</v>
      </c>
      <c r="F4102" s="86">
        <f>VLOOKUP(B4102,'HSD UPAH,BAHAN,ALAT'!$C$6:F3836,4,FALSE)</f>
        <v>10000</v>
      </c>
      <c r="G4102" s="87">
        <f t="shared" ref="G4102:G4103" si="507">E4102*F4102</f>
        <v>160000</v>
      </c>
    </row>
    <row r="4103" spans="1:7">
      <c r="A4103" s="8">
        <v>2</v>
      </c>
      <c r="B4103" s="1" t="s">
        <v>18</v>
      </c>
      <c r="C4103" s="8"/>
      <c r="D4103" s="9" t="s">
        <v>19</v>
      </c>
      <c r="E4103" s="10">
        <v>5.0000000000000001E-3</v>
      </c>
      <c r="F4103" s="86">
        <f>VLOOKUP(B4103,'HSD UPAH,BAHAN,ALAT'!$C$6:F3837,4,FALSE)</f>
        <v>10000</v>
      </c>
      <c r="G4103" s="87">
        <f t="shared" si="507"/>
        <v>50</v>
      </c>
    </row>
    <row r="4104" spans="1:7">
      <c r="A4104" s="8">
        <v>3</v>
      </c>
      <c r="B4104" s="1" t="s">
        <v>26</v>
      </c>
      <c r="C4104" s="8"/>
      <c r="D4104" s="9"/>
      <c r="E4104" s="19"/>
      <c r="F4104" s="2"/>
      <c r="G4104" s="2"/>
    </row>
    <row r="4105" spans="1:7">
      <c r="A4105" s="8" t="s">
        <v>22</v>
      </c>
      <c r="B4105" s="1" t="s">
        <v>27</v>
      </c>
      <c r="C4105" s="8"/>
      <c r="D4105" s="9" t="s">
        <v>28</v>
      </c>
      <c r="E4105" s="10" t="s">
        <v>97</v>
      </c>
      <c r="F4105" s="86">
        <f>VLOOKUP(B4105,'HSD UPAH,BAHAN,ALAT'!$C$6:F3839,4,FALSE)</f>
        <v>10000</v>
      </c>
      <c r="G4105" s="87">
        <f t="shared" ref="G4105:G4107" si="508">E4105*F4105</f>
        <v>110</v>
      </c>
    </row>
    <row r="4106" spans="1:7">
      <c r="A4106" s="8" t="s">
        <v>30</v>
      </c>
      <c r="B4106" s="1" t="s">
        <v>31</v>
      </c>
      <c r="C4106" s="8"/>
      <c r="D4106" s="9" t="s">
        <v>28</v>
      </c>
      <c r="E4106" s="10" t="s">
        <v>59</v>
      </c>
      <c r="F4106" s="86">
        <f>VLOOKUP(B4106,'HSD UPAH,BAHAN,ALAT'!$C$6:F3840,4,FALSE)</f>
        <v>10000</v>
      </c>
      <c r="G4106" s="87">
        <f t="shared" si="508"/>
        <v>30</v>
      </c>
    </row>
    <row r="4107" spans="1:7">
      <c r="A4107" s="8" t="s">
        <v>33</v>
      </c>
      <c r="B4107" s="1" t="s">
        <v>34</v>
      </c>
      <c r="C4107" s="8"/>
      <c r="D4107" s="9" t="s">
        <v>28</v>
      </c>
      <c r="E4107" s="10" t="s">
        <v>95</v>
      </c>
      <c r="F4107" s="86">
        <f>VLOOKUP(B4107,'HSD UPAH,BAHAN,ALAT'!$C$6:F3841,4,FALSE)</f>
        <v>10000</v>
      </c>
      <c r="G4107" s="87">
        <f t="shared" si="508"/>
        <v>10</v>
      </c>
    </row>
    <row r="4108" spans="1:7">
      <c r="A4108" s="261" t="s">
        <v>421</v>
      </c>
      <c r="B4108" s="261"/>
      <c r="C4108" s="261"/>
      <c r="D4108" s="261"/>
      <c r="E4108" s="261"/>
      <c r="F4108" s="261"/>
      <c r="G4108" s="85">
        <f>SUM(G4102:G4107)</f>
        <v>160200</v>
      </c>
    </row>
    <row r="4109" spans="1:7">
      <c r="A4109" s="8" t="s">
        <v>36</v>
      </c>
      <c r="B4109" s="1" t="s">
        <v>37</v>
      </c>
      <c r="C4109" s="8"/>
      <c r="D4109" s="9"/>
      <c r="E4109" s="19"/>
      <c r="F4109" s="2"/>
      <c r="G4109" s="2"/>
    </row>
    <row r="4110" spans="1:7">
      <c r="A4110" s="263" t="s">
        <v>419</v>
      </c>
      <c r="B4110" s="263"/>
      <c r="C4110" s="263"/>
      <c r="D4110" s="263"/>
      <c r="E4110" s="263"/>
      <c r="F4110" s="263"/>
      <c r="G4110" s="80">
        <f>SUM(G4109)</f>
        <v>0</v>
      </c>
    </row>
    <row r="4111" spans="1:7">
      <c r="A4111" s="81" t="s">
        <v>38</v>
      </c>
      <c r="B4111" s="262" t="s">
        <v>39</v>
      </c>
      <c r="C4111" s="262"/>
      <c r="D4111" s="262"/>
      <c r="E4111" s="262"/>
      <c r="F4111" s="262"/>
      <c r="G4111" s="80">
        <f>SUM(G4097:G4110)/2</f>
        <v>166730</v>
      </c>
    </row>
    <row r="4112" spans="1:7">
      <c r="A4112" s="81" t="s">
        <v>40</v>
      </c>
      <c r="B4112" s="262" t="s">
        <v>180</v>
      </c>
      <c r="C4112" s="262"/>
      <c r="D4112" s="262"/>
      <c r="E4112" s="262"/>
      <c r="F4112" s="82">
        <v>0.1</v>
      </c>
      <c r="G4112" s="80">
        <f>G4111*F4112</f>
        <v>16673</v>
      </c>
    </row>
    <row r="4113" spans="1:7">
      <c r="A4113" s="81" t="s">
        <v>41</v>
      </c>
      <c r="B4113" s="262" t="s">
        <v>42</v>
      </c>
      <c r="C4113" s="262"/>
      <c r="D4113" s="262"/>
      <c r="E4113" s="262"/>
      <c r="F4113" s="262"/>
      <c r="G4113" s="80">
        <f>G4111+G4112</f>
        <v>183403</v>
      </c>
    </row>
    <row r="4114" spans="1:7">
      <c r="A4114" s="90"/>
      <c r="B4114" s="91"/>
      <c r="C4114" s="91"/>
      <c r="D4114" s="91"/>
      <c r="E4114" s="91"/>
      <c r="F4114" s="91"/>
      <c r="G4114" s="92"/>
    </row>
    <row r="4115" spans="1:7">
      <c r="A4115" s="4" t="s">
        <v>612</v>
      </c>
      <c r="B4115" s="91"/>
      <c r="C4115" s="91"/>
      <c r="D4115" s="91"/>
      <c r="E4115" s="91"/>
      <c r="F4115" s="91"/>
      <c r="G4115" s="92"/>
    </row>
    <row r="4116" spans="1:7" ht="30">
      <c r="A4116" s="79" t="s">
        <v>0</v>
      </c>
      <c r="B4116" s="79" t="s">
        <v>1</v>
      </c>
      <c r="C4116" s="79" t="s">
        <v>207</v>
      </c>
      <c r="D4116" s="79" t="s">
        <v>3</v>
      </c>
      <c r="E4116" s="79" t="s">
        <v>2</v>
      </c>
      <c r="F4116" s="79" t="s">
        <v>417</v>
      </c>
      <c r="G4116" s="79" t="s">
        <v>418</v>
      </c>
    </row>
    <row r="4117" spans="1:7">
      <c r="A4117" s="8" t="s">
        <v>4</v>
      </c>
      <c r="B4117" s="1" t="s">
        <v>5</v>
      </c>
      <c r="C4117" s="8"/>
      <c r="D4117" s="9"/>
      <c r="E4117" s="19"/>
      <c r="F4117" s="2"/>
      <c r="G4117" s="2"/>
    </row>
    <row r="4118" spans="1:7">
      <c r="A4118" s="8">
        <v>1</v>
      </c>
      <c r="B4118" s="1" t="s">
        <v>6</v>
      </c>
      <c r="C4118" s="8" t="s">
        <v>7</v>
      </c>
      <c r="D4118" s="9" t="s">
        <v>8</v>
      </c>
      <c r="E4118" s="10" t="s">
        <v>92</v>
      </c>
      <c r="F4118" s="86">
        <f>VLOOKUP(B4118,'HSD UPAH,BAHAN,ALAT'!$C$6:F3850,4,FALSE)</f>
        <v>100000</v>
      </c>
      <c r="G4118" s="87">
        <f t="shared" ref="G4118:G4120" si="509">E4118*F4118</f>
        <v>5000</v>
      </c>
    </row>
    <row r="4119" spans="1:7">
      <c r="A4119" s="8">
        <v>2</v>
      </c>
      <c r="B4119" s="1" t="s">
        <v>10</v>
      </c>
      <c r="C4119" s="8" t="s">
        <v>11</v>
      </c>
      <c r="D4119" s="9" t="s">
        <v>8</v>
      </c>
      <c r="E4119" s="10" t="s">
        <v>93</v>
      </c>
      <c r="F4119" s="86">
        <f>VLOOKUP(B4119,'HSD UPAH,BAHAN,ALAT'!$C$6:F3851,4,FALSE)</f>
        <v>120000</v>
      </c>
      <c r="G4119" s="87">
        <f t="shared" si="509"/>
        <v>1200</v>
      </c>
    </row>
    <row r="4120" spans="1:7">
      <c r="A4120" s="8">
        <v>3</v>
      </c>
      <c r="B4120" s="1" t="s">
        <v>13</v>
      </c>
      <c r="C4120" s="8" t="s">
        <v>14</v>
      </c>
      <c r="D4120" s="9" t="s">
        <v>8</v>
      </c>
      <c r="E4120" s="10" t="s">
        <v>94</v>
      </c>
      <c r="F4120" s="86">
        <f>VLOOKUP(B4120,'HSD UPAH,BAHAN,ALAT'!$C$6:F3852,4,FALSE)</f>
        <v>100000</v>
      </c>
      <c r="G4120" s="87">
        <f t="shared" si="509"/>
        <v>330</v>
      </c>
    </row>
    <row r="4121" spans="1:7">
      <c r="A4121" s="261" t="s">
        <v>420</v>
      </c>
      <c r="B4121" s="261"/>
      <c r="C4121" s="261"/>
      <c r="D4121" s="261"/>
      <c r="E4121" s="261"/>
      <c r="F4121" s="261"/>
      <c r="G4121" s="85">
        <f>SUM(G4117:G4120)</f>
        <v>6530</v>
      </c>
    </row>
    <row r="4122" spans="1:7">
      <c r="A4122" s="8" t="s">
        <v>16</v>
      </c>
      <c r="B4122" s="1" t="s">
        <v>17</v>
      </c>
      <c r="C4122" s="8"/>
      <c r="D4122" s="9"/>
      <c r="E4122" s="19"/>
      <c r="F4122" s="2"/>
      <c r="G4122" s="2"/>
    </row>
    <row r="4123" spans="1:7" ht="30">
      <c r="A4123" s="17" t="s">
        <v>208</v>
      </c>
      <c r="B4123" s="5" t="s">
        <v>351</v>
      </c>
      <c r="C4123" s="17"/>
      <c r="D4123" s="12" t="s">
        <v>86</v>
      </c>
      <c r="E4123" s="7">
        <v>9</v>
      </c>
      <c r="F4123" s="86">
        <f>VLOOKUP(B4123,'HSD UPAH,BAHAN,ALAT'!$C$6:F3855,4,FALSE)</f>
        <v>10000</v>
      </c>
      <c r="G4123" s="87">
        <f t="shared" ref="G4123:G4124" si="510">E4123*F4123</f>
        <v>90000</v>
      </c>
    </row>
    <row r="4124" spans="1:7">
      <c r="A4124" s="8">
        <v>2</v>
      </c>
      <c r="B4124" s="1" t="s">
        <v>18</v>
      </c>
      <c r="C4124" s="8"/>
      <c r="D4124" s="9" t="s">
        <v>19</v>
      </c>
      <c r="E4124" s="10">
        <v>5.0000000000000001E-3</v>
      </c>
      <c r="F4124" s="86">
        <f>VLOOKUP(B4124,'HSD UPAH,BAHAN,ALAT'!$C$6:F3856,4,FALSE)</f>
        <v>10000</v>
      </c>
      <c r="G4124" s="87">
        <f t="shared" si="510"/>
        <v>50</v>
      </c>
    </row>
    <row r="4125" spans="1:7">
      <c r="A4125" s="8">
        <v>3</v>
      </c>
      <c r="B4125" s="1" t="s">
        <v>26</v>
      </c>
      <c r="C4125" s="8"/>
      <c r="D4125" s="9"/>
      <c r="E4125" s="19"/>
      <c r="F4125" s="2"/>
      <c r="G4125" s="2"/>
    </row>
    <row r="4126" spans="1:7">
      <c r="A4126" s="8" t="s">
        <v>22</v>
      </c>
      <c r="B4126" s="1" t="s">
        <v>27</v>
      </c>
      <c r="C4126" s="8"/>
      <c r="D4126" s="9" t="s">
        <v>28</v>
      </c>
      <c r="E4126" s="10" t="s">
        <v>97</v>
      </c>
      <c r="F4126" s="86">
        <f>VLOOKUP(B4126,'HSD UPAH,BAHAN,ALAT'!$C$6:F3858,4,FALSE)</f>
        <v>10000</v>
      </c>
      <c r="G4126" s="87">
        <f t="shared" ref="G4126:G4128" si="511">E4126*F4126</f>
        <v>110</v>
      </c>
    </row>
    <row r="4127" spans="1:7">
      <c r="A4127" s="8" t="s">
        <v>30</v>
      </c>
      <c r="B4127" s="1" t="s">
        <v>31</v>
      </c>
      <c r="C4127" s="8"/>
      <c r="D4127" s="9" t="s">
        <v>28</v>
      </c>
      <c r="E4127" s="10" t="s">
        <v>59</v>
      </c>
      <c r="F4127" s="86">
        <f>VLOOKUP(B4127,'HSD UPAH,BAHAN,ALAT'!$C$6:F3859,4,FALSE)</f>
        <v>10000</v>
      </c>
      <c r="G4127" s="87">
        <f t="shared" si="511"/>
        <v>30</v>
      </c>
    </row>
    <row r="4128" spans="1:7">
      <c r="A4128" s="8" t="s">
        <v>33</v>
      </c>
      <c r="B4128" s="1" t="s">
        <v>34</v>
      </c>
      <c r="C4128" s="8"/>
      <c r="D4128" s="9" t="s">
        <v>28</v>
      </c>
      <c r="E4128" s="10" t="s">
        <v>95</v>
      </c>
      <c r="F4128" s="86">
        <f>VLOOKUP(B4128,'HSD UPAH,BAHAN,ALAT'!$C$6:F3860,4,FALSE)</f>
        <v>10000</v>
      </c>
      <c r="G4128" s="87">
        <f t="shared" si="511"/>
        <v>10</v>
      </c>
    </row>
    <row r="4129" spans="1:7">
      <c r="A4129" s="261" t="s">
        <v>421</v>
      </c>
      <c r="B4129" s="261"/>
      <c r="C4129" s="261"/>
      <c r="D4129" s="261"/>
      <c r="E4129" s="261"/>
      <c r="F4129" s="261"/>
      <c r="G4129" s="85">
        <f>SUM(G4123:G4128)</f>
        <v>90200</v>
      </c>
    </row>
    <row r="4130" spans="1:7">
      <c r="A4130" s="8" t="s">
        <v>36</v>
      </c>
      <c r="B4130" s="1" t="s">
        <v>37</v>
      </c>
      <c r="C4130" s="8"/>
      <c r="D4130" s="9"/>
      <c r="E4130" s="19"/>
      <c r="F4130" s="2"/>
      <c r="G4130" s="2"/>
    </row>
    <row r="4131" spans="1:7">
      <c r="A4131" s="263" t="s">
        <v>419</v>
      </c>
      <c r="B4131" s="263"/>
      <c r="C4131" s="263"/>
      <c r="D4131" s="263"/>
      <c r="E4131" s="263"/>
      <c r="F4131" s="263"/>
      <c r="G4131" s="80">
        <f>SUM(G4130)</f>
        <v>0</v>
      </c>
    </row>
    <row r="4132" spans="1:7">
      <c r="A4132" s="81" t="s">
        <v>38</v>
      </c>
      <c r="B4132" s="262" t="s">
        <v>39</v>
      </c>
      <c r="C4132" s="262"/>
      <c r="D4132" s="262"/>
      <c r="E4132" s="262"/>
      <c r="F4132" s="262"/>
      <c r="G4132" s="80">
        <f>SUM(G4118:G4131)/2</f>
        <v>96730</v>
      </c>
    </row>
    <row r="4133" spans="1:7">
      <c r="A4133" s="81" t="s">
        <v>40</v>
      </c>
      <c r="B4133" s="262" t="s">
        <v>180</v>
      </c>
      <c r="C4133" s="262"/>
      <c r="D4133" s="262"/>
      <c r="E4133" s="262"/>
      <c r="F4133" s="82">
        <v>0.1</v>
      </c>
      <c r="G4133" s="80">
        <f>G4132*F4133</f>
        <v>9673</v>
      </c>
    </row>
    <row r="4134" spans="1:7">
      <c r="A4134" s="81" t="s">
        <v>41</v>
      </c>
      <c r="B4134" s="262" t="s">
        <v>42</v>
      </c>
      <c r="C4134" s="262"/>
      <c r="D4134" s="262"/>
      <c r="E4134" s="262"/>
      <c r="F4134" s="262"/>
      <c r="G4134" s="80">
        <f>G4132+G4133</f>
        <v>106403</v>
      </c>
    </row>
    <row r="4135" spans="1:7">
      <c r="A4135" s="90"/>
      <c r="B4135" s="91"/>
      <c r="C4135" s="91"/>
      <c r="D4135" s="91"/>
      <c r="E4135" s="91"/>
      <c r="F4135" s="91"/>
      <c r="G4135" s="92"/>
    </row>
    <row r="4136" spans="1:7">
      <c r="A4136" s="4" t="s">
        <v>613</v>
      </c>
      <c r="B4136" s="91"/>
      <c r="C4136" s="91"/>
      <c r="D4136" s="91"/>
      <c r="E4136" s="91"/>
      <c r="F4136" s="91"/>
      <c r="G4136" s="92"/>
    </row>
    <row r="4137" spans="1:7" ht="30">
      <c r="A4137" s="79" t="s">
        <v>0</v>
      </c>
      <c r="B4137" s="79" t="s">
        <v>1</v>
      </c>
      <c r="C4137" s="79" t="s">
        <v>207</v>
      </c>
      <c r="D4137" s="79" t="s">
        <v>3</v>
      </c>
      <c r="E4137" s="79" t="s">
        <v>2</v>
      </c>
      <c r="F4137" s="79" t="s">
        <v>417</v>
      </c>
      <c r="G4137" s="79" t="s">
        <v>418</v>
      </c>
    </row>
    <row r="4138" spans="1:7">
      <c r="A4138" s="8" t="s">
        <v>4</v>
      </c>
      <c r="B4138" s="1" t="s">
        <v>5</v>
      </c>
      <c r="C4138" s="8"/>
      <c r="D4138" s="9"/>
      <c r="E4138" s="19"/>
      <c r="F4138" s="2"/>
      <c r="G4138" s="2"/>
    </row>
    <row r="4139" spans="1:7">
      <c r="A4139" s="8">
        <v>1</v>
      </c>
      <c r="B4139" s="1" t="s">
        <v>6</v>
      </c>
      <c r="C4139" s="8" t="s">
        <v>7</v>
      </c>
      <c r="D4139" s="9" t="s">
        <v>8</v>
      </c>
      <c r="E4139" s="10" t="s">
        <v>92</v>
      </c>
      <c r="F4139" s="86">
        <f>VLOOKUP(B4139,'HSD UPAH,BAHAN,ALAT'!$C$6:F3869,4,FALSE)</f>
        <v>100000</v>
      </c>
      <c r="G4139" s="87">
        <f t="shared" ref="G4139:G4141" si="512">E4139*F4139</f>
        <v>5000</v>
      </c>
    </row>
    <row r="4140" spans="1:7">
      <c r="A4140" s="8">
        <v>2</v>
      </c>
      <c r="B4140" s="1" t="s">
        <v>10</v>
      </c>
      <c r="C4140" s="8" t="s">
        <v>11</v>
      </c>
      <c r="D4140" s="9" t="s">
        <v>8</v>
      </c>
      <c r="E4140" s="10" t="s">
        <v>93</v>
      </c>
      <c r="F4140" s="86">
        <f>VLOOKUP(B4140,'HSD UPAH,BAHAN,ALAT'!$C$6:F3870,4,FALSE)</f>
        <v>120000</v>
      </c>
      <c r="G4140" s="87">
        <f t="shared" si="512"/>
        <v>1200</v>
      </c>
    </row>
    <row r="4141" spans="1:7">
      <c r="A4141" s="8">
        <v>3</v>
      </c>
      <c r="B4141" s="1" t="s">
        <v>13</v>
      </c>
      <c r="C4141" s="8" t="s">
        <v>14</v>
      </c>
      <c r="D4141" s="9" t="s">
        <v>8</v>
      </c>
      <c r="E4141" s="10" t="s">
        <v>94</v>
      </c>
      <c r="F4141" s="86">
        <f>VLOOKUP(B4141,'HSD UPAH,BAHAN,ALAT'!$C$6:F3871,4,FALSE)</f>
        <v>100000</v>
      </c>
      <c r="G4141" s="87">
        <f t="shared" si="512"/>
        <v>330</v>
      </c>
    </row>
    <row r="4142" spans="1:7">
      <c r="A4142" s="261" t="s">
        <v>420</v>
      </c>
      <c r="B4142" s="261"/>
      <c r="C4142" s="261"/>
      <c r="D4142" s="261"/>
      <c r="E4142" s="261"/>
      <c r="F4142" s="261"/>
      <c r="G4142" s="85">
        <f>SUM(G4138:G4141)</f>
        <v>6530</v>
      </c>
    </row>
    <row r="4143" spans="1:7">
      <c r="A4143" s="8" t="s">
        <v>16</v>
      </c>
      <c r="B4143" s="1" t="s">
        <v>17</v>
      </c>
      <c r="C4143" s="8"/>
      <c r="D4143" s="9"/>
      <c r="E4143" s="19"/>
      <c r="F4143" s="2"/>
      <c r="G4143" s="2"/>
    </row>
    <row r="4144" spans="1:7" ht="30">
      <c r="A4144" s="17" t="s">
        <v>208</v>
      </c>
      <c r="B4144" s="5" t="s">
        <v>352</v>
      </c>
      <c r="C4144" s="17"/>
      <c r="D4144" s="12" t="s">
        <v>86</v>
      </c>
      <c r="E4144" s="7" t="s">
        <v>212</v>
      </c>
      <c r="F4144" s="86">
        <f>VLOOKUP(B4144,'HSD UPAH,BAHAN,ALAT'!$C$6:F3874,4,FALSE)</f>
        <v>10000</v>
      </c>
      <c r="G4144" s="87">
        <f t="shared" ref="G4144:G4145" si="513">E4144*F4144</f>
        <v>160000</v>
      </c>
    </row>
    <row r="4145" spans="1:7">
      <c r="A4145" s="8">
        <v>2</v>
      </c>
      <c r="B4145" s="1" t="s">
        <v>18</v>
      </c>
      <c r="C4145" s="8"/>
      <c r="D4145" s="9" t="s">
        <v>19</v>
      </c>
      <c r="E4145" s="10">
        <v>5.0000000000000001E-3</v>
      </c>
      <c r="F4145" s="86">
        <f>VLOOKUP(B4145,'HSD UPAH,BAHAN,ALAT'!$C$6:F3875,4,FALSE)</f>
        <v>10000</v>
      </c>
      <c r="G4145" s="87">
        <f t="shared" si="513"/>
        <v>50</v>
      </c>
    </row>
    <row r="4146" spans="1:7">
      <c r="A4146" s="8">
        <v>3</v>
      </c>
      <c r="B4146" s="1" t="s">
        <v>26</v>
      </c>
      <c r="C4146" s="8"/>
      <c r="D4146" s="9"/>
      <c r="E4146" s="19"/>
      <c r="F4146" s="2"/>
      <c r="G4146" s="2"/>
    </row>
    <row r="4147" spans="1:7">
      <c r="A4147" s="8" t="s">
        <v>22</v>
      </c>
      <c r="B4147" s="1" t="s">
        <v>27</v>
      </c>
      <c r="C4147" s="8"/>
      <c r="D4147" s="9" t="s">
        <v>28</v>
      </c>
      <c r="E4147" s="10" t="s">
        <v>97</v>
      </c>
      <c r="F4147" s="86">
        <f>VLOOKUP(B4147,'HSD UPAH,BAHAN,ALAT'!$C$6:F3877,4,FALSE)</f>
        <v>10000</v>
      </c>
      <c r="G4147" s="87">
        <f t="shared" ref="G4147:G4149" si="514">E4147*F4147</f>
        <v>110</v>
      </c>
    </row>
    <row r="4148" spans="1:7">
      <c r="A4148" s="8" t="s">
        <v>30</v>
      </c>
      <c r="B4148" s="1" t="s">
        <v>31</v>
      </c>
      <c r="C4148" s="8"/>
      <c r="D4148" s="9" t="s">
        <v>28</v>
      </c>
      <c r="E4148" s="10" t="s">
        <v>59</v>
      </c>
      <c r="F4148" s="86">
        <f>VLOOKUP(B4148,'HSD UPAH,BAHAN,ALAT'!$C$6:F3878,4,FALSE)</f>
        <v>10000</v>
      </c>
      <c r="G4148" s="87">
        <f t="shared" si="514"/>
        <v>30</v>
      </c>
    </row>
    <row r="4149" spans="1:7">
      <c r="A4149" s="8" t="s">
        <v>33</v>
      </c>
      <c r="B4149" s="1" t="s">
        <v>34</v>
      </c>
      <c r="C4149" s="8"/>
      <c r="D4149" s="9" t="s">
        <v>28</v>
      </c>
      <c r="E4149" s="10" t="s">
        <v>95</v>
      </c>
      <c r="F4149" s="86">
        <f>VLOOKUP(B4149,'HSD UPAH,BAHAN,ALAT'!$C$6:F3879,4,FALSE)</f>
        <v>10000</v>
      </c>
      <c r="G4149" s="87">
        <f t="shared" si="514"/>
        <v>10</v>
      </c>
    </row>
    <row r="4150" spans="1:7">
      <c r="A4150" s="261" t="s">
        <v>421</v>
      </c>
      <c r="B4150" s="261"/>
      <c r="C4150" s="261"/>
      <c r="D4150" s="261"/>
      <c r="E4150" s="261"/>
      <c r="F4150" s="261"/>
      <c r="G4150" s="85">
        <f>SUM(G4144:G4149)</f>
        <v>160200</v>
      </c>
    </row>
    <row r="4151" spans="1:7">
      <c r="A4151" s="8" t="s">
        <v>36</v>
      </c>
      <c r="B4151" s="1" t="s">
        <v>37</v>
      </c>
      <c r="C4151" s="8"/>
      <c r="D4151" s="9"/>
      <c r="E4151" s="19"/>
      <c r="F4151" s="2"/>
      <c r="G4151" s="2"/>
    </row>
    <row r="4152" spans="1:7">
      <c r="A4152" s="263" t="s">
        <v>419</v>
      </c>
      <c r="B4152" s="263"/>
      <c r="C4152" s="263"/>
      <c r="D4152" s="263"/>
      <c r="E4152" s="263"/>
      <c r="F4152" s="263"/>
      <c r="G4152" s="80">
        <f>SUM(G4151)</f>
        <v>0</v>
      </c>
    </row>
    <row r="4153" spans="1:7">
      <c r="A4153" s="81" t="s">
        <v>38</v>
      </c>
      <c r="B4153" s="262" t="s">
        <v>39</v>
      </c>
      <c r="C4153" s="262"/>
      <c r="D4153" s="262"/>
      <c r="E4153" s="262"/>
      <c r="F4153" s="262"/>
      <c r="G4153" s="80">
        <f>SUM(G4139:G4152)/2</f>
        <v>166730</v>
      </c>
    </row>
    <row r="4154" spans="1:7">
      <c r="A4154" s="81" t="s">
        <v>40</v>
      </c>
      <c r="B4154" s="262" t="s">
        <v>180</v>
      </c>
      <c r="C4154" s="262"/>
      <c r="D4154" s="262"/>
      <c r="E4154" s="262"/>
      <c r="F4154" s="82">
        <v>0.1</v>
      </c>
      <c r="G4154" s="80">
        <f>G4153*F4154</f>
        <v>16673</v>
      </c>
    </row>
    <row r="4155" spans="1:7">
      <c r="A4155" s="81" t="s">
        <v>41</v>
      </c>
      <c r="B4155" s="262" t="s">
        <v>42</v>
      </c>
      <c r="C4155" s="262"/>
      <c r="D4155" s="262"/>
      <c r="E4155" s="262"/>
      <c r="F4155" s="262"/>
      <c r="G4155" s="80">
        <f>G4153+G4154</f>
        <v>183403</v>
      </c>
    </row>
    <row r="4156" spans="1:7">
      <c r="A4156" s="90"/>
      <c r="B4156" s="91"/>
      <c r="C4156" s="91"/>
      <c r="D4156" s="91"/>
      <c r="E4156" s="91"/>
      <c r="F4156" s="91"/>
      <c r="G4156" s="92"/>
    </row>
    <row r="4157" spans="1:7">
      <c r="A4157" s="4" t="s">
        <v>614</v>
      </c>
      <c r="B4157" s="91"/>
      <c r="C4157" s="91"/>
      <c r="D4157" s="91"/>
      <c r="E4157" s="91"/>
      <c r="F4157" s="91"/>
      <c r="G4157" s="92"/>
    </row>
    <row r="4158" spans="1:7" ht="30">
      <c r="A4158" s="79" t="s">
        <v>0</v>
      </c>
      <c r="B4158" s="79" t="s">
        <v>1</v>
      </c>
      <c r="C4158" s="79" t="s">
        <v>207</v>
      </c>
      <c r="D4158" s="79" t="s">
        <v>3</v>
      </c>
      <c r="E4158" s="79" t="s">
        <v>2</v>
      </c>
      <c r="F4158" s="79" t="s">
        <v>417</v>
      </c>
      <c r="G4158" s="79" t="s">
        <v>418</v>
      </c>
    </row>
    <row r="4159" spans="1:7">
      <c r="A4159" s="8" t="s">
        <v>4</v>
      </c>
      <c r="B4159" s="1" t="s">
        <v>5</v>
      </c>
      <c r="C4159" s="8"/>
      <c r="D4159" s="9"/>
      <c r="E4159" s="19"/>
      <c r="F4159" s="2"/>
      <c r="G4159" s="2"/>
    </row>
    <row r="4160" spans="1:7">
      <c r="A4160" s="8">
        <v>1</v>
      </c>
      <c r="B4160" s="1" t="s">
        <v>6</v>
      </c>
      <c r="C4160" s="8" t="s">
        <v>7</v>
      </c>
      <c r="D4160" s="9" t="s">
        <v>8</v>
      </c>
      <c r="E4160" s="10" t="s">
        <v>92</v>
      </c>
      <c r="F4160" s="86">
        <f>VLOOKUP(B4160,'HSD UPAH,BAHAN,ALAT'!$C$6:F3888,4,FALSE)</f>
        <v>100000</v>
      </c>
      <c r="G4160" s="87">
        <f t="shared" ref="G4160:G4162" si="515">E4160*F4160</f>
        <v>5000</v>
      </c>
    </row>
    <row r="4161" spans="1:7">
      <c r="A4161" s="8">
        <v>2</v>
      </c>
      <c r="B4161" s="1" t="s">
        <v>10</v>
      </c>
      <c r="C4161" s="8" t="s">
        <v>11</v>
      </c>
      <c r="D4161" s="9" t="s">
        <v>8</v>
      </c>
      <c r="E4161" s="10" t="s">
        <v>93</v>
      </c>
      <c r="F4161" s="86">
        <f>VLOOKUP(B4161,'HSD UPAH,BAHAN,ALAT'!$C$6:F3889,4,FALSE)</f>
        <v>120000</v>
      </c>
      <c r="G4161" s="87">
        <f t="shared" si="515"/>
        <v>1200</v>
      </c>
    </row>
    <row r="4162" spans="1:7">
      <c r="A4162" s="8">
        <v>3</v>
      </c>
      <c r="B4162" s="1" t="s">
        <v>13</v>
      </c>
      <c r="C4162" s="8" t="s">
        <v>14</v>
      </c>
      <c r="D4162" s="9" t="s">
        <v>8</v>
      </c>
      <c r="E4162" s="10" t="s">
        <v>94</v>
      </c>
      <c r="F4162" s="86">
        <f>VLOOKUP(B4162,'HSD UPAH,BAHAN,ALAT'!$C$6:F3890,4,FALSE)</f>
        <v>100000</v>
      </c>
      <c r="G4162" s="87">
        <f t="shared" si="515"/>
        <v>330</v>
      </c>
    </row>
    <row r="4163" spans="1:7">
      <c r="A4163" s="261" t="s">
        <v>420</v>
      </c>
      <c r="B4163" s="261"/>
      <c r="C4163" s="261"/>
      <c r="D4163" s="261"/>
      <c r="E4163" s="261"/>
      <c r="F4163" s="261"/>
      <c r="G4163" s="85">
        <f>SUM(G4159:G4162)</f>
        <v>6530</v>
      </c>
    </row>
    <row r="4164" spans="1:7">
      <c r="A4164" s="8" t="s">
        <v>16</v>
      </c>
      <c r="B4164" s="1" t="s">
        <v>17</v>
      </c>
      <c r="C4164" s="8"/>
      <c r="D4164" s="9"/>
      <c r="E4164" s="19"/>
      <c r="F4164" s="2"/>
      <c r="G4164" s="2"/>
    </row>
    <row r="4165" spans="1:7" ht="30">
      <c r="A4165" s="17" t="s">
        <v>208</v>
      </c>
      <c r="B4165" s="5" t="s">
        <v>353</v>
      </c>
      <c r="C4165" s="17"/>
      <c r="D4165" s="12" t="s">
        <v>86</v>
      </c>
      <c r="E4165" s="7" t="s">
        <v>212</v>
      </c>
      <c r="F4165" s="86">
        <f>VLOOKUP(B4165,'HSD UPAH,BAHAN,ALAT'!$C$6:F3893,4,FALSE)</f>
        <v>10000</v>
      </c>
      <c r="G4165" s="87">
        <f t="shared" ref="G4165:G4166" si="516">E4165*F4165</f>
        <v>160000</v>
      </c>
    </row>
    <row r="4166" spans="1:7">
      <c r="A4166" s="8">
        <v>2</v>
      </c>
      <c r="B4166" s="1" t="s">
        <v>18</v>
      </c>
      <c r="C4166" s="8"/>
      <c r="D4166" s="9" t="s">
        <v>19</v>
      </c>
      <c r="E4166" s="10">
        <v>5.0000000000000001E-3</v>
      </c>
      <c r="F4166" s="86">
        <f>VLOOKUP(B4166,'HSD UPAH,BAHAN,ALAT'!$C$6:F3894,4,FALSE)</f>
        <v>10000</v>
      </c>
      <c r="G4166" s="87">
        <f t="shared" si="516"/>
        <v>50</v>
      </c>
    </row>
    <row r="4167" spans="1:7">
      <c r="A4167" s="8">
        <v>3</v>
      </c>
      <c r="B4167" s="1" t="s">
        <v>26</v>
      </c>
      <c r="C4167" s="8"/>
      <c r="D4167" s="9"/>
      <c r="E4167" s="19"/>
      <c r="F4167" s="2"/>
      <c r="G4167" s="2"/>
    </row>
    <row r="4168" spans="1:7">
      <c r="A4168" s="8" t="s">
        <v>22</v>
      </c>
      <c r="B4168" s="1" t="s">
        <v>27</v>
      </c>
      <c r="C4168" s="8"/>
      <c r="D4168" s="9" t="s">
        <v>28</v>
      </c>
      <c r="E4168" s="10" t="s">
        <v>97</v>
      </c>
      <c r="F4168" s="86">
        <f>VLOOKUP(B4168,'HSD UPAH,BAHAN,ALAT'!$C$6:F3896,4,FALSE)</f>
        <v>10000</v>
      </c>
      <c r="G4168" s="87">
        <f t="shared" ref="G4168:G4170" si="517">E4168*F4168</f>
        <v>110</v>
      </c>
    </row>
    <row r="4169" spans="1:7">
      <c r="A4169" s="8" t="s">
        <v>30</v>
      </c>
      <c r="B4169" s="1" t="s">
        <v>31</v>
      </c>
      <c r="C4169" s="8"/>
      <c r="D4169" s="9" t="s">
        <v>28</v>
      </c>
      <c r="E4169" s="10" t="s">
        <v>59</v>
      </c>
      <c r="F4169" s="86">
        <f>VLOOKUP(B4169,'HSD UPAH,BAHAN,ALAT'!$C$6:F3897,4,FALSE)</f>
        <v>10000</v>
      </c>
      <c r="G4169" s="87">
        <f t="shared" si="517"/>
        <v>30</v>
      </c>
    </row>
    <row r="4170" spans="1:7">
      <c r="A4170" s="8" t="s">
        <v>33</v>
      </c>
      <c r="B4170" s="1" t="s">
        <v>34</v>
      </c>
      <c r="C4170" s="8"/>
      <c r="D4170" s="9" t="s">
        <v>28</v>
      </c>
      <c r="E4170" s="10" t="s">
        <v>95</v>
      </c>
      <c r="F4170" s="86">
        <f>VLOOKUP(B4170,'HSD UPAH,BAHAN,ALAT'!$C$6:F3898,4,FALSE)</f>
        <v>10000</v>
      </c>
      <c r="G4170" s="87">
        <f t="shared" si="517"/>
        <v>10</v>
      </c>
    </row>
    <row r="4171" spans="1:7">
      <c r="A4171" s="261" t="s">
        <v>421</v>
      </c>
      <c r="B4171" s="261"/>
      <c r="C4171" s="261"/>
      <c r="D4171" s="261"/>
      <c r="E4171" s="261"/>
      <c r="F4171" s="261"/>
      <c r="G4171" s="85">
        <f>SUM(G4165:G4170)</f>
        <v>160200</v>
      </c>
    </row>
    <row r="4172" spans="1:7">
      <c r="A4172" s="8" t="s">
        <v>36</v>
      </c>
      <c r="B4172" s="1" t="s">
        <v>37</v>
      </c>
      <c r="C4172" s="8"/>
      <c r="D4172" s="9"/>
      <c r="E4172" s="19"/>
      <c r="F4172" s="2"/>
      <c r="G4172" s="2"/>
    </row>
    <row r="4173" spans="1:7">
      <c r="A4173" s="263" t="s">
        <v>419</v>
      </c>
      <c r="B4173" s="263"/>
      <c r="C4173" s="263"/>
      <c r="D4173" s="263"/>
      <c r="E4173" s="263"/>
      <c r="F4173" s="263"/>
      <c r="G4173" s="80">
        <f>SUM(G4172)</f>
        <v>0</v>
      </c>
    </row>
    <row r="4174" spans="1:7">
      <c r="A4174" s="81" t="s">
        <v>38</v>
      </c>
      <c r="B4174" s="262" t="s">
        <v>39</v>
      </c>
      <c r="C4174" s="262"/>
      <c r="D4174" s="262"/>
      <c r="E4174" s="262"/>
      <c r="F4174" s="262"/>
      <c r="G4174" s="80">
        <f>SUM(G4160:G4173)/2</f>
        <v>166730</v>
      </c>
    </row>
    <row r="4175" spans="1:7">
      <c r="A4175" s="81" t="s">
        <v>40</v>
      </c>
      <c r="B4175" s="262" t="s">
        <v>180</v>
      </c>
      <c r="C4175" s="262"/>
      <c r="D4175" s="262"/>
      <c r="E4175" s="262"/>
      <c r="F4175" s="82">
        <v>0.1</v>
      </c>
      <c r="G4175" s="80">
        <f>G4174*F4175</f>
        <v>16673</v>
      </c>
    </row>
    <row r="4176" spans="1:7">
      <c r="A4176" s="81" t="s">
        <v>41</v>
      </c>
      <c r="B4176" s="262" t="s">
        <v>42</v>
      </c>
      <c r="C4176" s="262"/>
      <c r="D4176" s="262"/>
      <c r="E4176" s="262"/>
      <c r="F4176" s="262"/>
      <c r="G4176" s="80">
        <f>G4174+G4175</f>
        <v>183403</v>
      </c>
    </row>
    <row r="4177" spans="1:7">
      <c r="A4177" s="90"/>
      <c r="B4177" s="91"/>
      <c r="C4177" s="91"/>
      <c r="D4177" s="91"/>
      <c r="E4177" s="91"/>
      <c r="F4177" s="91"/>
      <c r="G4177" s="92"/>
    </row>
    <row r="4178" spans="1:7">
      <c r="A4178" s="4" t="s">
        <v>615</v>
      </c>
      <c r="B4178" s="91"/>
      <c r="C4178" s="91"/>
      <c r="D4178" s="91"/>
      <c r="E4178" s="91"/>
      <c r="F4178" s="91"/>
      <c r="G4178" s="92"/>
    </row>
    <row r="4179" spans="1:7" ht="30">
      <c r="A4179" s="79" t="s">
        <v>0</v>
      </c>
      <c r="B4179" s="79" t="s">
        <v>1</v>
      </c>
      <c r="C4179" s="79" t="s">
        <v>207</v>
      </c>
      <c r="D4179" s="79" t="s">
        <v>3</v>
      </c>
      <c r="E4179" s="79" t="s">
        <v>2</v>
      </c>
      <c r="F4179" s="79" t="s">
        <v>417</v>
      </c>
      <c r="G4179" s="79" t="s">
        <v>418</v>
      </c>
    </row>
    <row r="4180" spans="1:7">
      <c r="A4180" s="8" t="s">
        <v>4</v>
      </c>
      <c r="B4180" s="1" t="s">
        <v>5</v>
      </c>
      <c r="C4180" s="8"/>
      <c r="D4180" s="9"/>
      <c r="E4180" s="19"/>
      <c r="F4180" s="2"/>
      <c r="G4180" s="2"/>
    </row>
    <row r="4181" spans="1:7">
      <c r="A4181" s="8">
        <v>1</v>
      </c>
      <c r="B4181" s="1" t="s">
        <v>6</v>
      </c>
      <c r="C4181" s="8" t="s">
        <v>7</v>
      </c>
      <c r="D4181" s="9" t="s">
        <v>8</v>
      </c>
      <c r="E4181" s="10" t="s">
        <v>92</v>
      </c>
      <c r="F4181" s="86">
        <f>VLOOKUP(B4181,'HSD UPAH,BAHAN,ALAT'!$C$6:F3907,4,FALSE)</f>
        <v>100000</v>
      </c>
      <c r="G4181" s="87">
        <f t="shared" ref="G4181:G4183" si="518">E4181*F4181</f>
        <v>5000</v>
      </c>
    </row>
    <row r="4182" spans="1:7">
      <c r="A4182" s="8">
        <v>2</v>
      </c>
      <c r="B4182" s="1" t="s">
        <v>10</v>
      </c>
      <c r="C4182" s="8" t="s">
        <v>11</v>
      </c>
      <c r="D4182" s="9" t="s">
        <v>8</v>
      </c>
      <c r="E4182" s="10" t="s">
        <v>93</v>
      </c>
      <c r="F4182" s="86">
        <f>VLOOKUP(B4182,'HSD UPAH,BAHAN,ALAT'!$C$6:F3908,4,FALSE)</f>
        <v>120000</v>
      </c>
      <c r="G4182" s="87">
        <f t="shared" si="518"/>
        <v>1200</v>
      </c>
    </row>
    <row r="4183" spans="1:7">
      <c r="A4183" s="8">
        <v>3</v>
      </c>
      <c r="B4183" s="1" t="s">
        <v>13</v>
      </c>
      <c r="C4183" s="8" t="s">
        <v>14</v>
      </c>
      <c r="D4183" s="9" t="s">
        <v>8</v>
      </c>
      <c r="E4183" s="10" t="s">
        <v>94</v>
      </c>
      <c r="F4183" s="86">
        <f>VLOOKUP(B4183,'HSD UPAH,BAHAN,ALAT'!$C$6:F3909,4,FALSE)</f>
        <v>100000</v>
      </c>
      <c r="G4183" s="87">
        <f t="shared" si="518"/>
        <v>330</v>
      </c>
    </row>
    <row r="4184" spans="1:7">
      <c r="A4184" s="261" t="s">
        <v>420</v>
      </c>
      <c r="B4184" s="261"/>
      <c r="C4184" s="261"/>
      <c r="D4184" s="261"/>
      <c r="E4184" s="261"/>
      <c r="F4184" s="261"/>
      <c r="G4184" s="85">
        <f>SUM(G4180:G4183)</f>
        <v>6530</v>
      </c>
    </row>
    <row r="4185" spans="1:7">
      <c r="A4185" s="8" t="s">
        <v>16</v>
      </c>
      <c r="B4185" s="1" t="s">
        <v>17</v>
      </c>
      <c r="C4185" s="8"/>
      <c r="D4185" s="9"/>
      <c r="E4185" s="19"/>
      <c r="F4185" s="2"/>
      <c r="G4185" s="2"/>
    </row>
    <row r="4186" spans="1:7" ht="30">
      <c r="A4186" s="17" t="s">
        <v>208</v>
      </c>
      <c r="B4186" s="5" t="s">
        <v>354</v>
      </c>
      <c r="C4186" s="17"/>
      <c r="D4186" s="12" t="s">
        <v>86</v>
      </c>
      <c r="E4186" s="7" t="s">
        <v>212</v>
      </c>
      <c r="F4186" s="86">
        <f>VLOOKUP(B4186,'HSD UPAH,BAHAN,ALAT'!$C$6:F3912,4,FALSE)</f>
        <v>10000</v>
      </c>
      <c r="G4186" s="87">
        <f t="shared" ref="G4186:G4187" si="519">E4186*F4186</f>
        <v>160000</v>
      </c>
    </row>
    <row r="4187" spans="1:7">
      <c r="A4187" s="8">
        <v>2</v>
      </c>
      <c r="B4187" s="1" t="s">
        <v>18</v>
      </c>
      <c r="C4187" s="8"/>
      <c r="D4187" s="9" t="s">
        <v>19</v>
      </c>
      <c r="E4187" s="10">
        <v>5.0000000000000001E-3</v>
      </c>
      <c r="F4187" s="86">
        <f>VLOOKUP(B4187,'HSD UPAH,BAHAN,ALAT'!$C$6:F3913,4,FALSE)</f>
        <v>10000</v>
      </c>
      <c r="G4187" s="87">
        <f t="shared" si="519"/>
        <v>50</v>
      </c>
    </row>
    <row r="4188" spans="1:7">
      <c r="A4188" s="8">
        <v>3</v>
      </c>
      <c r="B4188" s="1" t="s">
        <v>26</v>
      </c>
      <c r="C4188" s="8"/>
      <c r="D4188" s="9"/>
      <c r="E4188" s="19"/>
      <c r="F4188" s="2"/>
      <c r="G4188" s="2"/>
    </row>
    <row r="4189" spans="1:7">
      <c r="A4189" s="8" t="s">
        <v>22</v>
      </c>
      <c r="B4189" s="1" t="s">
        <v>27</v>
      </c>
      <c r="C4189" s="8"/>
      <c r="D4189" s="9" t="s">
        <v>28</v>
      </c>
      <c r="E4189" s="10" t="s">
        <v>97</v>
      </c>
      <c r="F4189" s="86">
        <f>VLOOKUP(B4189,'HSD UPAH,BAHAN,ALAT'!$C$6:F3915,4,FALSE)</f>
        <v>10000</v>
      </c>
      <c r="G4189" s="87">
        <f t="shared" ref="G4189:G4191" si="520">E4189*F4189</f>
        <v>110</v>
      </c>
    </row>
    <row r="4190" spans="1:7">
      <c r="A4190" s="8" t="s">
        <v>30</v>
      </c>
      <c r="B4190" s="1" t="s">
        <v>31</v>
      </c>
      <c r="C4190" s="8"/>
      <c r="D4190" s="9" t="s">
        <v>28</v>
      </c>
      <c r="E4190" s="10" t="s">
        <v>59</v>
      </c>
      <c r="F4190" s="86">
        <f>VLOOKUP(B4190,'HSD UPAH,BAHAN,ALAT'!$C$6:F3916,4,FALSE)</f>
        <v>10000</v>
      </c>
      <c r="G4190" s="87">
        <f t="shared" si="520"/>
        <v>30</v>
      </c>
    </row>
    <row r="4191" spans="1:7">
      <c r="A4191" s="8" t="s">
        <v>33</v>
      </c>
      <c r="B4191" s="1" t="s">
        <v>34</v>
      </c>
      <c r="C4191" s="8"/>
      <c r="D4191" s="9" t="s">
        <v>28</v>
      </c>
      <c r="E4191" s="10" t="s">
        <v>95</v>
      </c>
      <c r="F4191" s="86">
        <f>VLOOKUP(B4191,'HSD UPAH,BAHAN,ALAT'!$C$6:F3917,4,FALSE)</f>
        <v>10000</v>
      </c>
      <c r="G4191" s="87">
        <f t="shared" si="520"/>
        <v>10</v>
      </c>
    </row>
    <row r="4192" spans="1:7">
      <c r="A4192" s="261" t="s">
        <v>421</v>
      </c>
      <c r="B4192" s="261"/>
      <c r="C4192" s="261"/>
      <c r="D4192" s="261"/>
      <c r="E4192" s="261"/>
      <c r="F4192" s="261"/>
      <c r="G4192" s="85">
        <f>SUM(G4186:G4191)</f>
        <v>160200</v>
      </c>
    </row>
    <row r="4193" spans="1:7">
      <c r="A4193" s="8" t="s">
        <v>36</v>
      </c>
      <c r="B4193" s="1" t="s">
        <v>37</v>
      </c>
      <c r="C4193" s="8"/>
      <c r="D4193" s="9"/>
      <c r="E4193" s="19"/>
      <c r="F4193" s="2"/>
      <c r="G4193" s="2"/>
    </row>
    <row r="4194" spans="1:7">
      <c r="A4194" s="263" t="s">
        <v>419</v>
      </c>
      <c r="B4194" s="263"/>
      <c r="C4194" s="263"/>
      <c r="D4194" s="263"/>
      <c r="E4194" s="263"/>
      <c r="F4194" s="263"/>
      <c r="G4194" s="80">
        <f>SUM(G4193)</f>
        <v>0</v>
      </c>
    </row>
    <row r="4195" spans="1:7">
      <c r="A4195" s="81" t="s">
        <v>38</v>
      </c>
      <c r="B4195" s="262" t="s">
        <v>39</v>
      </c>
      <c r="C4195" s="262"/>
      <c r="D4195" s="262"/>
      <c r="E4195" s="262"/>
      <c r="F4195" s="262"/>
      <c r="G4195" s="80">
        <f>SUM(G4181:G4194)/2</f>
        <v>166730</v>
      </c>
    </row>
    <row r="4196" spans="1:7">
      <c r="A4196" s="81" t="s">
        <v>40</v>
      </c>
      <c r="B4196" s="262" t="s">
        <v>180</v>
      </c>
      <c r="C4196" s="262"/>
      <c r="D4196" s="262"/>
      <c r="E4196" s="262"/>
      <c r="F4196" s="82">
        <v>0.1</v>
      </c>
      <c r="G4196" s="80">
        <f>G4195*F4196</f>
        <v>16673</v>
      </c>
    </row>
    <row r="4197" spans="1:7">
      <c r="A4197" s="81" t="s">
        <v>41</v>
      </c>
      <c r="B4197" s="262" t="s">
        <v>42</v>
      </c>
      <c r="C4197" s="262"/>
      <c r="D4197" s="262"/>
      <c r="E4197" s="262"/>
      <c r="F4197" s="262"/>
      <c r="G4197" s="80">
        <f>G4195+G4196</f>
        <v>183403</v>
      </c>
    </row>
    <row r="4198" spans="1:7">
      <c r="A4198" s="90"/>
      <c r="B4198" s="91"/>
      <c r="C4198" s="91"/>
      <c r="D4198" s="91"/>
      <c r="E4198" s="91"/>
      <c r="F4198" s="91"/>
      <c r="G4198" s="92"/>
    </row>
    <row r="4199" spans="1:7">
      <c r="A4199" s="4" t="s">
        <v>616</v>
      </c>
      <c r="B4199" s="91"/>
      <c r="C4199" s="91"/>
      <c r="D4199" s="91"/>
      <c r="E4199" s="91"/>
      <c r="F4199" s="91"/>
      <c r="G4199" s="92"/>
    </row>
    <row r="4200" spans="1:7" ht="30">
      <c r="A4200" s="79" t="s">
        <v>0</v>
      </c>
      <c r="B4200" s="79" t="s">
        <v>1</v>
      </c>
      <c r="C4200" s="79" t="s">
        <v>207</v>
      </c>
      <c r="D4200" s="79" t="s">
        <v>3</v>
      </c>
      <c r="E4200" s="79" t="s">
        <v>2</v>
      </c>
      <c r="F4200" s="79" t="s">
        <v>417</v>
      </c>
      <c r="G4200" s="79" t="s">
        <v>418</v>
      </c>
    </row>
    <row r="4201" spans="1:7">
      <c r="A4201" s="8" t="s">
        <v>4</v>
      </c>
      <c r="B4201" s="1" t="s">
        <v>5</v>
      </c>
      <c r="C4201" s="8"/>
      <c r="D4201" s="9"/>
      <c r="E4201" s="19"/>
      <c r="F4201" s="2"/>
      <c r="G4201" s="2"/>
    </row>
    <row r="4202" spans="1:7">
      <c r="A4202" s="8">
        <v>1</v>
      </c>
      <c r="B4202" s="1" t="s">
        <v>6</v>
      </c>
      <c r="C4202" s="8" t="s">
        <v>7</v>
      </c>
      <c r="D4202" s="9" t="s">
        <v>8</v>
      </c>
      <c r="E4202" s="10" t="s">
        <v>92</v>
      </c>
      <c r="F4202" s="86">
        <f>VLOOKUP(B4202,'HSD UPAH,BAHAN,ALAT'!$C$6:F3926,4,FALSE)</f>
        <v>100000</v>
      </c>
      <c r="G4202" s="87">
        <f t="shared" ref="G4202:G4204" si="521">E4202*F4202</f>
        <v>5000</v>
      </c>
    </row>
    <row r="4203" spans="1:7">
      <c r="A4203" s="8">
        <v>2</v>
      </c>
      <c r="B4203" s="1" t="s">
        <v>10</v>
      </c>
      <c r="C4203" s="8" t="s">
        <v>11</v>
      </c>
      <c r="D4203" s="9" t="s">
        <v>8</v>
      </c>
      <c r="E4203" s="10" t="s">
        <v>93</v>
      </c>
      <c r="F4203" s="86">
        <f>VLOOKUP(B4203,'HSD UPAH,BAHAN,ALAT'!$C$6:F3927,4,FALSE)</f>
        <v>120000</v>
      </c>
      <c r="G4203" s="87">
        <f t="shared" si="521"/>
        <v>1200</v>
      </c>
    </row>
    <row r="4204" spans="1:7">
      <c r="A4204" s="8">
        <v>3</v>
      </c>
      <c r="B4204" s="1" t="s">
        <v>13</v>
      </c>
      <c r="C4204" s="8" t="s">
        <v>14</v>
      </c>
      <c r="D4204" s="9" t="s">
        <v>8</v>
      </c>
      <c r="E4204" s="10" t="s">
        <v>94</v>
      </c>
      <c r="F4204" s="86">
        <f>VLOOKUP(B4204,'HSD UPAH,BAHAN,ALAT'!$C$6:F3928,4,FALSE)</f>
        <v>100000</v>
      </c>
      <c r="G4204" s="87">
        <f t="shared" si="521"/>
        <v>330</v>
      </c>
    </row>
    <row r="4205" spans="1:7">
      <c r="A4205" s="261" t="s">
        <v>420</v>
      </c>
      <c r="B4205" s="261"/>
      <c r="C4205" s="261"/>
      <c r="D4205" s="261"/>
      <c r="E4205" s="261"/>
      <c r="F4205" s="261"/>
      <c r="G4205" s="85">
        <f>SUM(G4201:G4204)</f>
        <v>6530</v>
      </c>
    </row>
    <row r="4206" spans="1:7">
      <c r="A4206" s="8" t="s">
        <v>16</v>
      </c>
      <c r="B4206" s="1" t="s">
        <v>17</v>
      </c>
      <c r="C4206" s="8"/>
      <c r="D4206" s="9"/>
      <c r="E4206" s="19"/>
      <c r="F4206" s="2"/>
      <c r="G4206" s="2"/>
    </row>
    <row r="4207" spans="1:7" ht="30">
      <c r="A4207" s="17" t="s">
        <v>208</v>
      </c>
      <c r="B4207" s="5" t="s">
        <v>355</v>
      </c>
      <c r="C4207" s="17"/>
      <c r="D4207" s="12" t="s">
        <v>86</v>
      </c>
      <c r="E4207" s="7" t="s">
        <v>212</v>
      </c>
      <c r="F4207" s="86">
        <f>VLOOKUP(B4207,'HSD UPAH,BAHAN,ALAT'!$C$6:F3931,4,FALSE)</f>
        <v>10000</v>
      </c>
      <c r="G4207" s="87">
        <f t="shared" ref="G4207:G4208" si="522">E4207*F4207</f>
        <v>160000</v>
      </c>
    </row>
    <row r="4208" spans="1:7">
      <c r="A4208" s="8">
        <v>2</v>
      </c>
      <c r="B4208" s="1" t="s">
        <v>18</v>
      </c>
      <c r="C4208" s="8"/>
      <c r="D4208" s="9" t="s">
        <v>19</v>
      </c>
      <c r="E4208" s="10">
        <v>5.0000000000000001E-3</v>
      </c>
      <c r="F4208" s="86">
        <f>VLOOKUP(B4208,'HSD UPAH,BAHAN,ALAT'!$C$6:F3932,4,FALSE)</f>
        <v>10000</v>
      </c>
      <c r="G4208" s="87">
        <f t="shared" si="522"/>
        <v>50</v>
      </c>
    </row>
    <row r="4209" spans="1:7">
      <c r="A4209" s="8">
        <v>3</v>
      </c>
      <c r="B4209" s="1" t="s">
        <v>26</v>
      </c>
      <c r="C4209" s="8"/>
      <c r="D4209" s="9"/>
      <c r="E4209" s="19"/>
      <c r="F4209" s="2"/>
      <c r="G4209" s="2"/>
    </row>
    <row r="4210" spans="1:7">
      <c r="A4210" s="8" t="s">
        <v>22</v>
      </c>
      <c r="B4210" s="1" t="s">
        <v>27</v>
      </c>
      <c r="C4210" s="8"/>
      <c r="D4210" s="9" t="s">
        <v>28</v>
      </c>
      <c r="E4210" s="10" t="s">
        <v>97</v>
      </c>
      <c r="F4210" s="86">
        <f>VLOOKUP(B4210,'HSD UPAH,BAHAN,ALAT'!$C$6:F3934,4,FALSE)</f>
        <v>10000</v>
      </c>
      <c r="G4210" s="87">
        <f t="shared" ref="G4210:G4212" si="523">E4210*F4210</f>
        <v>110</v>
      </c>
    </row>
    <row r="4211" spans="1:7">
      <c r="A4211" s="8" t="s">
        <v>30</v>
      </c>
      <c r="B4211" s="1" t="s">
        <v>31</v>
      </c>
      <c r="C4211" s="8"/>
      <c r="D4211" s="9" t="s">
        <v>28</v>
      </c>
      <c r="E4211" s="10" t="s">
        <v>59</v>
      </c>
      <c r="F4211" s="86">
        <f>VLOOKUP(B4211,'HSD UPAH,BAHAN,ALAT'!$C$6:F3935,4,FALSE)</f>
        <v>10000</v>
      </c>
      <c r="G4211" s="87">
        <f t="shared" si="523"/>
        <v>30</v>
      </c>
    </row>
    <row r="4212" spans="1:7">
      <c r="A4212" s="8" t="s">
        <v>33</v>
      </c>
      <c r="B4212" s="1" t="s">
        <v>34</v>
      </c>
      <c r="C4212" s="8"/>
      <c r="D4212" s="9" t="s">
        <v>28</v>
      </c>
      <c r="E4212" s="10" t="s">
        <v>95</v>
      </c>
      <c r="F4212" s="86">
        <f>VLOOKUP(B4212,'HSD UPAH,BAHAN,ALAT'!$C$6:F3936,4,FALSE)</f>
        <v>10000</v>
      </c>
      <c r="G4212" s="87">
        <f t="shared" si="523"/>
        <v>10</v>
      </c>
    </row>
    <row r="4213" spans="1:7">
      <c r="A4213" s="261" t="s">
        <v>421</v>
      </c>
      <c r="B4213" s="261"/>
      <c r="C4213" s="261"/>
      <c r="D4213" s="261"/>
      <c r="E4213" s="261"/>
      <c r="F4213" s="261"/>
      <c r="G4213" s="85">
        <f>SUM(G4207:G4212)</f>
        <v>160200</v>
      </c>
    </row>
    <row r="4214" spans="1:7">
      <c r="A4214" s="8" t="s">
        <v>36</v>
      </c>
      <c r="B4214" s="1" t="s">
        <v>37</v>
      </c>
      <c r="C4214" s="8"/>
      <c r="D4214" s="9"/>
      <c r="E4214" s="19"/>
      <c r="F4214" s="2"/>
      <c r="G4214" s="2"/>
    </row>
    <row r="4215" spans="1:7">
      <c r="A4215" s="263" t="s">
        <v>419</v>
      </c>
      <c r="B4215" s="263"/>
      <c r="C4215" s="263"/>
      <c r="D4215" s="263"/>
      <c r="E4215" s="263"/>
      <c r="F4215" s="263"/>
      <c r="G4215" s="80">
        <f>SUM(G4214)</f>
        <v>0</v>
      </c>
    </row>
    <row r="4216" spans="1:7">
      <c r="A4216" s="81" t="s">
        <v>38</v>
      </c>
      <c r="B4216" s="262" t="s">
        <v>39</v>
      </c>
      <c r="C4216" s="262"/>
      <c r="D4216" s="262"/>
      <c r="E4216" s="262"/>
      <c r="F4216" s="262"/>
      <c r="G4216" s="80">
        <f>SUM(G4201:G4215)/2</f>
        <v>166730</v>
      </c>
    </row>
    <row r="4217" spans="1:7">
      <c r="A4217" s="81" t="s">
        <v>40</v>
      </c>
      <c r="B4217" s="262" t="s">
        <v>180</v>
      </c>
      <c r="C4217" s="262"/>
      <c r="D4217" s="262"/>
      <c r="E4217" s="262"/>
      <c r="F4217" s="82">
        <v>0.1</v>
      </c>
      <c r="G4217" s="80">
        <f>G4216*F4217</f>
        <v>16673</v>
      </c>
    </row>
    <row r="4218" spans="1:7">
      <c r="A4218" s="81" t="s">
        <v>41</v>
      </c>
      <c r="B4218" s="262" t="s">
        <v>42</v>
      </c>
      <c r="C4218" s="262"/>
      <c r="D4218" s="262"/>
      <c r="E4218" s="262"/>
      <c r="F4218" s="262"/>
      <c r="G4218" s="80">
        <f>G4216+G4217</f>
        <v>183403</v>
      </c>
    </row>
    <row r="4219" spans="1:7">
      <c r="A4219" s="90"/>
      <c r="B4219" s="91"/>
      <c r="C4219" s="91"/>
      <c r="D4219" s="91"/>
      <c r="E4219" s="91"/>
      <c r="F4219" s="91"/>
      <c r="G4219" s="92"/>
    </row>
    <row r="4220" spans="1:7">
      <c r="A4220" s="96" t="s">
        <v>617</v>
      </c>
      <c r="B4220" s="91"/>
      <c r="C4220" s="91"/>
      <c r="D4220" s="91"/>
      <c r="E4220" s="91"/>
      <c r="F4220" s="91"/>
      <c r="G4220" s="92"/>
    </row>
    <row r="4221" spans="1:7" ht="30">
      <c r="A4221" s="156" t="s">
        <v>0</v>
      </c>
      <c r="B4221" s="156" t="s">
        <v>1</v>
      </c>
      <c r="C4221" s="156" t="s">
        <v>207</v>
      </c>
      <c r="D4221" s="156" t="s">
        <v>3</v>
      </c>
      <c r="E4221" s="156" t="s">
        <v>2</v>
      </c>
      <c r="F4221" s="156" t="s">
        <v>417</v>
      </c>
      <c r="G4221" s="156" t="s">
        <v>418</v>
      </c>
    </row>
    <row r="4222" spans="1:7">
      <c r="A4222" s="157" t="s">
        <v>4</v>
      </c>
      <c r="B4222" s="158" t="s">
        <v>5</v>
      </c>
      <c r="C4222" s="157"/>
      <c r="D4222" s="159"/>
      <c r="E4222" s="160"/>
      <c r="F4222" s="88"/>
      <c r="G4222" s="88"/>
    </row>
    <row r="4223" spans="1:7">
      <c r="A4223" s="157">
        <v>1</v>
      </c>
      <c r="B4223" s="158" t="s">
        <v>6</v>
      </c>
      <c r="C4223" s="157" t="s">
        <v>7</v>
      </c>
      <c r="D4223" s="159" t="s">
        <v>8</v>
      </c>
      <c r="E4223" s="161" t="s">
        <v>92</v>
      </c>
      <c r="F4223" s="86">
        <f>VLOOKUP(B4223,'HSD UPAH,BAHAN,ALAT'!$C$6:F3945,4,FALSE)</f>
        <v>100000</v>
      </c>
      <c r="G4223" s="87">
        <f t="shared" ref="G4223:G4225" si="524">E4223*F4223</f>
        <v>5000</v>
      </c>
    </row>
    <row r="4224" spans="1:7">
      <c r="A4224" s="157">
        <v>2</v>
      </c>
      <c r="B4224" s="158" t="s">
        <v>10</v>
      </c>
      <c r="C4224" s="157" t="s">
        <v>11</v>
      </c>
      <c r="D4224" s="159" t="s">
        <v>8</v>
      </c>
      <c r="E4224" s="161" t="s">
        <v>93</v>
      </c>
      <c r="F4224" s="86">
        <f>VLOOKUP(B4224,'HSD UPAH,BAHAN,ALAT'!$C$6:F3946,4,FALSE)</f>
        <v>120000</v>
      </c>
      <c r="G4224" s="87">
        <f t="shared" si="524"/>
        <v>1200</v>
      </c>
    </row>
    <row r="4225" spans="1:7">
      <c r="A4225" s="157">
        <v>3</v>
      </c>
      <c r="B4225" s="158" t="s">
        <v>13</v>
      </c>
      <c r="C4225" s="157" t="s">
        <v>14</v>
      </c>
      <c r="D4225" s="159" t="s">
        <v>8</v>
      </c>
      <c r="E4225" s="161" t="s">
        <v>94</v>
      </c>
      <c r="F4225" s="86">
        <f>VLOOKUP(B4225,'HSD UPAH,BAHAN,ALAT'!$C$6:F3947,4,FALSE)</f>
        <v>100000</v>
      </c>
      <c r="G4225" s="87">
        <f t="shared" si="524"/>
        <v>330</v>
      </c>
    </row>
    <row r="4226" spans="1:7">
      <c r="A4226" s="266" t="s">
        <v>420</v>
      </c>
      <c r="B4226" s="266"/>
      <c r="C4226" s="266"/>
      <c r="D4226" s="266"/>
      <c r="E4226" s="266"/>
      <c r="F4226" s="266"/>
      <c r="G4226" s="162">
        <f>SUM(G4222:G4225)</f>
        <v>6530</v>
      </c>
    </row>
    <row r="4227" spans="1:7">
      <c r="A4227" s="157" t="s">
        <v>16</v>
      </c>
      <c r="B4227" s="158" t="s">
        <v>17</v>
      </c>
      <c r="C4227" s="157"/>
      <c r="D4227" s="159"/>
      <c r="E4227" s="160"/>
      <c r="F4227" s="88"/>
      <c r="G4227" s="88"/>
    </row>
    <row r="4228" spans="1:7" ht="30">
      <c r="A4228" s="163" t="s">
        <v>208</v>
      </c>
      <c r="B4228" s="164" t="s">
        <v>356</v>
      </c>
      <c r="C4228" s="163"/>
      <c r="D4228" s="165" t="s">
        <v>86</v>
      </c>
      <c r="E4228" s="160">
        <v>16</v>
      </c>
      <c r="F4228" s="86">
        <f>VLOOKUP(B4228,'HSD UPAH,BAHAN,ALAT'!$C$6:F3950,4,FALSE)</f>
        <v>10000</v>
      </c>
      <c r="G4228" s="87">
        <f t="shared" ref="G4228:G4233" si="525">E4228*F4228</f>
        <v>160000</v>
      </c>
    </row>
    <row r="4229" spans="1:7">
      <c r="A4229" s="157">
        <v>2</v>
      </c>
      <c r="B4229" s="158" t="s">
        <v>18</v>
      </c>
      <c r="C4229" s="157"/>
      <c r="D4229" s="159" t="s">
        <v>19</v>
      </c>
      <c r="E4229" s="160">
        <v>5.0000000000000001E-3</v>
      </c>
      <c r="F4229" s="86">
        <f>VLOOKUP(B4229,'HSD UPAH,BAHAN,ALAT'!$C$6:F3951,4,FALSE)</f>
        <v>10000</v>
      </c>
      <c r="G4229" s="87">
        <f t="shared" si="525"/>
        <v>50</v>
      </c>
    </row>
    <row r="4230" spans="1:7">
      <c r="A4230" s="157">
        <v>3</v>
      </c>
      <c r="B4230" s="158" t="s">
        <v>26</v>
      </c>
      <c r="C4230" s="157"/>
      <c r="D4230" s="159"/>
      <c r="E4230" s="160"/>
      <c r="F4230" s="86"/>
      <c r="G4230" s="87">
        <f t="shared" si="525"/>
        <v>0</v>
      </c>
    </row>
    <row r="4231" spans="1:7">
      <c r="A4231" s="157" t="s">
        <v>22</v>
      </c>
      <c r="B4231" s="158" t="s">
        <v>27</v>
      </c>
      <c r="C4231" s="157"/>
      <c r="D4231" s="159" t="s">
        <v>28</v>
      </c>
      <c r="E4231" s="160">
        <v>1.0999999999999999E-2</v>
      </c>
      <c r="F4231" s="86">
        <f>VLOOKUP(B4231,'HSD UPAH,BAHAN,ALAT'!$C$6:F3953,4,FALSE)</f>
        <v>10000</v>
      </c>
      <c r="G4231" s="87">
        <f t="shared" si="525"/>
        <v>110</v>
      </c>
    </row>
    <row r="4232" spans="1:7">
      <c r="A4232" s="157" t="s">
        <v>30</v>
      </c>
      <c r="B4232" s="158" t="s">
        <v>31</v>
      </c>
      <c r="C4232" s="157"/>
      <c r="D4232" s="159" t="s">
        <v>28</v>
      </c>
      <c r="E4232" s="160">
        <v>3.0000000000000001E-3</v>
      </c>
      <c r="F4232" s="86">
        <f>VLOOKUP(B4232,'HSD UPAH,BAHAN,ALAT'!$C$6:F3954,4,FALSE)</f>
        <v>10000</v>
      </c>
      <c r="G4232" s="87">
        <f t="shared" si="525"/>
        <v>30</v>
      </c>
    </row>
    <row r="4233" spans="1:7">
      <c r="A4233" s="157" t="s">
        <v>33</v>
      </c>
      <c r="B4233" s="158" t="s">
        <v>34</v>
      </c>
      <c r="C4233" s="157"/>
      <c r="D4233" s="159" t="s">
        <v>28</v>
      </c>
      <c r="E4233" s="160">
        <v>1E-3</v>
      </c>
      <c r="F4233" s="86">
        <f>VLOOKUP(B4233,'HSD UPAH,BAHAN,ALAT'!$C$6:F3955,4,FALSE)</f>
        <v>10000</v>
      </c>
      <c r="G4233" s="87">
        <f t="shared" si="525"/>
        <v>10</v>
      </c>
    </row>
    <row r="4234" spans="1:7">
      <c r="A4234" s="266" t="s">
        <v>421</v>
      </c>
      <c r="B4234" s="266"/>
      <c r="C4234" s="266"/>
      <c r="D4234" s="266"/>
      <c r="E4234" s="266"/>
      <c r="F4234" s="266"/>
      <c r="G4234" s="162">
        <f>SUM(G4228:G4233)</f>
        <v>160200</v>
      </c>
    </row>
    <row r="4235" spans="1:7">
      <c r="A4235" s="157" t="s">
        <v>36</v>
      </c>
      <c r="B4235" s="158" t="s">
        <v>37</v>
      </c>
      <c r="C4235" s="157"/>
      <c r="D4235" s="159"/>
      <c r="E4235" s="160"/>
      <c r="F4235" s="88"/>
      <c r="G4235" s="88"/>
    </row>
    <row r="4236" spans="1:7">
      <c r="A4236" s="265" t="s">
        <v>419</v>
      </c>
      <c r="B4236" s="265"/>
      <c r="C4236" s="265"/>
      <c r="D4236" s="265"/>
      <c r="E4236" s="265"/>
      <c r="F4236" s="265"/>
      <c r="G4236" s="167">
        <f>SUM(G4235)</f>
        <v>0</v>
      </c>
    </row>
    <row r="4237" spans="1:7">
      <c r="A4237" s="168" t="s">
        <v>38</v>
      </c>
      <c r="B4237" s="264" t="s">
        <v>39</v>
      </c>
      <c r="C4237" s="264"/>
      <c r="D4237" s="264"/>
      <c r="E4237" s="264"/>
      <c r="F4237" s="264"/>
      <c r="G4237" s="167">
        <f>SUM(G4223:G4236)/2</f>
        <v>166730</v>
      </c>
    </row>
    <row r="4238" spans="1:7">
      <c r="A4238" s="168" t="s">
        <v>40</v>
      </c>
      <c r="B4238" s="264" t="s">
        <v>180</v>
      </c>
      <c r="C4238" s="264"/>
      <c r="D4238" s="264"/>
      <c r="E4238" s="264"/>
      <c r="F4238" s="169">
        <v>0.1</v>
      </c>
      <c r="G4238" s="167">
        <f>G4237*F4238</f>
        <v>16673</v>
      </c>
    </row>
    <row r="4239" spans="1:7">
      <c r="A4239" s="168" t="s">
        <v>41</v>
      </c>
      <c r="B4239" s="264" t="s">
        <v>42</v>
      </c>
      <c r="C4239" s="264"/>
      <c r="D4239" s="264"/>
      <c r="E4239" s="264"/>
      <c r="F4239" s="264"/>
      <c r="G4239" s="167">
        <f>G4237+G4238</f>
        <v>183403</v>
      </c>
    </row>
    <row r="4240" spans="1:7">
      <c r="A4240" s="178"/>
      <c r="B4240" s="179"/>
      <c r="C4240" s="179"/>
      <c r="D4240" s="179"/>
      <c r="E4240" s="179"/>
      <c r="F4240" s="179"/>
      <c r="G4240" s="180"/>
    </row>
    <row r="4241" spans="1:7">
      <c r="A4241" s="174" t="s">
        <v>618</v>
      </c>
      <c r="B4241" s="179"/>
      <c r="C4241" s="179"/>
      <c r="D4241" s="179"/>
      <c r="E4241" s="179"/>
      <c r="F4241" s="179"/>
      <c r="G4241" s="180"/>
    </row>
    <row r="4242" spans="1:7" ht="30">
      <c r="A4242" s="79" t="s">
        <v>0</v>
      </c>
      <c r="B4242" s="79" t="s">
        <v>1</v>
      </c>
      <c r="C4242" s="79" t="s">
        <v>207</v>
      </c>
      <c r="D4242" s="79" t="s">
        <v>3</v>
      </c>
      <c r="E4242" s="79" t="s">
        <v>2</v>
      </c>
      <c r="F4242" s="79" t="s">
        <v>417</v>
      </c>
      <c r="G4242" s="79" t="s">
        <v>418</v>
      </c>
    </row>
    <row r="4243" spans="1:7">
      <c r="A4243" s="8" t="s">
        <v>4</v>
      </c>
      <c r="B4243" s="1" t="s">
        <v>5</v>
      </c>
      <c r="C4243" s="8"/>
      <c r="D4243" s="9"/>
      <c r="E4243" s="19"/>
      <c r="F4243" s="2"/>
      <c r="G4243" s="2"/>
    </row>
    <row r="4244" spans="1:7">
      <c r="A4244" s="8">
        <v>1</v>
      </c>
      <c r="B4244" s="1" t="s">
        <v>6</v>
      </c>
      <c r="C4244" s="8" t="s">
        <v>7</v>
      </c>
      <c r="D4244" s="9" t="s">
        <v>8</v>
      </c>
      <c r="E4244" s="10" t="s">
        <v>92</v>
      </c>
      <c r="F4244" s="86">
        <f>VLOOKUP(B4244,'HSD UPAH,BAHAN,ALAT'!$C$6:F3964,4,FALSE)</f>
        <v>100000</v>
      </c>
      <c r="G4244" s="87">
        <f t="shared" ref="G4244:G4246" si="526">E4244*F4244</f>
        <v>5000</v>
      </c>
    </row>
    <row r="4245" spans="1:7">
      <c r="A4245" s="8">
        <v>2</v>
      </c>
      <c r="B4245" s="1" t="s">
        <v>10</v>
      </c>
      <c r="C4245" s="8" t="s">
        <v>11</v>
      </c>
      <c r="D4245" s="9" t="s">
        <v>8</v>
      </c>
      <c r="E4245" s="10" t="s">
        <v>93</v>
      </c>
      <c r="F4245" s="86">
        <f>VLOOKUP(B4245,'HSD UPAH,BAHAN,ALAT'!$C$6:F3965,4,FALSE)</f>
        <v>120000</v>
      </c>
      <c r="G4245" s="87">
        <f t="shared" si="526"/>
        <v>1200</v>
      </c>
    </row>
    <row r="4246" spans="1:7">
      <c r="A4246" s="8">
        <v>3</v>
      </c>
      <c r="B4246" s="1" t="s">
        <v>13</v>
      </c>
      <c r="C4246" s="8" t="s">
        <v>14</v>
      </c>
      <c r="D4246" s="9" t="s">
        <v>8</v>
      </c>
      <c r="E4246" s="10" t="s">
        <v>94</v>
      </c>
      <c r="F4246" s="86">
        <f>VLOOKUP(B4246,'HSD UPAH,BAHAN,ALAT'!$C$6:F3966,4,FALSE)</f>
        <v>100000</v>
      </c>
      <c r="G4246" s="87">
        <f t="shared" si="526"/>
        <v>330</v>
      </c>
    </row>
    <row r="4247" spans="1:7">
      <c r="A4247" s="261" t="s">
        <v>420</v>
      </c>
      <c r="B4247" s="261"/>
      <c r="C4247" s="261"/>
      <c r="D4247" s="261"/>
      <c r="E4247" s="261"/>
      <c r="F4247" s="261"/>
      <c r="G4247" s="85">
        <f>SUM(G4243:G4246)</f>
        <v>6530</v>
      </c>
    </row>
    <row r="4248" spans="1:7">
      <c r="A4248" s="8" t="s">
        <v>16</v>
      </c>
      <c r="B4248" s="1" t="s">
        <v>17</v>
      </c>
      <c r="C4248" s="8"/>
      <c r="D4248" s="9"/>
      <c r="E4248" s="19"/>
      <c r="F4248" s="88"/>
      <c r="G4248" s="88"/>
    </row>
    <row r="4249" spans="1:7" ht="30">
      <c r="A4249" s="17" t="s">
        <v>208</v>
      </c>
      <c r="B4249" s="5" t="s">
        <v>357</v>
      </c>
      <c r="C4249" s="17"/>
      <c r="D4249" s="12" t="s">
        <v>86</v>
      </c>
      <c r="E4249" s="7" t="s">
        <v>212</v>
      </c>
      <c r="F4249" s="86">
        <f>VLOOKUP(B4249,'HSD UPAH,BAHAN,ALAT'!$C$6:F3969,4,FALSE)</f>
        <v>10000</v>
      </c>
      <c r="G4249" s="87">
        <f t="shared" ref="G4249:G4250" si="527">E4249*F4249</f>
        <v>160000</v>
      </c>
    </row>
    <row r="4250" spans="1:7">
      <c r="A4250" s="8">
        <v>2</v>
      </c>
      <c r="B4250" s="1" t="s">
        <v>18</v>
      </c>
      <c r="C4250" s="8"/>
      <c r="D4250" s="9" t="s">
        <v>19</v>
      </c>
      <c r="E4250" s="10">
        <v>5.0000000000000001E-3</v>
      </c>
      <c r="F4250" s="86">
        <f>VLOOKUP(B4250,'HSD UPAH,BAHAN,ALAT'!$C$6:F3970,4,FALSE)</f>
        <v>10000</v>
      </c>
      <c r="G4250" s="87">
        <f t="shared" si="527"/>
        <v>50</v>
      </c>
    </row>
    <row r="4251" spans="1:7">
      <c r="A4251" s="8">
        <v>3</v>
      </c>
      <c r="B4251" s="1" t="s">
        <v>26</v>
      </c>
      <c r="C4251" s="8"/>
      <c r="D4251" s="9"/>
      <c r="E4251" s="19"/>
      <c r="F4251" s="88"/>
      <c r="G4251" s="88"/>
    </row>
    <row r="4252" spans="1:7">
      <c r="A4252" s="8" t="s">
        <v>22</v>
      </c>
      <c r="B4252" s="1" t="s">
        <v>27</v>
      </c>
      <c r="C4252" s="8"/>
      <c r="D4252" s="9" t="s">
        <v>28</v>
      </c>
      <c r="E4252" s="10" t="s">
        <v>97</v>
      </c>
      <c r="F4252" s="86">
        <f>VLOOKUP(B4252,'HSD UPAH,BAHAN,ALAT'!$C$6:F3972,4,FALSE)</f>
        <v>10000</v>
      </c>
      <c r="G4252" s="87">
        <f t="shared" ref="G4252:G4254" si="528">E4252*F4252</f>
        <v>110</v>
      </c>
    </row>
    <row r="4253" spans="1:7">
      <c r="A4253" s="8" t="s">
        <v>30</v>
      </c>
      <c r="B4253" s="1" t="s">
        <v>31</v>
      </c>
      <c r="C4253" s="8"/>
      <c r="D4253" s="9" t="s">
        <v>28</v>
      </c>
      <c r="E4253" s="10" t="s">
        <v>59</v>
      </c>
      <c r="F4253" s="86">
        <f>VLOOKUP(B4253,'HSD UPAH,BAHAN,ALAT'!$C$6:F3973,4,FALSE)</f>
        <v>10000</v>
      </c>
      <c r="G4253" s="87">
        <f t="shared" si="528"/>
        <v>30</v>
      </c>
    </row>
    <row r="4254" spans="1:7">
      <c r="A4254" s="8" t="s">
        <v>33</v>
      </c>
      <c r="B4254" s="1" t="s">
        <v>34</v>
      </c>
      <c r="C4254" s="8"/>
      <c r="D4254" s="9" t="s">
        <v>28</v>
      </c>
      <c r="E4254" s="10" t="s">
        <v>95</v>
      </c>
      <c r="F4254" s="86">
        <f>VLOOKUP(B4254,'HSD UPAH,BAHAN,ALAT'!$C$6:F3974,4,FALSE)</f>
        <v>10000</v>
      </c>
      <c r="G4254" s="87">
        <f t="shared" si="528"/>
        <v>10</v>
      </c>
    </row>
    <row r="4255" spans="1:7">
      <c r="A4255" s="261" t="s">
        <v>421</v>
      </c>
      <c r="B4255" s="261"/>
      <c r="C4255" s="261"/>
      <c r="D4255" s="261"/>
      <c r="E4255" s="261"/>
      <c r="F4255" s="261"/>
      <c r="G4255" s="85">
        <f>SUM(G4249:G4254)</f>
        <v>160200</v>
      </c>
    </row>
    <row r="4256" spans="1:7">
      <c r="A4256" s="8" t="s">
        <v>36</v>
      </c>
      <c r="B4256" s="1" t="s">
        <v>37</v>
      </c>
      <c r="C4256" s="8"/>
      <c r="D4256" s="9"/>
      <c r="E4256" s="19"/>
      <c r="F4256" s="2"/>
      <c r="G4256" s="2"/>
    </row>
    <row r="4257" spans="1:7">
      <c r="A4257" s="263" t="s">
        <v>419</v>
      </c>
      <c r="B4257" s="263"/>
      <c r="C4257" s="263"/>
      <c r="D4257" s="263"/>
      <c r="E4257" s="263"/>
      <c r="F4257" s="263"/>
      <c r="G4257" s="80">
        <f>SUM(G4256)</f>
        <v>0</v>
      </c>
    </row>
    <row r="4258" spans="1:7">
      <c r="A4258" s="81" t="s">
        <v>38</v>
      </c>
      <c r="B4258" s="262" t="s">
        <v>39</v>
      </c>
      <c r="C4258" s="262"/>
      <c r="D4258" s="262"/>
      <c r="E4258" s="262"/>
      <c r="F4258" s="262"/>
      <c r="G4258" s="80">
        <f>SUM(G4244:G4257)/2</f>
        <v>166730</v>
      </c>
    </row>
    <row r="4259" spans="1:7">
      <c r="A4259" s="81" t="s">
        <v>40</v>
      </c>
      <c r="B4259" s="262" t="s">
        <v>180</v>
      </c>
      <c r="C4259" s="262"/>
      <c r="D4259" s="262"/>
      <c r="E4259" s="262"/>
      <c r="F4259" s="82">
        <v>0.1</v>
      </c>
      <c r="G4259" s="80">
        <f>G4258*F4259</f>
        <v>16673</v>
      </c>
    </row>
    <row r="4260" spans="1:7">
      <c r="A4260" s="81" t="s">
        <v>41</v>
      </c>
      <c r="B4260" s="262" t="s">
        <v>42</v>
      </c>
      <c r="C4260" s="262"/>
      <c r="D4260" s="262"/>
      <c r="E4260" s="262"/>
      <c r="F4260" s="262"/>
      <c r="G4260" s="80">
        <f>G4258+G4259</f>
        <v>183403</v>
      </c>
    </row>
    <row r="4261" spans="1:7">
      <c r="A4261" s="90"/>
      <c r="B4261" s="91"/>
      <c r="C4261" s="91"/>
      <c r="D4261" s="91"/>
      <c r="E4261" s="91"/>
      <c r="F4261" s="91"/>
      <c r="G4261" s="92"/>
    </row>
    <row r="4262" spans="1:7">
      <c r="A4262" s="4" t="s">
        <v>619</v>
      </c>
      <c r="B4262" s="91"/>
      <c r="C4262" s="91"/>
      <c r="D4262" s="91"/>
      <c r="E4262" s="91"/>
      <c r="F4262" s="91"/>
      <c r="G4262" s="92"/>
    </row>
    <row r="4263" spans="1:7" ht="30">
      <c r="A4263" s="79" t="s">
        <v>0</v>
      </c>
      <c r="B4263" s="79" t="s">
        <v>1</v>
      </c>
      <c r="C4263" s="79" t="s">
        <v>207</v>
      </c>
      <c r="D4263" s="79" t="s">
        <v>3</v>
      </c>
      <c r="E4263" s="79" t="s">
        <v>2</v>
      </c>
      <c r="F4263" s="79" t="s">
        <v>417</v>
      </c>
      <c r="G4263" s="79" t="s">
        <v>418</v>
      </c>
    </row>
    <row r="4264" spans="1:7">
      <c r="A4264" s="8" t="s">
        <v>4</v>
      </c>
      <c r="B4264" s="1" t="s">
        <v>5</v>
      </c>
      <c r="C4264" s="8"/>
      <c r="D4264" s="9"/>
      <c r="E4264" s="19"/>
      <c r="F4264" s="2"/>
      <c r="G4264" s="2"/>
    </row>
    <row r="4265" spans="1:7">
      <c r="A4265" s="8">
        <v>1</v>
      </c>
      <c r="B4265" s="1" t="s">
        <v>6</v>
      </c>
      <c r="C4265" s="8" t="s">
        <v>7</v>
      </c>
      <c r="D4265" s="9" t="s">
        <v>8</v>
      </c>
      <c r="E4265" s="10" t="s">
        <v>92</v>
      </c>
      <c r="F4265" s="86">
        <f>VLOOKUP(B4265,'HSD UPAH,BAHAN,ALAT'!$C$6:F3983,4,FALSE)</f>
        <v>100000</v>
      </c>
      <c r="G4265" s="87">
        <f t="shared" ref="G4265:G4267" si="529">E4265*F4265</f>
        <v>5000</v>
      </c>
    </row>
    <row r="4266" spans="1:7">
      <c r="A4266" s="8">
        <v>2</v>
      </c>
      <c r="B4266" s="1" t="s">
        <v>10</v>
      </c>
      <c r="C4266" s="8" t="s">
        <v>11</v>
      </c>
      <c r="D4266" s="9" t="s">
        <v>8</v>
      </c>
      <c r="E4266" s="10" t="s">
        <v>93</v>
      </c>
      <c r="F4266" s="86">
        <f>VLOOKUP(B4266,'HSD UPAH,BAHAN,ALAT'!$C$6:F3984,4,FALSE)</f>
        <v>120000</v>
      </c>
      <c r="G4266" s="87">
        <f t="shared" si="529"/>
        <v>1200</v>
      </c>
    </row>
    <row r="4267" spans="1:7">
      <c r="A4267" s="8">
        <v>3</v>
      </c>
      <c r="B4267" s="1" t="s">
        <v>13</v>
      </c>
      <c r="C4267" s="8" t="s">
        <v>14</v>
      </c>
      <c r="D4267" s="9" t="s">
        <v>8</v>
      </c>
      <c r="E4267" s="10" t="s">
        <v>94</v>
      </c>
      <c r="F4267" s="86">
        <f>VLOOKUP(B4267,'HSD UPAH,BAHAN,ALAT'!$C$6:F3985,4,FALSE)</f>
        <v>100000</v>
      </c>
      <c r="G4267" s="87">
        <f t="shared" si="529"/>
        <v>330</v>
      </c>
    </row>
    <row r="4268" spans="1:7">
      <c r="A4268" s="261" t="s">
        <v>420</v>
      </c>
      <c r="B4268" s="261"/>
      <c r="C4268" s="261"/>
      <c r="D4268" s="261"/>
      <c r="E4268" s="261"/>
      <c r="F4268" s="261"/>
      <c r="G4268" s="85">
        <f>SUM(G4264:G4267)</f>
        <v>6530</v>
      </c>
    </row>
    <row r="4269" spans="1:7">
      <c r="A4269" s="8" t="s">
        <v>16</v>
      </c>
      <c r="B4269" s="1" t="s">
        <v>17</v>
      </c>
      <c r="C4269" s="8"/>
      <c r="D4269" s="9"/>
      <c r="E4269" s="19"/>
      <c r="F4269" s="2"/>
      <c r="G4269" s="2"/>
    </row>
    <row r="4270" spans="1:7" ht="30">
      <c r="A4270" s="17" t="s">
        <v>208</v>
      </c>
      <c r="B4270" s="5" t="s">
        <v>358</v>
      </c>
      <c r="C4270" s="17"/>
      <c r="D4270" s="12" t="s">
        <v>86</v>
      </c>
      <c r="E4270" s="7" t="s">
        <v>212</v>
      </c>
      <c r="F4270" s="86">
        <f>VLOOKUP(B4270,'HSD UPAH,BAHAN,ALAT'!$C$6:F3988,4,FALSE)</f>
        <v>10000</v>
      </c>
      <c r="G4270" s="87">
        <f t="shared" ref="G4270:G4271" si="530">E4270*F4270</f>
        <v>160000</v>
      </c>
    </row>
    <row r="4271" spans="1:7">
      <c r="A4271" s="8">
        <v>2</v>
      </c>
      <c r="B4271" s="1" t="s">
        <v>18</v>
      </c>
      <c r="C4271" s="8"/>
      <c r="D4271" s="9" t="s">
        <v>19</v>
      </c>
      <c r="E4271" s="10">
        <v>5.0000000000000001E-3</v>
      </c>
      <c r="F4271" s="86">
        <f>VLOOKUP(B4271,'HSD UPAH,BAHAN,ALAT'!$C$6:F3989,4,FALSE)</f>
        <v>10000</v>
      </c>
      <c r="G4271" s="87">
        <f t="shared" si="530"/>
        <v>50</v>
      </c>
    </row>
    <row r="4272" spans="1:7">
      <c r="A4272" s="8">
        <v>3</v>
      </c>
      <c r="B4272" s="1" t="s">
        <v>26</v>
      </c>
      <c r="C4272" s="8"/>
      <c r="D4272" s="9"/>
      <c r="E4272" s="19"/>
      <c r="F4272" s="2"/>
      <c r="G4272" s="2"/>
    </row>
    <row r="4273" spans="1:7">
      <c r="A4273" s="8" t="s">
        <v>22</v>
      </c>
      <c r="B4273" s="1" t="s">
        <v>27</v>
      </c>
      <c r="C4273" s="8"/>
      <c r="D4273" s="9" t="s">
        <v>28</v>
      </c>
      <c r="E4273" s="10" t="s">
        <v>97</v>
      </c>
      <c r="F4273" s="86">
        <f>VLOOKUP(B4273,'HSD UPAH,BAHAN,ALAT'!$C$6:F3991,4,FALSE)</f>
        <v>10000</v>
      </c>
      <c r="G4273" s="87">
        <f t="shared" ref="G4273:G4275" si="531">E4273*F4273</f>
        <v>110</v>
      </c>
    </row>
    <row r="4274" spans="1:7">
      <c r="A4274" s="8" t="s">
        <v>30</v>
      </c>
      <c r="B4274" s="1" t="s">
        <v>31</v>
      </c>
      <c r="C4274" s="8"/>
      <c r="D4274" s="9" t="s">
        <v>28</v>
      </c>
      <c r="E4274" s="10" t="s">
        <v>59</v>
      </c>
      <c r="F4274" s="86">
        <f>VLOOKUP(B4274,'HSD UPAH,BAHAN,ALAT'!$C$6:F3992,4,FALSE)</f>
        <v>10000</v>
      </c>
      <c r="G4274" s="87">
        <f t="shared" si="531"/>
        <v>30</v>
      </c>
    </row>
    <row r="4275" spans="1:7">
      <c r="A4275" s="8" t="s">
        <v>33</v>
      </c>
      <c r="B4275" s="1" t="s">
        <v>34</v>
      </c>
      <c r="C4275" s="8"/>
      <c r="D4275" s="9" t="s">
        <v>28</v>
      </c>
      <c r="E4275" s="10" t="s">
        <v>95</v>
      </c>
      <c r="F4275" s="86">
        <f>VLOOKUP(B4275,'HSD UPAH,BAHAN,ALAT'!$C$6:F3993,4,FALSE)</f>
        <v>10000</v>
      </c>
      <c r="G4275" s="87">
        <f t="shared" si="531"/>
        <v>10</v>
      </c>
    </row>
    <row r="4276" spans="1:7">
      <c r="A4276" s="261" t="s">
        <v>421</v>
      </c>
      <c r="B4276" s="261"/>
      <c r="C4276" s="261"/>
      <c r="D4276" s="261"/>
      <c r="E4276" s="261"/>
      <c r="F4276" s="261"/>
      <c r="G4276" s="85">
        <f>SUM(G4270:G4275)</f>
        <v>160200</v>
      </c>
    </row>
    <row r="4277" spans="1:7">
      <c r="A4277" s="8" t="s">
        <v>36</v>
      </c>
      <c r="B4277" s="1" t="s">
        <v>37</v>
      </c>
      <c r="C4277" s="8"/>
      <c r="D4277" s="9"/>
      <c r="E4277" s="19"/>
      <c r="F4277" s="2"/>
      <c r="G4277" s="2"/>
    </row>
    <row r="4278" spans="1:7">
      <c r="A4278" s="263" t="s">
        <v>419</v>
      </c>
      <c r="B4278" s="263"/>
      <c r="C4278" s="263"/>
      <c r="D4278" s="263"/>
      <c r="E4278" s="263"/>
      <c r="F4278" s="263"/>
      <c r="G4278" s="80">
        <f>SUM(G4277)</f>
        <v>0</v>
      </c>
    </row>
    <row r="4279" spans="1:7">
      <c r="A4279" s="81" t="s">
        <v>38</v>
      </c>
      <c r="B4279" s="262" t="s">
        <v>39</v>
      </c>
      <c r="C4279" s="262"/>
      <c r="D4279" s="262"/>
      <c r="E4279" s="262"/>
      <c r="F4279" s="262"/>
      <c r="G4279" s="80">
        <f>SUM(G4265:G4278)/2</f>
        <v>166730</v>
      </c>
    </row>
    <row r="4280" spans="1:7">
      <c r="A4280" s="81" t="s">
        <v>40</v>
      </c>
      <c r="B4280" s="262" t="s">
        <v>180</v>
      </c>
      <c r="C4280" s="262"/>
      <c r="D4280" s="262"/>
      <c r="E4280" s="262"/>
      <c r="F4280" s="82">
        <v>0.1</v>
      </c>
      <c r="G4280" s="80">
        <f>G4279*F4280</f>
        <v>16673</v>
      </c>
    </row>
    <row r="4281" spans="1:7">
      <c r="A4281" s="81" t="s">
        <v>41</v>
      </c>
      <c r="B4281" s="262" t="s">
        <v>42</v>
      </c>
      <c r="C4281" s="262"/>
      <c r="D4281" s="262"/>
      <c r="E4281" s="262"/>
      <c r="F4281" s="262"/>
      <c r="G4281" s="80">
        <f>G4279+G4280</f>
        <v>183403</v>
      </c>
    </row>
    <row r="4282" spans="1:7">
      <c r="A4282" s="90"/>
      <c r="B4282" s="91"/>
      <c r="C4282" s="91"/>
      <c r="D4282" s="91"/>
      <c r="E4282" s="91"/>
      <c r="F4282" s="91"/>
      <c r="G4282" s="92"/>
    </row>
    <row r="4283" spans="1:7">
      <c r="A4283" s="4" t="s">
        <v>620</v>
      </c>
      <c r="B4283" s="91"/>
      <c r="C4283" s="91"/>
      <c r="D4283" s="91"/>
      <c r="E4283" s="91"/>
      <c r="F4283" s="91"/>
      <c r="G4283" s="92"/>
    </row>
    <row r="4284" spans="1:7" ht="30">
      <c r="A4284" s="79" t="s">
        <v>0</v>
      </c>
      <c r="B4284" s="79" t="s">
        <v>1</v>
      </c>
      <c r="C4284" s="79" t="s">
        <v>207</v>
      </c>
      <c r="D4284" s="79" t="s">
        <v>3</v>
      </c>
      <c r="E4284" s="79" t="s">
        <v>2</v>
      </c>
      <c r="F4284" s="79" t="s">
        <v>417</v>
      </c>
      <c r="G4284" s="79" t="s">
        <v>418</v>
      </c>
    </row>
    <row r="4285" spans="1:7">
      <c r="A4285" s="8" t="s">
        <v>4</v>
      </c>
      <c r="B4285" s="1" t="s">
        <v>5</v>
      </c>
      <c r="C4285" s="8"/>
      <c r="D4285" s="9"/>
      <c r="E4285" s="19"/>
      <c r="F4285" s="2"/>
      <c r="G4285" s="2"/>
    </row>
    <row r="4286" spans="1:7">
      <c r="A4286" s="8">
        <v>1</v>
      </c>
      <c r="B4286" s="1" t="s">
        <v>6</v>
      </c>
      <c r="C4286" s="8" t="s">
        <v>7</v>
      </c>
      <c r="D4286" s="9" t="s">
        <v>8</v>
      </c>
      <c r="E4286" s="10" t="s">
        <v>92</v>
      </c>
      <c r="F4286" s="86">
        <f>VLOOKUP(B4286,'HSD UPAH,BAHAN,ALAT'!$C$6:F4002,4,FALSE)</f>
        <v>100000</v>
      </c>
      <c r="G4286" s="87">
        <f t="shared" ref="G4286:G4288" si="532">E4286*F4286</f>
        <v>5000</v>
      </c>
    </row>
    <row r="4287" spans="1:7">
      <c r="A4287" s="8">
        <v>2</v>
      </c>
      <c r="B4287" s="1" t="s">
        <v>10</v>
      </c>
      <c r="C4287" s="8" t="s">
        <v>11</v>
      </c>
      <c r="D4287" s="9" t="s">
        <v>8</v>
      </c>
      <c r="E4287" s="10" t="s">
        <v>93</v>
      </c>
      <c r="F4287" s="86">
        <f>VLOOKUP(B4287,'HSD UPAH,BAHAN,ALAT'!$C$6:F4003,4,FALSE)</f>
        <v>120000</v>
      </c>
      <c r="G4287" s="87">
        <f t="shared" si="532"/>
        <v>1200</v>
      </c>
    </row>
    <row r="4288" spans="1:7">
      <c r="A4288" s="8">
        <v>3</v>
      </c>
      <c r="B4288" s="1" t="s">
        <v>13</v>
      </c>
      <c r="C4288" s="8" t="s">
        <v>14</v>
      </c>
      <c r="D4288" s="9" t="s">
        <v>8</v>
      </c>
      <c r="E4288" s="10" t="s">
        <v>94</v>
      </c>
      <c r="F4288" s="86">
        <f>VLOOKUP(B4288,'HSD UPAH,BAHAN,ALAT'!$C$6:F4004,4,FALSE)</f>
        <v>100000</v>
      </c>
      <c r="G4288" s="87">
        <f t="shared" si="532"/>
        <v>330</v>
      </c>
    </row>
    <row r="4289" spans="1:7">
      <c r="A4289" s="261" t="s">
        <v>420</v>
      </c>
      <c r="B4289" s="261"/>
      <c r="C4289" s="261"/>
      <c r="D4289" s="261"/>
      <c r="E4289" s="261"/>
      <c r="F4289" s="261"/>
      <c r="G4289" s="85">
        <f>SUM(G4285:G4288)</f>
        <v>6530</v>
      </c>
    </row>
    <row r="4290" spans="1:7">
      <c r="A4290" s="8" t="s">
        <v>16</v>
      </c>
      <c r="B4290" s="1" t="s">
        <v>17</v>
      </c>
      <c r="C4290" s="8"/>
      <c r="D4290" s="9"/>
      <c r="E4290" s="19"/>
      <c r="F4290" s="2"/>
      <c r="G4290" s="2"/>
    </row>
    <row r="4291" spans="1:7" ht="30">
      <c r="A4291" s="17" t="s">
        <v>208</v>
      </c>
      <c r="B4291" s="5" t="s">
        <v>359</v>
      </c>
      <c r="C4291" s="17"/>
      <c r="D4291" s="12" t="s">
        <v>86</v>
      </c>
      <c r="E4291" s="7" t="s">
        <v>212</v>
      </c>
      <c r="F4291" s="86">
        <f>VLOOKUP(B4291,'HSD UPAH,BAHAN,ALAT'!$C$6:F4007,4,FALSE)</f>
        <v>10000</v>
      </c>
      <c r="G4291" s="87">
        <f t="shared" ref="G4291:G4292" si="533">E4291*F4291</f>
        <v>160000</v>
      </c>
    </row>
    <row r="4292" spans="1:7">
      <c r="A4292" s="8">
        <v>2</v>
      </c>
      <c r="B4292" s="1" t="s">
        <v>18</v>
      </c>
      <c r="C4292" s="8"/>
      <c r="D4292" s="9" t="s">
        <v>19</v>
      </c>
      <c r="E4292" s="10">
        <v>5.0000000000000001E-3</v>
      </c>
      <c r="F4292" s="86">
        <f>VLOOKUP(B4292,'HSD UPAH,BAHAN,ALAT'!$C$6:F4008,4,FALSE)</f>
        <v>10000</v>
      </c>
      <c r="G4292" s="87">
        <f t="shared" si="533"/>
        <v>50</v>
      </c>
    </row>
    <row r="4293" spans="1:7">
      <c r="A4293" s="8">
        <v>3</v>
      </c>
      <c r="B4293" s="1" t="s">
        <v>26</v>
      </c>
      <c r="C4293" s="8"/>
      <c r="D4293" s="9"/>
      <c r="E4293" s="19"/>
      <c r="F4293" s="2"/>
      <c r="G4293" s="2"/>
    </row>
    <row r="4294" spans="1:7">
      <c r="A4294" s="8" t="s">
        <v>22</v>
      </c>
      <c r="B4294" s="1" t="s">
        <v>27</v>
      </c>
      <c r="C4294" s="8"/>
      <c r="D4294" s="9" t="s">
        <v>28</v>
      </c>
      <c r="E4294" s="10" t="s">
        <v>97</v>
      </c>
      <c r="F4294" s="86">
        <f>VLOOKUP(B4294,'HSD UPAH,BAHAN,ALAT'!$C$6:F4010,4,FALSE)</f>
        <v>10000</v>
      </c>
      <c r="G4294" s="87">
        <f t="shared" ref="G4294:G4296" si="534">E4294*F4294</f>
        <v>110</v>
      </c>
    </row>
    <row r="4295" spans="1:7">
      <c r="A4295" s="8" t="s">
        <v>30</v>
      </c>
      <c r="B4295" s="1" t="s">
        <v>31</v>
      </c>
      <c r="C4295" s="8"/>
      <c r="D4295" s="9" t="s">
        <v>28</v>
      </c>
      <c r="E4295" s="10" t="s">
        <v>59</v>
      </c>
      <c r="F4295" s="86">
        <f>VLOOKUP(B4295,'HSD UPAH,BAHAN,ALAT'!$C$6:F4011,4,FALSE)</f>
        <v>10000</v>
      </c>
      <c r="G4295" s="87">
        <f t="shared" si="534"/>
        <v>30</v>
      </c>
    </row>
    <row r="4296" spans="1:7">
      <c r="A4296" s="8" t="s">
        <v>33</v>
      </c>
      <c r="B4296" s="1" t="s">
        <v>34</v>
      </c>
      <c r="C4296" s="8"/>
      <c r="D4296" s="9" t="s">
        <v>28</v>
      </c>
      <c r="E4296" s="10" t="s">
        <v>95</v>
      </c>
      <c r="F4296" s="86">
        <f>VLOOKUP(B4296,'HSD UPAH,BAHAN,ALAT'!$C$6:F4012,4,FALSE)</f>
        <v>10000</v>
      </c>
      <c r="G4296" s="87">
        <f t="shared" si="534"/>
        <v>10</v>
      </c>
    </row>
    <row r="4297" spans="1:7">
      <c r="A4297" s="261" t="s">
        <v>421</v>
      </c>
      <c r="B4297" s="261"/>
      <c r="C4297" s="261"/>
      <c r="D4297" s="261"/>
      <c r="E4297" s="261"/>
      <c r="F4297" s="261"/>
      <c r="G4297" s="85">
        <f>SUM(G4291:G4296)</f>
        <v>160200</v>
      </c>
    </row>
    <row r="4298" spans="1:7">
      <c r="A4298" s="8" t="s">
        <v>36</v>
      </c>
      <c r="B4298" s="1" t="s">
        <v>37</v>
      </c>
      <c r="C4298" s="8"/>
      <c r="D4298" s="9"/>
      <c r="E4298" s="19"/>
      <c r="F4298" s="2"/>
      <c r="G4298" s="2"/>
    </row>
    <row r="4299" spans="1:7">
      <c r="A4299" s="263" t="s">
        <v>419</v>
      </c>
      <c r="B4299" s="263"/>
      <c r="C4299" s="263"/>
      <c r="D4299" s="263"/>
      <c r="E4299" s="263"/>
      <c r="F4299" s="263"/>
      <c r="G4299" s="80">
        <f>SUM(G4298)</f>
        <v>0</v>
      </c>
    </row>
    <row r="4300" spans="1:7">
      <c r="A4300" s="81" t="s">
        <v>38</v>
      </c>
      <c r="B4300" s="262" t="s">
        <v>39</v>
      </c>
      <c r="C4300" s="262"/>
      <c r="D4300" s="262"/>
      <c r="E4300" s="262"/>
      <c r="F4300" s="262"/>
      <c r="G4300" s="80">
        <f>SUM(G4286:G4299)/2</f>
        <v>166730</v>
      </c>
    </row>
    <row r="4301" spans="1:7">
      <c r="A4301" s="81" t="s">
        <v>40</v>
      </c>
      <c r="B4301" s="262" t="s">
        <v>180</v>
      </c>
      <c r="C4301" s="262"/>
      <c r="D4301" s="262"/>
      <c r="E4301" s="262"/>
      <c r="F4301" s="82">
        <v>0.1</v>
      </c>
      <c r="G4301" s="80">
        <f>G4300*F4301</f>
        <v>16673</v>
      </c>
    </row>
    <row r="4302" spans="1:7">
      <c r="A4302" s="81" t="s">
        <v>41</v>
      </c>
      <c r="B4302" s="262" t="s">
        <v>42</v>
      </c>
      <c r="C4302" s="262"/>
      <c r="D4302" s="262"/>
      <c r="E4302" s="262"/>
      <c r="F4302" s="262"/>
      <c r="G4302" s="80">
        <f>G4300+G4301</f>
        <v>183403</v>
      </c>
    </row>
    <row r="4303" spans="1:7">
      <c r="A4303" s="90"/>
      <c r="B4303" s="91"/>
      <c r="C4303" s="91"/>
      <c r="D4303" s="91"/>
      <c r="E4303" s="91"/>
      <c r="F4303" s="91"/>
      <c r="G4303" s="92"/>
    </row>
    <row r="4304" spans="1:7" s="183" customFormat="1">
      <c r="A4304" s="187" t="s">
        <v>833</v>
      </c>
      <c r="B4304" s="211"/>
      <c r="C4304" s="211"/>
      <c r="D4304" s="211"/>
      <c r="E4304" s="211"/>
      <c r="F4304" s="211"/>
      <c r="G4304" s="212"/>
    </row>
    <row r="4305" spans="1:7" s="183" customFormat="1" ht="30">
      <c r="A4305" s="193" t="s">
        <v>0</v>
      </c>
      <c r="B4305" s="193" t="s">
        <v>1</v>
      </c>
      <c r="C4305" s="193" t="s">
        <v>207</v>
      </c>
      <c r="D4305" s="193" t="s">
        <v>3</v>
      </c>
      <c r="E4305" s="193" t="s">
        <v>2</v>
      </c>
      <c r="F4305" s="193" t="s">
        <v>417</v>
      </c>
      <c r="G4305" s="193" t="s">
        <v>418</v>
      </c>
    </row>
    <row r="4306" spans="1:7" s="183" customFormat="1">
      <c r="A4306" s="194" t="s">
        <v>4</v>
      </c>
      <c r="B4306" s="195" t="s">
        <v>5</v>
      </c>
      <c r="C4306" s="194"/>
      <c r="D4306" s="196"/>
      <c r="E4306" s="197"/>
      <c r="F4306" s="198"/>
      <c r="G4306" s="198"/>
    </row>
    <row r="4307" spans="1:7" s="183" customFormat="1">
      <c r="A4307" s="194">
        <v>1</v>
      </c>
      <c r="B4307" s="195" t="s">
        <v>6</v>
      </c>
      <c r="C4307" s="194" t="s">
        <v>7</v>
      </c>
      <c r="D4307" s="196" t="s">
        <v>8</v>
      </c>
      <c r="E4307" s="199" t="s">
        <v>92</v>
      </c>
      <c r="F4307" s="200">
        <f>VLOOKUP(B4307,'HSD UPAH,BAHAN,ALAT'!$C$6:F4023,4,FALSE)</f>
        <v>100000</v>
      </c>
      <c r="G4307" s="201">
        <f t="shared" ref="G4307:G4309" si="535">E4307*F4307</f>
        <v>5000</v>
      </c>
    </row>
    <row r="4308" spans="1:7" s="183" customFormat="1">
      <c r="A4308" s="194">
        <v>2</v>
      </c>
      <c r="B4308" s="195" t="s">
        <v>10</v>
      </c>
      <c r="C4308" s="194" t="s">
        <v>11</v>
      </c>
      <c r="D4308" s="196" t="s">
        <v>8</v>
      </c>
      <c r="E4308" s="199" t="s">
        <v>93</v>
      </c>
      <c r="F4308" s="200">
        <f>VLOOKUP(B4308,'HSD UPAH,BAHAN,ALAT'!$C$6:F4024,4,FALSE)</f>
        <v>120000</v>
      </c>
      <c r="G4308" s="201">
        <f t="shared" si="535"/>
        <v>1200</v>
      </c>
    </row>
    <row r="4309" spans="1:7" s="183" customFormat="1">
      <c r="A4309" s="194">
        <v>3</v>
      </c>
      <c r="B4309" s="195" t="s">
        <v>13</v>
      </c>
      <c r="C4309" s="194" t="s">
        <v>14</v>
      </c>
      <c r="D4309" s="196" t="s">
        <v>8</v>
      </c>
      <c r="E4309" s="199" t="s">
        <v>94</v>
      </c>
      <c r="F4309" s="200">
        <f>VLOOKUP(B4309,'HSD UPAH,BAHAN,ALAT'!$C$6:F4025,4,FALSE)</f>
        <v>100000</v>
      </c>
      <c r="G4309" s="201">
        <f t="shared" si="535"/>
        <v>330</v>
      </c>
    </row>
    <row r="4310" spans="1:7" s="183" customFormat="1">
      <c r="A4310" s="260" t="s">
        <v>420</v>
      </c>
      <c r="B4310" s="260"/>
      <c r="C4310" s="260"/>
      <c r="D4310" s="260"/>
      <c r="E4310" s="260"/>
      <c r="F4310" s="260"/>
      <c r="G4310" s="202">
        <f>SUM(G4306:G4309)</f>
        <v>6530</v>
      </c>
    </row>
    <row r="4311" spans="1:7" s="183" customFormat="1">
      <c r="A4311" s="194" t="s">
        <v>16</v>
      </c>
      <c r="B4311" s="195" t="s">
        <v>17</v>
      </c>
      <c r="C4311" s="194"/>
      <c r="D4311" s="196"/>
      <c r="E4311" s="197"/>
      <c r="F4311" s="198"/>
      <c r="G4311" s="198"/>
    </row>
    <row r="4312" spans="1:7" s="183" customFormat="1" ht="30">
      <c r="A4312" s="203" t="s">
        <v>208</v>
      </c>
      <c r="B4312" s="204" t="s">
        <v>834</v>
      </c>
      <c r="C4312" s="203"/>
      <c r="D4312" s="205" t="s">
        <v>86</v>
      </c>
      <c r="E4312" s="206" t="s">
        <v>212</v>
      </c>
      <c r="F4312" s="200">
        <f>VLOOKUP(B4312,'HSD UPAH,BAHAN,ALAT'!$C$6:F4028,4,FALSE)</f>
        <v>10000</v>
      </c>
      <c r="G4312" s="201">
        <f t="shared" ref="G4312:G4313" si="536">E4312*F4312</f>
        <v>160000</v>
      </c>
    </row>
    <row r="4313" spans="1:7" s="183" customFormat="1">
      <c r="A4313" s="194">
        <v>2</v>
      </c>
      <c r="B4313" s="195" t="s">
        <v>18</v>
      </c>
      <c r="C4313" s="194"/>
      <c r="D4313" s="196" t="s">
        <v>19</v>
      </c>
      <c r="E4313" s="199">
        <v>5.0000000000000001E-3</v>
      </c>
      <c r="F4313" s="200">
        <f>VLOOKUP(B4313,'HSD UPAH,BAHAN,ALAT'!$C$6:F4029,4,FALSE)</f>
        <v>10000</v>
      </c>
      <c r="G4313" s="201">
        <f t="shared" si="536"/>
        <v>50</v>
      </c>
    </row>
    <row r="4314" spans="1:7" s="183" customFormat="1">
      <c r="A4314" s="194">
        <v>3</v>
      </c>
      <c r="B4314" s="195" t="s">
        <v>26</v>
      </c>
      <c r="C4314" s="194"/>
      <c r="D4314" s="196"/>
      <c r="E4314" s="197"/>
      <c r="F4314" s="198"/>
      <c r="G4314" s="198"/>
    </row>
    <row r="4315" spans="1:7" s="183" customFormat="1">
      <c r="A4315" s="194" t="s">
        <v>22</v>
      </c>
      <c r="B4315" s="195" t="s">
        <v>27</v>
      </c>
      <c r="C4315" s="194"/>
      <c r="D4315" s="196" t="s">
        <v>28</v>
      </c>
      <c r="E4315" s="199" t="s">
        <v>97</v>
      </c>
      <c r="F4315" s="200">
        <f>VLOOKUP(B4315,'HSD UPAH,BAHAN,ALAT'!$C$6:F4031,4,FALSE)</f>
        <v>10000</v>
      </c>
      <c r="G4315" s="201">
        <f t="shared" ref="G4315:G4317" si="537">E4315*F4315</f>
        <v>110</v>
      </c>
    </row>
    <row r="4316" spans="1:7" s="183" customFormat="1">
      <c r="A4316" s="194" t="s">
        <v>30</v>
      </c>
      <c r="B4316" s="195" t="s">
        <v>31</v>
      </c>
      <c r="C4316" s="194"/>
      <c r="D4316" s="196" t="s">
        <v>28</v>
      </c>
      <c r="E4316" s="199" t="s">
        <v>59</v>
      </c>
      <c r="F4316" s="200">
        <f>VLOOKUP(B4316,'HSD UPAH,BAHAN,ALAT'!$C$6:F4032,4,FALSE)</f>
        <v>10000</v>
      </c>
      <c r="G4316" s="201">
        <f t="shared" si="537"/>
        <v>30</v>
      </c>
    </row>
    <row r="4317" spans="1:7" s="183" customFormat="1">
      <c r="A4317" s="194" t="s">
        <v>33</v>
      </c>
      <c r="B4317" s="195" t="s">
        <v>34</v>
      </c>
      <c r="C4317" s="194"/>
      <c r="D4317" s="196" t="s">
        <v>28</v>
      </c>
      <c r="E4317" s="199" t="s">
        <v>95</v>
      </c>
      <c r="F4317" s="200">
        <f>VLOOKUP(B4317,'HSD UPAH,BAHAN,ALAT'!$C$6:F4033,4,FALSE)</f>
        <v>10000</v>
      </c>
      <c r="G4317" s="201">
        <f t="shared" si="537"/>
        <v>10</v>
      </c>
    </row>
    <row r="4318" spans="1:7" s="183" customFormat="1">
      <c r="A4318" s="260" t="s">
        <v>421</v>
      </c>
      <c r="B4318" s="260"/>
      <c r="C4318" s="260"/>
      <c r="D4318" s="260"/>
      <c r="E4318" s="260"/>
      <c r="F4318" s="260"/>
      <c r="G4318" s="202">
        <f>SUM(G4312:G4317)</f>
        <v>160200</v>
      </c>
    </row>
    <row r="4319" spans="1:7" s="183" customFormat="1">
      <c r="A4319" s="194" t="s">
        <v>36</v>
      </c>
      <c r="B4319" s="195" t="s">
        <v>37</v>
      </c>
      <c r="C4319" s="194"/>
      <c r="D4319" s="196"/>
      <c r="E4319" s="197"/>
      <c r="F4319" s="198"/>
      <c r="G4319" s="198"/>
    </row>
    <row r="4320" spans="1:7" s="183" customFormat="1">
      <c r="A4320" s="258" t="s">
        <v>419</v>
      </c>
      <c r="B4320" s="258"/>
      <c r="C4320" s="258"/>
      <c r="D4320" s="258"/>
      <c r="E4320" s="258"/>
      <c r="F4320" s="258"/>
      <c r="G4320" s="207">
        <f>SUM(G4319)</f>
        <v>0</v>
      </c>
    </row>
    <row r="4321" spans="1:7" s="183" customFormat="1">
      <c r="A4321" s="208" t="s">
        <v>38</v>
      </c>
      <c r="B4321" s="259" t="s">
        <v>39</v>
      </c>
      <c r="C4321" s="259"/>
      <c r="D4321" s="259"/>
      <c r="E4321" s="259"/>
      <c r="F4321" s="259"/>
      <c r="G4321" s="207">
        <f>SUM(G4307:G4320)/2</f>
        <v>166730</v>
      </c>
    </row>
    <row r="4322" spans="1:7" s="183" customFormat="1">
      <c r="A4322" s="208" t="s">
        <v>40</v>
      </c>
      <c r="B4322" s="259" t="s">
        <v>180</v>
      </c>
      <c r="C4322" s="259"/>
      <c r="D4322" s="259"/>
      <c r="E4322" s="259"/>
      <c r="F4322" s="209">
        <v>0.1</v>
      </c>
      <c r="G4322" s="207">
        <f>G4321*F4322</f>
        <v>16673</v>
      </c>
    </row>
    <row r="4323" spans="1:7" s="183" customFormat="1">
      <c r="A4323" s="208" t="s">
        <v>41</v>
      </c>
      <c r="B4323" s="259" t="s">
        <v>42</v>
      </c>
      <c r="C4323" s="259"/>
      <c r="D4323" s="259"/>
      <c r="E4323" s="259"/>
      <c r="F4323" s="259"/>
      <c r="G4323" s="207">
        <f>G4321+G4322</f>
        <v>183403</v>
      </c>
    </row>
    <row r="4324" spans="1:7" s="183" customFormat="1">
      <c r="A4324" s="210"/>
      <c r="B4324" s="211"/>
      <c r="C4324" s="211"/>
      <c r="D4324" s="211"/>
      <c r="E4324" s="211"/>
      <c r="F4324" s="211"/>
      <c r="G4324" s="212"/>
    </row>
    <row r="4325" spans="1:7" s="183" customFormat="1">
      <c r="A4325" s="187" t="s">
        <v>835</v>
      </c>
      <c r="B4325" s="211"/>
      <c r="C4325" s="211"/>
      <c r="D4325" s="211"/>
      <c r="E4325" s="211"/>
      <c r="F4325" s="211"/>
      <c r="G4325" s="212"/>
    </row>
    <row r="4326" spans="1:7" s="183" customFormat="1" ht="30">
      <c r="A4326" s="193" t="s">
        <v>0</v>
      </c>
      <c r="B4326" s="193" t="s">
        <v>1</v>
      </c>
      <c r="C4326" s="193" t="s">
        <v>207</v>
      </c>
      <c r="D4326" s="193" t="s">
        <v>3</v>
      </c>
      <c r="E4326" s="193" t="s">
        <v>2</v>
      </c>
      <c r="F4326" s="193" t="s">
        <v>417</v>
      </c>
      <c r="G4326" s="193" t="s">
        <v>418</v>
      </c>
    </row>
    <row r="4327" spans="1:7" s="183" customFormat="1">
      <c r="A4327" s="194" t="s">
        <v>4</v>
      </c>
      <c r="B4327" s="195" t="s">
        <v>5</v>
      </c>
      <c r="C4327" s="194"/>
      <c r="D4327" s="196"/>
      <c r="E4327" s="197"/>
      <c r="F4327" s="198"/>
      <c r="G4327" s="198"/>
    </row>
    <row r="4328" spans="1:7" s="183" customFormat="1">
      <c r="A4328" s="194">
        <v>1</v>
      </c>
      <c r="B4328" s="195" t="s">
        <v>6</v>
      </c>
      <c r="C4328" s="194" t="s">
        <v>7</v>
      </c>
      <c r="D4328" s="196" t="s">
        <v>8</v>
      </c>
      <c r="E4328" s="199" t="s">
        <v>92</v>
      </c>
      <c r="F4328" s="200">
        <f>VLOOKUP(B4328,'HSD UPAH,BAHAN,ALAT'!$C$6:F4043,4,FALSE)</f>
        <v>100000</v>
      </c>
      <c r="G4328" s="201">
        <f t="shared" ref="G4328:G4330" si="538">E4328*F4328</f>
        <v>5000</v>
      </c>
    </row>
    <row r="4329" spans="1:7" s="183" customFormat="1">
      <c r="A4329" s="194">
        <v>2</v>
      </c>
      <c r="B4329" s="195" t="s">
        <v>10</v>
      </c>
      <c r="C4329" s="194" t="s">
        <v>11</v>
      </c>
      <c r="D4329" s="196" t="s">
        <v>8</v>
      </c>
      <c r="E4329" s="199" t="s">
        <v>93</v>
      </c>
      <c r="F4329" s="200">
        <f>VLOOKUP(B4329,'HSD UPAH,BAHAN,ALAT'!$C$6:F4044,4,FALSE)</f>
        <v>120000</v>
      </c>
      <c r="G4329" s="201">
        <f t="shared" si="538"/>
        <v>1200</v>
      </c>
    </row>
    <row r="4330" spans="1:7" s="183" customFormat="1">
      <c r="A4330" s="194">
        <v>3</v>
      </c>
      <c r="B4330" s="195" t="s">
        <v>13</v>
      </c>
      <c r="C4330" s="194" t="s">
        <v>14</v>
      </c>
      <c r="D4330" s="196" t="s">
        <v>8</v>
      </c>
      <c r="E4330" s="199" t="s">
        <v>94</v>
      </c>
      <c r="F4330" s="200">
        <f>VLOOKUP(B4330,'HSD UPAH,BAHAN,ALAT'!$C$6:F4045,4,FALSE)</f>
        <v>100000</v>
      </c>
      <c r="G4330" s="201">
        <f t="shared" si="538"/>
        <v>330</v>
      </c>
    </row>
    <row r="4331" spans="1:7" s="183" customFormat="1">
      <c r="A4331" s="260" t="s">
        <v>420</v>
      </c>
      <c r="B4331" s="260"/>
      <c r="C4331" s="260"/>
      <c r="D4331" s="260"/>
      <c r="E4331" s="260"/>
      <c r="F4331" s="260"/>
      <c r="G4331" s="202">
        <f>SUM(G4327:G4330)</f>
        <v>6530</v>
      </c>
    </row>
    <row r="4332" spans="1:7" s="183" customFormat="1">
      <c r="A4332" s="194" t="s">
        <v>16</v>
      </c>
      <c r="B4332" s="195" t="s">
        <v>17</v>
      </c>
      <c r="C4332" s="194"/>
      <c r="D4332" s="196"/>
      <c r="E4332" s="197"/>
      <c r="F4332" s="198"/>
      <c r="G4332" s="198"/>
    </row>
    <row r="4333" spans="1:7" s="183" customFormat="1" ht="30">
      <c r="A4333" s="203" t="s">
        <v>208</v>
      </c>
      <c r="B4333" s="204" t="s">
        <v>836</v>
      </c>
      <c r="C4333" s="203"/>
      <c r="D4333" s="205" t="s">
        <v>86</v>
      </c>
      <c r="E4333" s="206" t="s">
        <v>212</v>
      </c>
      <c r="F4333" s="200">
        <f>VLOOKUP(B4333,'HSD UPAH,BAHAN,ALAT'!$C$6:F4048,4,FALSE)</f>
        <v>10000</v>
      </c>
      <c r="G4333" s="201">
        <f t="shared" ref="G4333:G4334" si="539">E4333*F4333</f>
        <v>160000</v>
      </c>
    </row>
    <row r="4334" spans="1:7" s="183" customFormat="1">
      <c r="A4334" s="194">
        <v>2</v>
      </c>
      <c r="B4334" s="195" t="s">
        <v>18</v>
      </c>
      <c r="C4334" s="194"/>
      <c r="D4334" s="196" t="s">
        <v>19</v>
      </c>
      <c r="E4334" s="199">
        <v>5.0000000000000001E-3</v>
      </c>
      <c r="F4334" s="200">
        <f>VLOOKUP(B4334,'HSD UPAH,BAHAN,ALAT'!$C$6:F4049,4,FALSE)</f>
        <v>10000</v>
      </c>
      <c r="G4334" s="201">
        <f t="shared" si="539"/>
        <v>50</v>
      </c>
    </row>
    <row r="4335" spans="1:7" s="183" customFormat="1">
      <c r="A4335" s="194">
        <v>3</v>
      </c>
      <c r="B4335" s="195" t="s">
        <v>26</v>
      </c>
      <c r="C4335" s="194"/>
      <c r="D4335" s="196"/>
      <c r="E4335" s="197"/>
      <c r="F4335" s="198"/>
      <c r="G4335" s="198"/>
    </row>
    <row r="4336" spans="1:7" s="183" customFormat="1">
      <c r="A4336" s="194" t="s">
        <v>22</v>
      </c>
      <c r="B4336" s="195" t="s">
        <v>27</v>
      </c>
      <c r="C4336" s="194"/>
      <c r="D4336" s="196" t="s">
        <v>28</v>
      </c>
      <c r="E4336" s="199" t="s">
        <v>97</v>
      </c>
      <c r="F4336" s="200">
        <f>VLOOKUP(B4336,'HSD UPAH,BAHAN,ALAT'!$C$6:F4051,4,FALSE)</f>
        <v>10000</v>
      </c>
      <c r="G4336" s="201">
        <f t="shared" ref="G4336:G4338" si="540">E4336*F4336</f>
        <v>110</v>
      </c>
    </row>
    <row r="4337" spans="1:7" s="183" customFormat="1">
      <c r="A4337" s="194" t="s">
        <v>30</v>
      </c>
      <c r="B4337" s="195" t="s">
        <v>31</v>
      </c>
      <c r="C4337" s="194"/>
      <c r="D4337" s="196" t="s">
        <v>28</v>
      </c>
      <c r="E4337" s="199" t="s">
        <v>59</v>
      </c>
      <c r="F4337" s="200">
        <f>VLOOKUP(B4337,'HSD UPAH,BAHAN,ALAT'!$C$6:F4052,4,FALSE)</f>
        <v>10000</v>
      </c>
      <c r="G4337" s="201">
        <f t="shared" si="540"/>
        <v>30</v>
      </c>
    </row>
    <row r="4338" spans="1:7" s="183" customFormat="1">
      <c r="A4338" s="194" t="s">
        <v>33</v>
      </c>
      <c r="B4338" s="195" t="s">
        <v>34</v>
      </c>
      <c r="C4338" s="194"/>
      <c r="D4338" s="196" t="s">
        <v>28</v>
      </c>
      <c r="E4338" s="199" t="s">
        <v>95</v>
      </c>
      <c r="F4338" s="200">
        <f>VLOOKUP(B4338,'HSD UPAH,BAHAN,ALAT'!$C$6:F4053,4,FALSE)</f>
        <v>10000</v>
      </c>
      <c r="G4338" s="201">
        <f t="shared" si="540"/>
        <v>10</v>
      </c>
    </row>
    <row r="4339" spans="1:7" s="183" customFormat="1">
      <c r="A4339" s="260" t="s">
        <v>421</v>
      </c>
      <c r="B4339" s="260"/>
      <c r="C4339" s="260"/>
      <c r="D4339" s="260"/>
      <c r="E4339" s="260"/>
      <c r="F4339" s="260"/>
      <c r="G4339" s="202">
        <f>SUM(G4333:G4338)</f>
        <v>160200</v>
      </c>
    </row>
    <row r="4340" spans="1:7" s="183" customFormat="1">
      <c r="A4340" s="194" t="s">
        <v>36</v>
      </c>
      <c r="B4340" s="195" t="s">
        <v>37</v>
      </c>
      <c r="C4340" s="194"/>
      <c r="D4340" s="196"/>
      <c r="E4340" s="197"/>
      <c r="F4340" s="198"/>
      <c r="G4340" s="198"/>
    </row>
    <row r="4341" spans="1:7" s="183" customFormat="1">
      <c r="A4341" s="258" t="s">
        <v>419</v>
      </c>
      <c r="B4341" s="258"/>
      <c r="C4341" s="258"/>
      <c r="D4341" s="258"/>
      <c r="E4341" s="258"/>
      <c r="F4341" s="258"/>
      <c r="G4341" s="207">
        <f>SUM(G4340)</f>
        <v>0</v>
      </c>
    </row>
    <row r="4342" spans="1:7" s="183" customFormat="1">
      <c r="A4342" s="208" t="s">
        <v>38</v>
      </c>
      <c r="B4342" s="259" t="s">
        <v>39</v>
      </c>
      <c r="C4342" s="259"/>
      <c r="D4342" s="259"/>
      <c r="E4342" s="259"/>
      <c r="F4342" s="259"/>
      <c r="G4342" s="207">
        <f>SUM(G4328:G4341)/2</f>
        <v>166730</v>
      </c>
    </row>
    <row r="4343" spans="1:7" s="183" customFormat="1">
      <c r="A4343" s="208" t="s">
        <v>40</v>
      </c>
      <c r="B4343" s="259" t="s">
        <v>180</v>
      </c>
      <c r="C4343" s="259"/>
      <c r="D4343" s="259"/>
      <c r="E4343" s="259"/>
      <c r="F4343" s="209">
        <v>0.1</v>
      </c>
      <c r="G4343" s="207">
        <f>G4342*F4343</f>
        <v>16673</v>
      </c>
    </row>
    <row r="4344" spans="1:7" s="183" customFormat="1">
      <c r="A4344" s="208" t="s">
        <v>41</v>
      </c>
      <c r="B4344" s="259" t="s">
        <v>42</v>
      </c>
      <c r="C4344" s="259"/>
      <c r="D4344" s="259"/>
      <c r="E4344" s="259"/>
      <c r="F4344" s="259"/>
      <c r="G4344" s="207">
        <f>G4342+G4343</f>
        <v>183403</v>
      </c>
    </row>
    <row r="4345" spans="1:7" s="183" customFormat="1">
      <c r="A4345" s="210"/>
      <c r="B4345" s="211"/>
      <c r="C4345" s="211"/>
      <c r="D4345" s="211"/>
      <c r="E4345" s="211"/>
      <c r="F4345" s="211"/>
      <c r="G4345" s="212"/>
    </row>
    <row r="4346" spans="1:7" s="183" customFormat="1">
      <c r="A4346" s="187" t="s">
        <v>837</v>
      </c>
      <c r="B4346" s="211"/>
      <c r="C4346" s="211"/>
      <c r="D4346" s="211"/>
      <c r="E4346" s="211"/>
      <c r="F4346" s="211"/>
      <c r="G4346" s="212"/>
    </row>
    <row r="4347" spans="1:7" s="183" customFormat="1" ht="30">
      <c r="A4347" s="193" t="s">
        <v>0</v>
      </c>
      <c r="B4347" s="193" t="s">
        <v>1</v>
      </c>
      <c r="C4347" s="193" t="s">
        <v>207</v>
      </c>
      <c r="D4347" s="193" t="s">
        <v>3</v>
      </c>
      <c r="E4347" s="193" t="s">
        <v>2</v>
      </c>
      <c r="F4347" s="193" t="s">
        <v>417</v>
      </c>
      <c r="G4347" s="193" t="s">
        <v>418</v>
      </c>
    </row>
    <row r="4348" spans="1:7" s="183" customFormat="1">
      <c r="A4348" s="194" t="s">
        <v>4</v>
      </c>
      <c r="B4348" s="195" t="s">
        <v>5</v>
      </c>
      <c r="C4348" s="194"/>
      <c r="D4348" s="196"/>
      <c r="E4348" s="197"/>
      <c r="F4348" s="198"/>
      <c r="G4348" s="198"/>
    </row>
    <row r="4349" spans="1:7" s="183" customFormat="1">
      <c r="A4349" s="194">
        <v>1</v>
      </c>
      <c r="B4349" s="195" t="s">
        <v>6</v>
      </c>
      <c r="C4349" s="194" t="s">
        <v>7</v>
      </c>
      <c r="D4349" s="196" t="s">
        <v>8</v>
      </c>
      <c r="E4349" s="199" t="s">
        <v>92</v>
      </c>
      <c r="F4349" s="200">
        <f>VLOOKUP(B4349,'HSD UPAH,BAHAN,ALAT'!$C$6:F4063,4,FALSE)</f>
        <v>100000</v>
      </c>
      <c r="G4349" s="201">
        <f t="shared" ref="G4349:G4351" si="541">E4349*F4349</f>
        <v>5000</v>
      </c>
    </row>
    <row r="4350" spans="1:7" s="183" customFormat="1">
      <c r="A4350" s="194">
        <v>2</v>
      </c>
      <c r="B4350" s="195" t="s">
        <v>10</v>
      </c>
      <c r="C4350" s="194" t="s">
        <v>11</v>
      </c>
      <c r="D4350" s="196" t="s">
        <v>8</v>
      </c>
      <c r="E4350" s="199" t="s">
        <v>93</v>
      </c>
      <c r="F4350" s="200">
        <f>VLOOKUP(B4350,'HSD UPAH,BAHAN,ALAT'!$C$6:F4064,4,FALSE)</f>
        <v>120000</v>
      </c>
      <c r="G4350" s="201">
        <f t="shared" si="541"/>
        <v>1200</v>
      </c>
    </row>
    <row r="4351" spans="1:7" s="183" customFormat="1">
      <c r="A4351" s="194">
        <v>3</v>
      </c>
      <c r="B4351" s="195" t="s">
        <v>13</v>
      </c>
      <c r="C4351" s="194" t="s">
        <v>14</v>
      </c>
      <c r="D4351" s="196" t="s">
        <v>8</v>
      </c>
      <c r="E4351" s="199" t="s">
        <v>94</v>
      </c>
      <c r="F4351" s="200">
        <f>VLOOKUP(B4351,'HSD UPAH,BAHAN,ALAT'!$C$6:F4065,4,FALSE)</f>
        <v>100000</v>
      </c>
      <c r="G4351" s="201">
        <f t="shared" si="541"/>
        <v>330</v>
      </c>
    </row>
    <row r="4352" spans="1:7" s="183" customFormat="1">
      <c r="A4352" s="260" t="s">
        <v>420</v>
      </c>
      <c r="B4352" s="260"/>
      <c r="C4352" s="260"/>
      <c r="D4352" s="260"/>
      <c r="E4352" s="260"/>
      <c r="F4352" s="260"/>
      <c r="G4352" s="202">
        <f>SUM(G4348:G4351)</f>
        <v>6530</v>
      </c>
    </row>
    <row r="4353" spans="1:7" s="183" customFormat="1">
      <c r="A4353" s="194" t="s">
        <v>16</v>
      </c>
      <c r="B4353" s="195" t="s">
        <v>17</v>
      </c>
      <c r="C4353" s="194"/>
      <c r="D4353" s="196"/>
      <c r="E4353" s="197"/>
      <c r="F4353" s="198"/>
      <c r="G4353" s="198"/>
    </row>
    <row r="4354" spans="1:7" s="183" customFormat="1" ht="30">
      <c r="A4354" s="203" t="s">
        <v>208</v>
      </c>
      <c r="B4354" s="204" t="s">
        <v>838</v>
      </c>
      <c r="C4354" s="203"/>
      <c r="D4354" s="205" t="s">
        <v>86</v>
      </c>
      <c r="E4354" s="206" t="s">
        <v>212</v>
      </c>
      <c r="F4354" s="200">
        <f>VLOOKUP(B4354,'HSD UPAH,BAHAN,ALAT'!$C$6:F4068,4,FALSE)</f>
        <v>10000</v>
      </c>
      <c r="G4354" s="201">
        <f t="shared" ref="G4354:G4355" si="542">E4354*F4354</f>
        <v>160000</v>
      </c>
    </row>
    <row r="4355" spans="1:7" s="183" customFormat="1">
      <c r="A4355" s="194">
        <v>2</v>
      </c>
      <c r="B4355" s="195" t="s">
        <v>18</v>
      </c>
      <c r="C4355" s="194"/>
      <c r="D4355" s="196" t="s">
        <v>19</v>
      </c>
      <c r="E4355" s="199">
        <v>5.0000000000000001E-3</v>
      </c>
      <c r="F4355" s="200">
        <f>VLOOKUP(B4355,'HSD UPAH,BAHAN,ALAT'!$C$6:F4069,4,FALSE)</f>
        <v>10000</v>
      </c>
      <c r="G4355" s="201">
        <f t="shared" si="542"/>
        <v>50</v>
      </c>
    </row>
    <row r="4356" spans="1:7" s="183" customFormat="1">
      <c r="A4356" s="194">
        <v>3</v>
      </c>
      <c r="B4356" s="195" t="s">
        <v>26</v>
      </c>
      <c r="C4356" s="194"/>
      <c r="D4356" s="196"/>
      <c r="E4356" s="197"/>
      <c r="F4356" s="198"/>
      <c r="G4356" s="198"/>
    </row>
    <row r="4357" spans="1:7" s="183" customFormat="1">
      <c r="A4357" s="194" t="s">
        <v>22</v>
      </c>
      <c r="B4357" s="195" t="s">
        <v>27</v>
      </c>
      <c r="C4357" s="194"/>
      <c r="D4357" s="196" t="s">
        <v>28</v>
      </c>
      <c r="E4357" s="199" t="s">
        <v>97</v>
      </c>
      <c r="F4357" s="200">
        <f>VLOOKUP(B4357,'HSD UPAH,BAHAN,ALAT'!$C$6:F4071,4,FALSE)</f>
        <v>10000</v>
      </c>
      <c r="G4357" s="201">
        <f t="shared" ref="G4357:G4359" si="543">E4357*F4357</f>
        <v>110</v>
      </c>
    </row>
    <row r="4358" spans="1:7" s="183" customFormat="1">
      <c r="A4358" s="194" t="s">
        <v>30</v>
      </c>
      <c r="B4358" s="195" t="s">
        <v>31</v>
      </c>
      <c r="C4358" s="194"/>
      <c r="D4358" s="196" t="s">
        <v>28</v>
      </c>
      <c r="E4358" s="199" t="s">
        <v>59</v>
      </c>
      <c r="F4358" s="200">
        <f>VLOOKUP(B4358,'HSD UPAH,BAHAN,ALAT'!$C$6:F4072,4,FALSE)</f>
        <v>10000</v>
      </c>
      <c r="G4358" s="201">
        <f t="shared" si="543"/>
        <v>30</v>
      </c>
    </row>
    <row r="4359" spans="1:7" s="183" customFormat="1">
      <c r="A4359" s="194" t="s">
        <v>33</v>
      </c>
      <c r="B4359" s="195" t="s">
        <v>34</v>
      </c>
      <c r="C4359" s="194"/>
      <c r="D4359" s="196" t="s">
        <v>28</v>
      </c>
      <c r="E4359" s="199" t="s">
        <v>95</v>
      </c>
      <c r="F4359" s="200">
        <f>VLOOKUP(B4359,'HSD UPAH,BAHAN,ALAT'!$C$6:F4073,4,FALSE)</f>
        <v>10000</v>
      </c>
      <c r="G4359" s="201">
        <f t="shared" si="543"/>
        <v>10</v>
      </c>
    </row>
    <row r="4360" spans="1:7" s="183" customFormat="1">
      <c r="A4360" s="260" t="s">
        <v>421</v>
      </c>
      <c r="B4360" s="260"/>
      <c r="C4360" s="260"/>
      <c r="D4360" s="260"/>
      <c r="E4360" s="260"/>
      <c r="F4360" s="260"/>
      <c r="G4360" s="202">
        <f>SUM(G4354:G4359)</f>
        <v>160200</v>
      </c>
    </row>
    <row r="4361" spans="1:7" s="183" customFormat="1">
      <c r="A4361" s="194" t="s">
        <v>36</v>
      </c>
      <c r="B4361" s="195" t="s">
        <v>37</v>
      </c>
      <c r="C4361" s="194"/>
      <c r="D4361" s="196"/>
      <c r="E4361" s="197"/>
      <c r="F4361" s="198"/>
      <c r="G4361" s="198"/>
    </row>
    <row r="4362" spans="1:7" s="183" customFormat="1">
      <c r="A4362" s="258" t="s">
        <v>419</v>
      </c>
      <c r="B4362" s="258"/>
      <c r="C4362" s="258"/>
      <c r="D4362" s="258"/>
      <c r="E4362" s="258"/>
      <c r="F4362" s="258"/>
      <c r="G4362" s="207">
        <f>SUM(G4361)</f>
        <v>0</v>
      </c>
    </row>
    <row r="4363" spans="1:7" s="183" customFormat="1">
      <c r="A4363" s="208" t="s">
        <v>38</v>
      </c>
      <c r="B4363" s="259" t="s">
        <v>39</v>
      </c>
      <c r="C4363" s="259"/>
      <c r="D4363" s="259"/>
      <c r="E4363" s="259"/>
      <c r="F4363" s="259"/>
      <c r="G4363" s="207">
        <f>SUM(G4349:G4362)/2</f>
        <v>166730</v>
      </c>
    </row>
    <row r="4364" spans="1:7" s="183" customFormat="1">
      <c r="A4364" s="208" t="s">
        <v>40</v>
      </c>
      <c r="B4364" s="259" t="s">
        <v>180</v>
      </c>
      <c r="C4364" s="259"/>
      <c r="D4364" s="259"/>
      <c r="E4364" s="259"/>
      <c r="F4364" s="209">
        <v>0.1</v>
      </c>
      <c r="G4364" s="207">
        <f>G4363*F4364</f>
        <v>16673</v>
      </c>
    </row>
    <row r="4365" spans="1:7" s="183" customFormat="1">
      <c r="A4365" s="208" t="s">
        <v>41</v>
      </c>
      <c r="B4365" s="259" t="s">
        <v>42</v>
      </c>
      <c r="C4365" s="259"/>
      <c r="D4365" s="259"/>
      <c r="E4365" s="259"/>
      <c r="F4365" s="259"/>
      <c r="G4365" s="207">
        <f>G4363+G4364</f>
        <v>183403</v>
      </c>
    </row>
    <row r="4366" spans="1:7" s="183" customFormat="1">
      <c r="A4366" s="210"/>
      <c r="B4366" s="211"/>
      <c r="C4366" s="211"/>
      <c r="D4366" s="211"/>
      <c r="E4366" s="211"/>
      <c r="F4366" s="211"/>
      <c r="G4366" s="212"/>
    </row>
    <row r="4367" spans="1:7" s="183" customFormat="1">
      <c r="A4367" s="187" t="s">
        <v>839</v>
      </c>
      <c r="B4367" s="211"/>
      <c r="C4367" s="211"/>
      <c r="D4367" s="211"/>
      <c r="E4367" s="211"/>
      <c r="F4367" s="211"/>
      <c r="G4367" s="212"/>
    </row>
    <row r="4368" spans="1:7" s="183" customFormat="1" ht="30">
      <c r="A4368" s="193" t="s">
        <v>0</v>
      </c>
      <c r="B4368" s="193" t="s">
        <v>1</v>
      </c>
      <c r="C4368" s="193" t="s">
        <v>207</v>
      </c>
      <c r="D4368" s="193" t="s">
        <v>3</v>
      </c>
      <c r="E4368" s="193" t="s">
        <v>2</v>
      </c>
      <c r="F4368" s="193" t="s">
        <v>417</v>
      </c>
      <c r="G4368" s="193" t="s">
        <v>418</v>
      </c>
    </row>
    <row r="4369" spans="1:7" s="183" customFormat="1">
      <c r="A4369" s="194" t="s">
        <v>4</v>
      </c>
      <c r="B4369" s="195" t="s">
        <v>5</v>
      </c>
      <c r="C4369" s="194"/>
      <c r="D4369" s="196"/>
      <c r="E4369" s="197"/>
      <c r="F4369" s="198"/>
      <c r="G4369" s="198"/>
    </row>
    <row r="4370" spans="1:7" s="183" customFormat="1">
      <c r="A4370" s="194">
        <v>1</v>
      </c>
      <c r="B4370" s="195" t="s">
        <v>6</v>
      </c>
      <c r="C4370" s="194" t="s">
        <v>7</v>
      </c>
      <c r="D4370" s="196" t="s">
        <v>8</v>
      </c>
      <c r="E4370" s="199" t="s">
        <v>92</v>
      </c>
      <c r="F4370" s="200">
        <f>VLOOKUP(B4370,'HSD UPAH,BAHAN,ALAT'!$C$6:F4083,4,FALSE)</f>
        <v>100000</v>
      </c>
      <c r="G4370" s="201">
        <f t="shared" ref="G4370:G4372" si="544">E4370*F4370</f>
        <v>5000</v>
      </c>
    </row>
    <row r="4371" spans="1:7" s="183" customFormat="1">
      <c r="A4371" s="194">
        <v>2</v>
      </c>
      <c r="B4371" s="195" t="s">
        <v>10</v>
      </c>
      <c r="C4371" s="194" t="s">
        <v>11</v>
      </c>
      <c r="D4371" s="196" t="s">
        <v>8</v>
      </c>
      <c r="E4371" s="199" t="s">
        <v>93</v>
      </c>
      <c r="F4371" s="200">
        <f>VLOOKUP(B4371,'HSD UPAH,BAHAN,ALAT'!$C$6:F4084,4,FALSE)</f>
        <v>120000</v>
      </c>
      <c r="G4371" s="201">
        <f t="shared" si="544"/>
        <v>1200</v>
      </c>
    </row>
    <row r="4372" spans="1:7" s="183" customFormat="1">
      <c r="A4372" s="194">
        <v>3</v>
      </c>
      <c r="B4372" s="195" t="s">
        <v>13</v>
      </c>
      <c r="C4372" s="194" t="s">
        <v>14</v>
      </c>
      <c r="D4372" s="196" t="s">
        <v>8</v>
      </c>
      <c r="E4372" s="199" t="s">
        <v>94</v>
      </c>
      <c r="F4372" s="200">
        <f>VLOOKUP(B4372,'HSD UPAH,BAHAN,ALAT'!$C$6:F4085,4,FALSE)</f>
        <v>100000</v>
      </c>
      <c r="G4372" s="201">
        <f t="shared" si="544"/>
        <v>330</v>
      </c>
    </row>
    <row r="4373" spans="1:7" s="183" customFormat="1">
      <c r="A4373" s="260" t="s">
        <v>420</v>
      </c>
      <c r="B4373" s="260"/>
      <c r="C4373" s="260"/>
      <c r="D4373" s="260"/>
      <c r="E4373" s="260"/>
      <c r="F4373" s="260"/>
      <c r="G4373" s="202">
        <f>SUM(G4369:G4372)</f>
        <v>6530</v>
      </c>
    </row>
    <row r="4374" spans="1:7" s="183" customFormat="1">
      <c r="A4374" s="194" t="s">
        <v>16</v>
      </c>
      <c r="B4374" s="195" t="s">
        <v>17</v>
      </c>
      <c r="C4374" s="194"/>
      <c r="D4374" s="196"/>
      <c r="E4374" s="197"/>
      <c r="F4374" s="198"/>
      <c r="G4374" s="198"/>
    </row>
    <row r="4375" spans="1:7" s="183" customFormat="1" ht="30">
      <c r="A4375" s="203" t="s">
        <v>208</v>
      </c>
      <c r="B4375" s="204" t="s">
        <v>840</v>
      </c>
      <c r="C4375" s="203"/>
      <c r="D4375" s="205" t="s">
        <v>86</v>
      </c>
      <c r="E4375" s="206" t="s">
        <v>212</v>
      </c>
      <c r="F4375" s="200">
        <f>VLOOKUP(B4375,'HSD UPAH,BAHAN,ALAT'!$C$6:F4088,4,FALSE)</f>
        <v>10000</v>
      </c>
      <c r="G4375" s="201">
        <f t="shared" ref="G4375:G4376" si="545">E4375*F4375</f>
        <v>160000</v>
      </c>
    </row>
    <row r="4376" spans="1:7" s="183" customFormat="1">
      <c r="A4376" s="194">
        <v>2</v>
      </c>
      <c r="B4376" s="195" t="s">
        <v>18</v>
      </c>
      <c r="C4376" s="194"/>
      <c r="D4376" s="196" t="s">
        <v>19</v>
      </c>
      <c r="E4376" s="199">
        <v>5.0000000000000001E-3</v>
      </c>
      <c r="F4376" s="200">
        <f>VLOOKUP(B4376,'HSD UPAH,BAHAN,ALAT'!$C$6:F4089,4,FALSE)</f>
        <v>10000</v>
      </c>
      <c r="G4376" s="201">
        <f t="shared" si="545"/>
        <v>50</v>
      </c>
    </row>
    <row r="4377" spans="1:7" s="183" customFormat="1">
      <c r="A4377" s="194">
        <v>3</v>
      </c>
      <c r="B4377" s="195" t="s">
        <v>26</v>
      </c>
      <c r="C4377" s="194"/>
      <c r="D4377" s="196"/>
      <c r="E4377" s="197"/>
      <c r="F4377" s="198"/>
      <c r="G4377" s="198"/>
    </row>
    <row r="4378" spans="1:7" s="183" customFormat="1">
      <c r="A4378" s="194" t="s">
        <v>22</v>
      </c>
      <c r="B4378" s="195" t="s">
        <v>27</v>
      </c>
      <c r="C4378" s="194"/>
      <c r="D4378" s="196" t="s">
        <v>28</v>
      </c>
      <c r="E4378" s="199" t="s">
        <v>97</v>
      </c>
      <c r="F4378" s="200">
        <f>VLOOKUP(B4378,'HSD UPAH,BAHAN,ALAT'!$C$6:F4091,4,FALSE)</f>
        <v>10000</v>
      </c>
      <c r="G4378" s="201">
        <f t="shared" ref="G4378:G4380" si="546">E4378*F4378</f>
        <v>110</v>
      </c>
    </row>
    <row r="4379" spans="1:7" s="183" customFormat="1">
      <c r="A4379" s="194" t="s">
        <v>30</v>
      </c>
      <c r="B4379" s="195" t="s">
        <v>31</v>
      </c>
      <c r="C4379" s="194"/>
      <c r="D4379" s="196" t="s">
        <v>28</v>
      </c>
      <c r="E4379" s="199" t="s">
        <v>59</v>
      </c>
      <c r="F4379" s="200">
        <f>VLOOKUP(B4379,'HSD UPAH,BAHAN,ALAT'!$C$6:F4092,4,FALSE)</f>
        <v>10000</v>
      </c>
      <c r="G4379" s="201">
        <f t="shared" si="546"/>
        <v>30</v>
      </c>
    </row>
    <row r="4380" spans="1:7" s="183" customFormat="1">
      <c r="A4380" s="194" t="s">
        <v>33</v>
      </c>
      <c r="B4380" s="195" t="s">
        <v>34</v>
      </c>
      <c r="C4380" s="194"/>
      <c r="D4380" s="196" t="s">
        <v>28</v>
      </c>
      <c r="E4380" s="199" t="s">
        <v>95</v>
      </c>
      <c r="F4380" s="200">
        <f>VLOOKUP(B4380,'HSD UPAH,BAHAN,ALAT'!$C$6:F4093,4,FALSE)</f>
        <v>10000</v>
      </c>
      <c r="G4380" s="201">
        <f t="shared" si="546"/>
        <v>10</v>
      </c>
    </row>
    <row r="4381" spans="1:7" s="183" customFormat="1">
      <c r="A4381" s="260" t="s">
        <v>421</v>
      </c>
      <c r="B4381" s="260"/>
      <c r="C4381" s="260"/>
      <c r="D4381" s="260"/>
      <c r="E4381" s="260"/>
      <c r="F4381" s="260"/>
      <c r="G4381" s="202">
        <f>SUM(G4375:G4380)</f>
        <v>160200</v>
      </c>
    </row>
    <row r="4382" spans="1:7" s="183" customFormat="1">
      <c r="A4382" s="194" t="s">
        <v>36</v>
      </c>
      <c r="B4382" s="195" t="s">
        <v>37</v>
      </c>
      <c r="C4382" s="194"/>
      <c r="D4382" s="196"/>
      <c r="E4382" s="197"/>
      <c r="F4382" s="198"/>
      <c r="G4382" s="198"/>
    </row>
    <row r="4383" spans="1:7" s="183" customFormat="1">
      <c r="A4383" s="258" t="s">
        <v>419</v>
      </c>
      <c r="B4383" s="258"/>
      <c r="C4383" s="258"/>
      <c r="D4383" s="258"/>
      <c r="E4383" s="258"/>
      <c r="F4383" s="258"/>
      <c r="G4383" s="207">
        <f>SUM(G4382)</f>
        <v>0</v>
      </c>
    </row>
    <row r="4384" spans="1:7" s="183" customFormat="1">
      <c r="A4384" s="208" t="s">
        <v>38</v>
      </c>
      <c r="B4384" s="259" t="s">
        <v>39</v>
      </c>
      <c r="C4384" s="259"/>
      <c r="D4384" s="259"/>
      <c r="E4384" s="259"/>
      <c r="F4384" s="259"/>
      <c r="G4384" s="207">
        <f>SUM(G4370:G4383)/2</f>
        <v>166730</v>
      </c>
    </row>
    <row r="4385" spans="1:7" s="183" customFormat="1">
      <c r="A4385" s="208" t="s">
        <v>40</v>
      </c>
      <c r="B4385" s="259" t="s">
        <v>180</v>
      </c>
      <c r="C4385" s="259"/>
      <c r="D4385" s="259"/>
      <c r="E4385" s="259"/>
      <c r="F4385" s="209">
        <v>0.1</v>
      </c>
      <c r="G4385" s="207">
        <f>G4384*F4385</f>
        <v>16673</v>
      </c>
    </row>
    <row r="4386" spans="1:7" s="183" customFormat="1">
      <c r="A4386" s="208" t="s">
        <v>41</v>
      </c>
      <c r="B4386" s="259" t="s">
        <v>42</v>
      </c>
      <c r="C4386" s="259"/>
      <c r="D4386" s="259"/>
      <c r="E4386" s="259"/>
      <c r="F4386" s="259"/>
      <c r="G4386" s="207">
        <f>G4384+G4385</f>
        <v>183403</v>
      </c>
    </row>
    <row r="4387" spans="1:7" s="183" customFormat="1">
      <c r="A4387" s="210"/>
      <c r="B4387" s="211"/>
      <c r="C4387" s="211"/>
      <c r="D4387" s="211"/>
      <c r="E4387" s="211"/>
      <c r="F4387" s="211"/>
      <c r="G4387" s="212"/>
    </row>
    <row r="4388" spans="1:7" s="183" customFormat="1">
      <c r="A4388" s="187" t="s">
        <v>841</v>
      </c>
      <c r="B4388" s="211"/>
      <c r="C4388" s="211"/>
      <c r="D4388" s="211"/>
      <c r="E4388" s="211"/>
      <c r="F4388" s="211"/>
      <c r="G4388" s="212"/>
    </row>
    <row r="4389" spans="1:7" s="183" customFormat="1" ht="30">
      <c r="A4389" s="193" t="s">
        <v>0</v>
      </c>
      <c r="B4389" s="193" t="s">
        <v>1</v>
      </c>
      <c r="C4389" s="193" t="s">
        <v>207</v>
      </c>
      <c r="D4389" s="193" t="s">
        <v>3</v>
      </c>
      <c r="E4389" s="193" t="s">
        <v>2</v>
      </c>
      <c r="F4389" s="193" t="s">
        <v>417</v>
      </c>
      <c r="G4389" s="193" t="s">
        <v>418</v>
      </c>
    </row>
    <row r="4390" spans="1:7" s="183" customFormat="1">
      <c r="A4390" s="194" t="s">
        <v>4</v>
      </c>
      <c r="B4390" s="195" t="s">
        <v>5</v>
      </c>
      <c r="C4390" s="194"/>
      <c r="D4390" s="196"/>
      <c r="E4390" s="197"/>
      <c r="F4390" s="198"/>
      <c r="G4390" s="198"/>
    </row>
    <row r="4391" spans="1:7" s="183" customFormat="1">
      <c r="A4391" s="194">
        <v>1</v>
      </c>
      <c r="B4391" s="195" t="s">
        <v>6</v>
      </c>
      <c r="C4391" s="194" t="s">
        <v>7</v>
      </c>
      <c r="D4391" s="196" t="s">
        <v>8</v>
      </c>
      <c r="E4391" s="199" t="s">
        <v>92</v>
      </c>
      <c r="F4391" s="200">
        <f>VLOOKUP(B4391,'HSD UPAH,BAHAN,ALAT'!$C$6:F4103,4,FALSE)</f>
        <v>100000</v>
      </c>
      <c r="G4391" s="201">
        <f t="shared" ref="G4391:G4393" si="547">E4391*F4391</f>
        <v>5000</v>
      </c>
    </row>
    <row r="4392" spans="1:7" s="183" customFormat="1">
      <c r="A4392" s="194">
        <v>2</v>
      </c>
      <c r="B4392" s="195" t="s">
        <v>10</v>
      </c>
      <c r="C4392" s="194" t="s">
        <v>11</v>
      </c>
      <c r="D4392" s="196" t="s">
        <v>8</v>
      </c>
      <c r="E4392" s="199" t="s">
        <v>93</v>
      </c>
      <c r="F4392" s="200">
        <f>VLOOKUP(B4392,'HSD UPAH,BAHAN,ALAT'!$C$6:F4104,4,FALSE)</f>
        <v>120000</v>
      </c>
      <c r="G4392" s="201">
        <f t="shared" si="547"/>
        <v>1200</v>
      </c>
    </row>
    <row r="4393" spans="1:7" s="183" customFormat="1">
      <c r="A4393" s="194">
        <v>3</v>
      </c>
      <c r="B4393" s="195" t="s">
        <v>13</v>
      </c>
      <c r="C4393" s="194" t="s">
        <v>14</v>
      </c>
      <c r="D4393" s="196" t="s">
        <v>8</v>
      </c>
      <c r="E4393" s="199" t="s">
        <v>94</v>
      </c>
      <c r="F4393" s="200">
        <f>VLOOKUP(B4393,'HSD UPAH,BAHAN,ALAT'!$C$6:F4105,4,FALSE)</f>
        <v>100000</v>
      </c>
      <c r="G4393" s="201">
        <f t="shared" si="547"/>
        <v>330</v>
      </c>
    </row>
    <row r="4394" spans="1:7" s="183" customFormat="1">
      <c r="A4394" s="260" t="s">
        <v>420</v>
      </c>
      <c r="B4394" s="260"/>
      <c r="C4394" s="260"/>
      <c r="D4394" s="260"/>
      <c r="E4394" s="260"/>
      <c r="F4394" s="260"/>
      <c r="G4394" s="202">
        <f>SUM(G4390:G4393)</f>
        <v>6530</v>
      </c>
    </row>
    <row r="4395" spans="1:7" s="183" customFormat="1">
      <c r="A4395" s="194" t="s">
        <v>16</v>
      </c>
      <c r="B4395" s="195" t="s">
        <v>17</v>
      </c>
      <c r="C4395" s="194"/>
      <c r="D4395" s="196"/>
      <c r="E4395" s="197"/>
      <c r="F4395" s="198"/>
      <c r="G4395" s="198"/>
    </row>
    <row r="4396" spans="1:7" s="183" customFormat="1" ht="30">
      <c r="A4396" s="203" t="s">
        <v>208</v>
      </c>
      <c r="B4396" s="204" t="s">
        <v>842</v>
      </c>
      <c r="C4396" s="203"/>
      <c r="D4396" s="205" t="s">
        <v>86</v>
      </c>
      <c r="E4396" s="206" t="s">
        <v>212</v>
      </c>
      <c r="F4396" s="200">
        <f>VLOOKUP(B4396,'HSD UPAH,BAHAN,ALAT'!$C$6:F4108,4,FALSE)</f>
        <v>10000</v>
      </c>
      <c r="G4396" s="201">
        <f t="shared" ref="G4396:G4397" si="548">E4396*F4396</f>
        <v>160000</v>
      </c>
    </row>
    <row r="4397" spans="1:7" s="183" customFormat="1">
      <c r="A4397" s="194">
        <v>2</v>
      </c>
      <c r="B4397" s="195" t="s">
        <v>18</v>
      </c>
      <c r="C4397" s="194"/>
      <c r="D4397" s="196" t="s">
        <v>19</v>
      </c>
      <c r="E4397" s="199">
        <v>5.0000000000000001E-3</v>
      </c>
      <c r="F4397" s="200">
        <f>VLOOKUP(B4397,'HSD UPAH,BAHAN,ALAT'!$C$6:F4109,4,FALSE)</f>
        <v>10000</v>
      </c>
      <c r="G4397" s="201">
        <f t="shared" si="548"/>
        <v>50</v>
      </c>
    </row>
    <row r="4398" spans="1:7" s="183" customFormat="1">
      <c r="A4398" s="194">
        <v>3</v>
      </c>
      <c r="B4398" s="195" t="s">
        <v>26</v>
      </c>
      <c r="C4398" s="194"/>
      <c r="D4398" s="196"/>
      <c r="E4398" s="197"/>
      <c r="F4398" s="198"/>
      <c r="G4398" s="198"/>
    </row>
    <row r="4399" spans="1:7" s="183" customFormat="1">
      <c r="A4399" s="194" t="s">
        <v>22</v>
      </c>
      <c r="B4399" s="195" t="s">
        <v>27</v>
      </c>
      <c r="C4399" s="194"/>
      <c r="D4399" s="196" t="s">
        <v>28</v>
      </c>
      <c r="E4399" s="199" t="s">
        <v>97</v>
      </c>
      <c r="F4399" s="200">
        <f>VLOOKUP(B4399,'HSD UPAH,BAHAN,ALAT'!$C$6:F4111,4,FALSE)</f>
        <v>10000</v>
      </c>
      <c r="G4399" s="201">
        <f t="shared" ref="G4399:G4401" si="549">E4399*F4399</f>
        <v>110</v>
      </c>
    </row>
    <row r="4400" spans="1:7" s="183" customFormat="1">
      <c r="A4400" s="194" t="s">
        <v>30</v>
      </c>
      <c r="B4400" s="195" t="s">
        <v>31</v>
      </c>
      <c r="C4400" s="194"/>
      <c r="D4400" s="196" t="s">
        <v>28</v>
      </c>
      <c r="E4400" s="199" t="s">
        <v>59</v>
      </c>
      <c r="F4400" s="200">
        <f>VLOOKUP(B4400,'HSD UPAH,BAHAN,ALAT'!$C$6:F4112,4,FALSE)</f>
        <v>10000</v>
      </c>
      <c r="G4400" s="201">
        <f t="shared" si="549"/>
        <v>30</v>
      </c>
    </row>
    <row r="4401" spans="1:7" s="183" customFormat="1">
      <c r="A4401" s="194" t="s">
        <v>33</v>
      </c>
      <c r="B4401" s="195" t="s">
        <v>34</v>
      </c>
      <c r="C4401" s="194"/>
      <c r="D4401" s="196" t="s">
        <v>28</v>
      </c>
      <c r="E4401" s="199" t="s">
        <v>95</v>
      </c>
      <c r="F4401" s="200">
        <f>VLOOKUP(B4401,'HSD UPAH,BAHAN,ALAT'!$C$6:F4113,4,FALSE)</f>
        <v>10000</v>
      </c>
      <c r="G4401" s="201">
        <f t="shared" si="549"/>
        <v>10</v>
      </c>
    </row>
    <row r="4402" spans="1:7" s="183" customFormat="1">
      <c r="A4402" s="260" t="s">
        <v>421</v>
      </c>
      <c r="B4402" s="260"/>
      <c r="C4402" s="260"/>
      <c r="D4402" s="260"/>
      <c r="E4402" s="260"/>
      <c r="F4402" s="260"/>
      <c r="G4402" s="202">
        <f>SUM(G4396:G4401)</f>
        <v>160200</v>
      </c>
    </row>
    <row r="4403" spans="1:7" s="183" customFormat="1">
      <c r="A4403" s="194" t="s">
        <v>36</v>
      </c>
      <c r="B4403" s="195" t="s">
        <v>37</v>
      </c>
      <c r="C4403" s="194"/>
      <c r="D4403" s="196"/>
      <c r="E4403" s="197"/>
      <c r="F4403" s="198"/>
      <c r="G4403" s="198"/>
    </row>
    <row r="4404" spans="1:7" s="183" customFormat="1">
      <c r="A4404" s="258" t="s">
        <v>419</v>
      </c>
      <c r="B4404" s="258"/>
      <c r="C4404" s="258"/>
      <c r="D4404" s="258"/>
      <c r="E4404" s="258"/>
      <c r="F4404" s="258"/>
      <c r="G4404" s="207">
        <f>SUM(G4403)</f>
        <v>0</v>
      </c>
    </row>
    <row r="4405" spans="1:7" s="183" customFormat="1">
      <c r="A4405" s="208" t="s">
        <v>38</v>
      </c>
      <c r="B4405" s="259" t="s">
        <v>39</v>
      </c>
      <c r="C4405" s="259"/>
      <c r="D4405" s="259"/>
      <c r="E4405" s="259"/>
      <c r="F4405" s="259"/>
      <c r="G4405" s="207">
        <f>SUM(G4391:G4404)/2</f>
        <v>166730</v>
      </c>
    </row>
    <row r="4406" spans="1:7" s="183" customFormat="1">
      <c r="A4406" s="208" t="s">
        <v>40</v>
      </c>
      <c r="B4406" s="259" t="s">
        <v>180</v>
      </c>
      <c r="C4406" s="259"/>
      <c r="D4406" s="259"/>
      <c r="E4406" s="259"/>
      <c r="F4406" s="209">
        <v>0.1</v>
      </c>
      <c r="G4406" s="207">
        <f>G4405*F4406</f>
        <v>16673</v>
      </c>
    </row>
    <row r="4407" spans="1:7" s="183" customFormat="1">
      <c r="A4407" s="208" t="s">
        <v>41</v>
      </c>
      <c r="B4407" s="259" t="s">
        <v>42</v>
      </c>
      <c r="C4407" s="259"/>
      <c r="D4407" s="259"/>
      <c r="E4407" s="259"/>
      <c r="F4407" s="259"/>
      <c r="G4407" s="207">
        <f>G4405+G4406</f>
        <v>183403</v>
      </c>
    </row>
    <row r="4408" spans="1:7" s="183" customFormat="1">
      <c r="A4408" s="210"/>
      <c r="B4408" s="211"/>
      <c r="C4408" s="211"/>
      <c r="D4408" s="211"/>
      <c r="E4408" s="211"/>
      <c r="F4408" s="211"/>
      <c r="G4408" s="212"/>
    </row>
    <row r="4409" spans="1:7">
      <c r="A4409" s="4" t="s">
        <v>468</v>
      </c>
      <c r="B4409" s="91"/>
      <c r="C4409" s="91"/>
      <c r="D4409" s="91"/>
      <c r="E4409" s="91"/>
      <c r="F4409" s="91"/>
      <c r="G4409" s="92"/>
    </row>
    <row r="4410" spans="1:7">
      <c r="A4410" s="4" t="s">
        <v>621</v>
      </c>
      <c r="B4410" s="91"/>
      <c r="C4410" s="91"/>
      <c r="D4410" s="91"/>
      <c r="E4410" s="91"/>
      <c r="F4410" s="91"/>
      <c r="G4410" s="92"/>
    </row>
    <row r="4411" spans="1:7" ht="30">
      <c r="A4411" s="79" t="s">
        <v>0</v>
      </c>
      <c r="B4411" s="79" t="s">
        <v>1</v>
      </c>
      <c r="C4411" s="79" t="s">
        <v>207</v>
      </c>
      <c r="D4411" s="79" t="s">
        <v>3</v>
      </c>
      <c r="E4411" s="79" t="s">
        <v>2</v>
      </c>
      <c r="F4411" s="79" t="s">
        <v>417</v>
      </c>
      <c r="G4411" s="79" t="s">
        <v>418</v>
      </c>
    </row>
    <row r="4412" spans="1:7">
      <c r="A4412" s="8" t="s">
        <v>4</v>
      </c>
      <c r="B4412" s="1" t="s">
        <v>5</v>
      </c>
      <c r="C4412" s="8"/>
      <c r="D4412" s="9"/>
      <c r="E4412" s="19"/>
      <c r="F4412" s="2"/>
      <c r="G4412" s="2"/>
    </row>
    <row r="4413" spans="1:7">
      <c r="A4413" s="8">
        <v>1</v>
      </c>
      <c r="B4413" s="1" t="s">
        <v>6</v>
      </c>
      <c r="C4413" s="8" t="s">
        <v>7</v>
      </c>
      <c r="D4413" s="9" t="s">
        <v>8</v>
      </c>
      <c r="E4413" s="10" t="s">
        <v>92</v>
      </c>
      <c r="F4413" s="86">
        <f>VLOOKUP(B4413,'HSD UPAH,BAHAN,ALAT'!$C$6:F4021,4,FALSE)</f>
        <v>100000</v>
      </c>
      <c r="G4413" s="87">
        <f t="shared" ref="G4413:G4415" si="550">E4413*F4413</f>
        <v>5000</v>
      </c>
    </row>
    <row r="4414" spans="1:7">
      <c r="A4414" s="8">
        <v>2</v>
      </c>
      <c r="B4414" s="1" t="s">
        <v>10</v>
      </c>
      <c r="C4414" s="8" t="s">
        <v>11</v>
      </c>
      <c r="D4414" s="9" t="s">
        <v>8</v>
      </c>
      <c r="E4414" s="10" t="s">
        <v>93</v>
      </c>
      <c r="F4414" s="86">
        <f>VLOOKUP(B4414,'HSD UPAH,BAHAN,ALAT'!$C$6:F4022,4,FALSE)</f>
        <v>120000</v>
      </c>
      <c r="G4414" s="87">
        <f t="shared" si="550"/>
        <v>1200</v>
      </c>
    </row>
    <row r="4415" spans="1:7">
      <c r="A4415" s="8">
        <v>3</v>
      </c>
      <c r="B4415" s="1" t="s">
        <v>13</v>
      </c>
      <c r="C4415" s="8" t="s">
        <v>14</v>
      </c>
      <c r="D4415" s="9" t="s">
        <v>8</v>
      </c>
      <c r="E4415" s="10" t="s">
        <v>94</v>
      </c>
      <c r="F4415" s="86">
        <f>VLOOKUP(B4415,'HSD UPAH,BAHAN,ALAT'!$C$6:F4023,4,FALSE)</f>
        <v>100000</v>
      </c>
      <c r="G4415" s="87">
        <f t="shared" si="550"/>
        <v>330</v>
      </c>
    </row>
    <row r="4416" spans="1:7">
      <c r="A4416" s="261" t="s">
        <v>420</v>
      </c>
      <c r="B4416" s="261"/>
      <c r="C4416" s="261"/>
      <c r="D4416" s="261"/>
      <c r="E4416" s="261"/>
      <c r="F4416" s="261"/>
      <c r="G4416" s="85">
        <f>SUM(G4412:G4415)</f>
        <v>6530</v>
      </c>
    </row>
    <row r="4417" spans="1:7">
      <c r="A4417" s="8" t="s">
        <v>16</v>
      </c>
      <c r="B4417" s="1" t="s">
        <v>17</v>
      </c>
      <c r="C4417" s="8"/>
      <c r="D4417" s="9"/>
      <c r="E4417" s="19"/>
      <c r="F4417" s="2"/>
      <c r="G4417" s="2"/>
    </row>
    <row r="4418" spans="1:7" ht="30">
      <c r="A4418" s="17" t="s">
        <v>208</v>
      </c>
      <c r="B4418" s="5" t="s">
        <v>360</v>
      </c>
      <c r="C4418" s="17"/>
      <c r="D4418" s="12" t="s">
        <v>86</v>
      </c>
      <c r="E4418" s="7">
        <v>3</v>
      </c>
      <c r="F4418" s="86">
        <f>VLOOKUP(B4418,'HSD UPAH,BAHAN,ALAT'!$C$6:F4026,4,FALSE)</f>
        <v>10000</v>
      </c>
      <c r="G4418" s="87">
        <f t="shared" ref="G4418:G4419" si="551">E4418*F4418</f>
        <v>30000</v>
      </c>
    </row>
    <row r="4419" spans="1:7">
      <c r="A4419" s="8">
        <v>2</v>
      </c>
      <c r="B4419" s="1" t="s">
        <v>18</v>
      </c>
      <c r="C4419" s="8"/>
      <c r="D4419" s="9" t="s">
        <v>19</v>
      </c>
      <c r="E4419" s="10">
        <v>5.0000000000000001E-3</v>
      </c>
      <c r="F4419" s="86">
        <f>VLOOKUP(B4419,'HSD UPAH,BAHAN,ALAT'!$C$6:F4027,4,FALSE)</f>
        <v>10000</v>
      </c>
      <c r="G4419" s="87">
        <f t="shared" si="551"/>
        <v>50</v>
      </c>
    </row>
    <row r="4420" spans="1:7">
      <c r="A4420" s="8">
        <v>3</v>
      </c>
      <c r="B4420" s="1" t="s">
        <v>26</v>
      </c>
      <c r="C4420" s="8"/>
      <c r="D4420" s="9"/>
      <c r="E4420" s="19"/>
      <c r="F4420" s="2"/>
      <c r="G4420" s="2"/>
    </row>
    <row r="4421" spans="1:7">
      <c r="A4421" s="8" t="s">
        <v>22</v>
      </c>
      <c r="B4421" s="1" t="s">
        <v>27</v>
      </c>
      <c r="C4421" s="8"/>
      <c r="D4421" s="9" t="s">
        <v>28</v>
      </c>
      <c r="E4421" s="10" t="s">
        <v>64</v>
      </c>
      <c r="F4421" s="86">
        <f>VLOOKUP(B4421,'HSD UPAH,BAHAN,ALAT'!$C$6:F4029,4,FALSE)</f>
        <v>10000</v>
      </c>
      <c r="G4421" s="87">
        <f t="shared" ref="G4421:G4423" si="552">E4421*F4421</f>
        <v>200</v>
      </c>
    </row>
    <row r="4422" spans="1:7">
      <c r="A4422" s="8" t="s">
        <v>30</v>
      </c>
      <c r="B4422" s="1" t="s">
        <v>31</v>
      </c>
      <c r="C4422" s="8"/>
      <c r="D4422" s="9" t="s">
        <v>28</v>
      </c>
      <c r="E4422" s="10" t="s">
        <v>20</v>
      </c>
      <c r="F4422" s="86">
        <f>VLOOKUP(B4422,'HSD UPAH,BAHAN,ALAT'!$C$6:F4030,4,FALSE)</f>
        <v>10000</v>
      </c>
      <c r="G4422" s="87">
        <f t="shared" si="552"/>
        <v>50</v>
      </c>
    </row>
    <row r="4423" spans="1:7">
      <c r="A4423" s="8" t="s">
        <v>33</v>
      </c>
      <c r="B4423" s="1" t="s">
        <v>34</v>
      </c>
      <c r="C4423" s="8"/>
      <c r="D4423" s="9" t="s">
        <v>28</v>
      </c>
      <c r="E4423" s="10" t="s">
        <v>95</v>
      </c>
      <c r="F4423" s="86">
        <f>VLOOKUP(B4423,'HSD UPAH,BAHAN,ALAT'!$C$6:F4031,4,FALSE)</f>
        <v>10000</v>
      </c>
      <c r="G4423" s="87">
        <f t="shared" si="552"/>
        <v>10</v>
      </c>
    </row>
    <row r="4424" spans="1:7">
      <c r="A4424" s="261" t="s">
        <v>421</v>
      </c>
      <c r="B4424" s="261"/>
      <c r="C4424" s="261"/>
      <c r="D4424" s="261"/>
      <c r="E4424" s="261"/>
      <c r="F4424" s="261"/>
      <c r="G4424" s="85">
        <f>SUM(G4418:G4423)</f>
        <v>30310</v>
      </c>
    </row>
    <row r="4425" spans="1:7">
      <c r="A4425" s="8" t="s">
        <v>36</v>
      </c>
      <c r="B4425" s="1" t="s">
        <v>37</v>
      </c>
      <c r="C4425" s="8"/>
      <c r="D4425" s="9"/>
      <c r="E4425" s="19"/>
      <c r="F4425" s="2"/>
      <c r="G4425" s="2"/>
    </row>
    <row r="4426" spans="1:7">
      <c r="A4426" s="263" t="s">
        <v>419</v>
      </c>
      <c r="B4426" s="263"/>
      <c r="C4426" s="263"/>
      <c r="D4426" s="263"/>
      <c r="E4426" s="263"/>
      <c r="F4426" s="263"/>
      <c r="G4426" s="80">
        <f>SUM(G4425)</f>
        <v>0</v>
      </c>
    </row>
    <row r="4427" spans="1:7">
      <c r="A4427" s="81" t="s">
        <v>38</v>
      </c>
      <c r="B4427" s="262" t="s">
        <v>39</v>
      </c>
      <c r="C4427" s="262"/>
      <c r="D4427" s="262"/>
      <c r="E4427" s="262"/>
      <c r="F4427" s="262"/>
      <c r="G4427" s="80">
        <f>SUM(G4413:G4426)/2</f>
        <v>36840</v>
      </c>
    </row>
    <row r="4428" spans="1:7">
      <c r="A4428" s="81" t="s">
        <v>40</v>
      </c>
      <c r="B4428" s="262" t="s">
        <v>180</v>
      </c>
      <c r="C4428" s="262"/>
      <c r="D4428" s="262"/>
      <c r="E4428" s="262"/>
      <c r="F4428" s="82">
        <v>0.1</v>
      </c>
      <c r="G4428" s="80">
        <f>G4427*F4428</f>
        <v>3684</v>
      </c>
    </row>
    <row r="4429" spans="1:7">
      <c r="A4429" s="81" t="s">
        <v>41</v>
      </c>
      <c r="B4429" s="262" t="s">
        <v>42</v>
      </c>
      <c r="C4429" s="262"/>
      <c r="D4429" s="262"/>
      <c r="E4429" s="262"/>
      <c r="F4429" s="262"/>
      <c r="G4429" s="80">
        <f>G4427+G4428</f>
        <v>40524</v>
      </c>
    </row>
    <row r="4430" spans="1:7">
      <c r="A4430" s="90"/>
      <c r="B4430" s="91"/>
      <c r="C4430" s="91"/>
      <c r="D4430" s="91"/>
      <c r="E4430" s="91"/>
      <c r="F4430" s="91"/>
      <c r="G4430" s="92"/>
    </row>
    <row r="4431" spans="1:7">
      <c r="A4431" s="4" t="s">
        <v>622</v>
      </c>
      <c r="B4431" s="91"/>
      <c r="C4431" s="91"/>
      <c r="D4431" s="91"/>
      <c r="E4431" s="91"/>
      <c r="F4431" s="91"/>
      <c r="G4431" s="92"/>
    </row>
    <row r="4432" spans="1:7" ht="30">
      <c r="A4432" s="79" t="s">
        <v>0</v>
      </c>
      <c r="B4432" s="79" t="s">
        <v>1</v>
      </c>
      <c r="C4432" s="79" t="s">
        <v>207</v>
      </c>
      <c r="D4432" s="79" t="s">
        <v>3</v>
      </c>
      <c r="E4432" s="79" t="s">
        <v>2</v>
      </c>
      <c r="F4432" s="79" t="s">
        <v>417</v>
      </c>
      <c r="G4432" s="79" t="s">
        <v>418</v>
      </c>
    </row>
    <row r="4433" spans="1:7">
      <c r="A4433" s="8" t="s">
        <v>4</v>
      </c>
      <c r="B4433" s="1" t="s">
        <v>5</v>
      </c>
      <c r="C4433" s="8"/>
      <c r="D4433" s="9"/>
      <c r="E4433" s="19"/>
      <c r="F4433" s="2"/>
      <c r="G4433" s="2"/>
    </row>
    <row r="4434" spans="1:7">
      <c r="A4434" s="8">
        <v>1</v>
      </c>
      <c r="B4434" s="1" t="s">
        <v>6</v>
      </c>
      <c r="C4434" s="8" t="s">
        <v>7</v>
      </c>
      <c r="D4434" s="9" t="s">
        <v>8</v>
      </c>
      <c r="E4434" s="10" t="s">
        <v>92</v>
      </c>
      <c r="F4434" s="86">
        <f>VLOOKUP(B4434,'HSD UPAH,BAHAN,ALAT'!$C$6:F4040,4,FALSE)</f>
        <v>100000</v>
      </c>
      <c r="G4434" s="87">
        <f t="shared" ref="G4434:G4436" si="553">E4434*F4434</f>
        <v>5000</v>
      </c>
    </row>
    <row r="4435" spans="1:7">
      <c r="A4435" s="8">
        <v>2</v>
      </c>
      <c r="B4435" s="1" t="s">
        <v>10</v>
      </c>
      <c r="C4435" s="8" t="s">
        <v>11</v>
      </c>
      <c r="D4435" s="9" t="s">
        <v>8</v>
      </c>
      <c r="E4435" s="10" t="s">
        <v>93</v>
      </c>
      <c r="F4435" s="86">
        <f>VLOOKUP(B4435,'HSD UPAH,BAHAN,ALAT'!$C$6:F4041,4,FALSE)</f>
        <v>120000</v>
      </c>
      <c r="G4435" s="87">
        <f t="shared" si="553"/>
        <v>1200</v>
      </c>
    </row>
    <row r="4436" spans="1:7">
      <c r="A4436" s="8">
        <v>3</v>
      </c>
      <c r="B4436" s="1" t="s">
        <v>13</v>
      </c>
      <c r="C4436" s="8" t="s">
        <v>14</v>
      </c>
      <c r="D4436" s="9" t="s">
        <v>8</v>
      </c>
      <c r="E4436" s="10" t="s">
        <v>94</v>
      </c>
      <c r="F4436" s="86">
        <f>VLOOKUP(B4436,'HSD UPAH,BAHAN,ALAT'!$C$6:F4042,4,FALSE)</f>
        <v>100000</v>
      </c>
      <c r="G4436" s="87">
        <f t="shared" si="553"/>
        <v>330</v>
      </c>
    </row>
    <row r="4437" spans="1:7">
      <c r="A4437" s="261" t="s">
        <v>420</v>
      </c>
      <c r="B4437" s="261"/>
      <c r="C4437" s="261"/>
      <c r="D4437" s="261"/>
      <c r="E4437" s="261"/>
      <c r="F4437" s="261"/>
      <c r="G4437" s="85">
        <f>SUM(G4433:G4436)</f>
        <v>6530</v>
      </c>
    </row>
    <row r="4438" spans="1:7">
      <c r="A4438" s="8" t="s">
        <v>16</v>
      </c>
      <c r="B4438" s="1" t="s">
        <v>17</v>
      </c>
      <c r="C4438" s="8"/>
      <c r="D4438" s="9"/>
      <c r="E4438" s="19"/>
      <c r="F4438" s="2"/>
      <c r="G4438" s="2"/>
    </row>
    <row r="4439" spans="1:7" ht="45">
      <c r="A4439" s="17" t="s">
        <v>208</v>
      </c>
      <c r="B4439" s="5" t="s">
        <v>361</v>
      </c>
      <c r="C4439" s="17"/>
      <c r="D4439" s="12" t="s">
        <v>86</v>
      </c>
      <c r="E4439" s="7">
        <v>5</v>
      </c>
      <c r="F4439" s="86">
        <f>VLOOKUP(B4439,'HSD UPAH,BAHAN,ALAT'!$C$6:F4045,4,FALSE)</f>
        <v>10000</v>
      </c>
      <c r="G4439" s="87">
        <f t="shared" ref="G4439:G4440" si="554">E4439*F4439</f>
        <v>50000</v>
      </c>
    </row>
    <row r="4440" spans="1:7">
      <c r="A4440" s="8">
        <v>2</v>
      </c>
      <c r="B4440" s="1" t="s">
        <v>18</v>
      </c>
      <c r="C4440" s="8"/>
      <c r="D4440" s="9" t="s">
        <v>19</v>
      </c>
      <c r="E4440" s="10">
        <v>5.0000000000000001E-3</v>
      </c>
      <c r="F4440" s="86">
        <f>VLOOKUP(B4440,'HSD UPAH,BAHAN,ALAT'!$C$6:F4046,4,FALSE)</f>
        <v>10000</v>
      </c>
      <c r="G4440" s="87">
        <f t="shared" si="554"/>
        <v>50</v>
      </c>
    </row>
    <row r="4441" spans="1:7">
      <c r="A4441" s="8">
        <v>3</v>
      </c>
      <c r="B4441" s="1" t="s">
        <v>26</v>
      </c>
      <c r="C4441" s="8"/>
      <c r="D4441" s="9"/>
      <c r="E4441" s="19"/>
      <c r="F4441" s="2"/>
      <c r="G4441" s="2"/>
    </row>
    <row r="4442" spans="1:7">
      <c r="A4442" s="8" t="s">
        <v>22</v>
      </c>
      <c r="B4442" s="1" t="s">
        <v>27</v>
      </c>
      <c r="C4442" s="8"/>
      <c r="D4442" s="9" t="s">
        <v>28</v>
      </c>
      <c r="E4442" s="10" t="s">
        <v>64</v>
      </c>
      <c r="F4442" s="86">
        <f>VLOOKUP(B4442,'HSD UPAH,BAHAN,ALAT'!$C$6:F4048,4,FALSE)</f>
        <v>10000</v>
      </c>
      <c r="G4442" s="87">
        <f t="shared" ref="G4442:G4444" si="555">E4442*F4442</f>
        <v>200</v>
      </c>
    </row>
    <row r="4443" spans="1:7">
      <c r="A4443" s="8" t="s">
        <v>30</v>
      </c>
      <c r="B4443" s="1" t="s">
        <v>31</v>
      </c>
      <c r="C4443" s="8"/>
      <c r="D4443" s="9" t="s">
        <v>28</v>
      </c>
      <c r="E4443" s="10" t="s">
        <v>20</v>
      </c>
      <c r="F4443" s="86">
        <f>VLOOKUP(B4443,'HSD UPAH,BAHAN,ALAT'!$C$6:F4049,4,FALSE)</f>
        <v>10000</v>
      </c>
      <c r="G4443" s="87">
        <f t="shared" si="555"/>
        <v>50</v>
      </c>
    </row>
    <row r="4444" spans="1:7">
      <c r="A4444" s="8" t="s">
        <v>33</v>
      </c>
      <c r="B4444" s="1" t="s">
        <v>34</v>
      </c>
      <c r="C4444" s="8"/>
      <c r="D4444" s="9" t="s">
        <v>28</v>
      </c>
      <c r="E4444" s="10" t="s">
        <v>95</v>
      </c>
      <c r="F4444" s="86">
        <f>VLOOKUP(B4444,'HSD UPAH,BAHAN,ALAT'!$C$6:F4050,4,FALSE)</f>
        <v>10000</v>
      </c>
      <c r="G4444" s="87">
        <f t="shared" si="555"/>
        <v>10</v>
      </c>
    </row>
    <row r="4445" spans="1:7">
      <c r="A4445" s="261" t="s">
        <v>421</v>
      </c>
      <c r="B4445" s="261"/>
      <c r="C4445" s="261"/>
      <c r="D4445" s="261"/>
      <c r="E4445" s="261"/>
      <c r="F4445" s="261"/>
      <c r="G4445" s="85">
        <f>SUM(G4439:G4444)</f>
        <v>50310</v>
      </c>
    </row>
    <row r="4446" spans="1:7">
      <c r="A4446" s="8" t="s">
        <v>36</v>
      </c>
      <c r="B4446" s="1" t="s">
        <v>37</v>
      </c>
      <c r="C4446" s="8"/>
      <c r="D4446" s="9"/>
      <c r="E4446" s="19"/>
      <c r="F4446" s="2"/>
      <c r="G4446" s="2"/>
    </row>
    <row r="4447" spans="1:7">
      <c r="A4447" s="263" t="s">
        <v>419</v>
      </c>
      <c r="B4447" s="263"/>
      <c r="C4447" s="263"/>
      <c r="D4447" s="263"/>
      <c r="E4447" s="263"/>
      <c r="F4447" s="263"/>
      <c r="G4447" s="80">
        <f>SUM(G4446)</f>
        <v>0</v>
      </c>
    </row>
    <row r="4448" spans="1:7">
      <c r="A4448" s="81" t="s">
        <v>38</v>
      </c>
      <c r="B4448" s="262" t="s">
        <v>39</v>
      </c>
      <c r="C4448" s="262"/>
      <c r="D4448" s="262"/>
      <c r="E4448" s="262"/>
      <c r="F4448" s="262"/>
      <c r="G4448" s="80">
        <f>SUM(G4434:G4447)/2</f>
        <v>56840</v>
      </c>
    </row>
    <row r="4449" spans="1:7">
      <c r="A4449" s="81" t="s">
        <v>40</v>
      </c>
      <c r="B4449" s="262" t="s">
        <v>180</v>
      </c>
      <c r="C4449" s="262"/>
      <c r="D4449" s="262"/>
      <c r="E4449" s="262"/>
      <c r="F4449" s="82">
        <v>0.1</v>
      </c>
      <c r="G4449" s="80">
        <f>G4448*F4449</f>
        <v>5684</v>
      </c>
    </row>
    <row r="4450" spans="1:7">
      <c r="A4450" s="81" t="s">
        <v>41</v>
      </c>
      <c r="B4450" s="262" t="s">
        <v>42</v>
      </c>
      <c r="C4450" s="262"/>
      <c r="D4450" s="262"/>
      <c r="E4450" s="262"/>
      <c r="F4450" s="262"/>
      <c r="G4450" s="80">
        <f>G4448+G4449</f>
        <v>62524</v>
      </c>
    </row>
    <row r="4451" spans="1:7">
      <c r="A4451" s="90"/>
      <c r="B4451" s="91"/>
      <c r="C4451" s="91"/>
      <c r="D4451" s="91"/>
      <c r="E4451" s="91"/>
      <c r="F4451" s="91"/>
      <c r="G4451" s="92"/>
    </row>
    <row r="4452" spans="1:7">
      <c r="A4452" s="4" t="s">
        <v>623</v>
      </c>
      <c r="B4452" s="91"/>
      <c r="C4452" s="91"/>
      <c r="D4452" s="91"/>
      <c r="E4452" s="91"/>
      <c r="F4452" s="91"/>
      <c r="G4452" s="92"/>
    </row>
    <row r="4453" spans="1:7" ht="30">
      <c r="A4453" s="79" t="s">
        <v>0</v>
      </c>
      <c r="B4453" s="79" t="s">
        <v>1</v>
      </c>
      <c r="C4453" s="79" t="s">
        <v>207</v>
      </c>
      <c r="D4453" s="79" t="s">
        <v>3</v>
      </c>
      <c r="E4453" s="79" t="s">
        <v>2</v>
      </c>
      <c r="F4453" s="79" t="s">
        <v>417</v>
      </c>
      <c r="G4453" s="79" t="s">
        <v>418</v>
      </c>
    </row>
    <row r="4454" spans="1:7">
      <c r="A4454" s="8" t="s">
        <v>4</v>
      </c>
      <c r="B4454" s="1" t="s">
        <v>5</v>
      </c>
      <c r="C4454" s="8"/>
      <c r="D4454" s="9"/>
      <c r="E4454" s="19"/>
      <c r="F4454" s="2"/>
      <c r="G4454" s="2"/>
    </row>
    <row r="4455" spans="1:7">
      <c r="A4455" s="8">
        <v>1</v>
      </c>
      <c r="B4455" s="1" t="s">
        <v>6</v>
      </c>
      <c r="C4455" s="8" t="s">
        <v>7</v>
      </c>
      <c r="D4455" s="9" t="s">
        <v>8</v>
      </c>
      <c r="E4455" s="10" t="s">
        <v>92</v>
      </c>
      <c r="F4455" s="86">
        <f>VLOOKUP(B4455,'HSD UPAH,BAHAN,ALAT'!$C$6:F4059,4,FALSE)</f>
        <v>100000</v>
      </c>
      <c r="G4455" s="87">
        <f t="shared" ref="G4455:G4457" si="556">E4455*F4455</f>
        <v>5000</v>
      </c>
    </row>
    <row r="4456" spans="1:7">
      <c r="A4456" s="8">
        <v>2</v>
      </c>
      <c r="B4456" s="1" t="s">
        <v>10</v>
      </c>
      <c r="C4456" s="8" t="s">
        <v>11</v>
      </c>
      <c r="D4456" s="9" t="s">
        <v>8</v>
      </c>
      <c r="E4456" s="10" t="s">
        <v>93</v>
      </c>
      <c r="F4456" s="86">
        <f>VLOOKUP(B4456,'HSD UPAH,BAHAN,ALAT'!$C$6:F4060,4,FALSE)</f>
        <v>120000</v>
      </c>
      <c r="G4456" s="87">
        <f t="shared" si="556"/>
        <v>1200</v>
      </c>
    </row>
    <row r="4457" spans="1:7">
      <c r="A4457" s="8">
        <v>3</v>
      </c>
      <c r="B4457" s="1" t="s">
        <v>13</v>
      </c>
      <c r="C4457" s="8" t="s">
        <v>14</v>
      </c>
      <c r="D4457" s="9" t="s">
        <v>8</v>
      </c>
      <c r="E4457" s="10" t="s">
        <v>94</v>
      </c>
      <c r="F4457" s="86">
        <f>VLOOKUP(B4457,'HSD UPAH,BAHAN,ALAT'!$C$6:F4061,4,FALSE)</f>
        <v>100000</v>
      </c>
      <c r="G4457" s="87">
        <f t="shared" si="556"/>
        <v>330</v>
      </c>
    </row>
    <row r="4458" spans="1:7">
      <c r="A4458" s="261" t="s">
        <v>420</v>
      </c>
      <c r="B4458" s="261"/>
      <c r="C4458" s="261"/>
      <c r="D4458" s="261"/>
      <c r="E4458" s="261"/>
      <c r="F4458" s="261"/>
      <c r="G4458" s="85">
        <f>SUM(G4454:G4457)</f>
        <v>6530</v>
      </c>
    </row>
    <row r="4459" spans="1:7">
      <c r="A4459" s="8" t="s">
        <v>16</v>
      </c>
      <c r="B4459" s="1" t="s">
        <v>17</v>
      </c>
      <c r="C4459" s="8"/>
      <c r="D4459" s="9"/>
      <c r="E4459" s="19"/>
      <c r="F4459" s="2"/>
      <c r="G4459" s="2"/>
    </row>
    <row r="4460" spans="1:7" ht="30">
      <c r="A4460" s="17" t="s">
        <v>208</v>
      </c>
      <c r="B4460" s="5" t="s">
        <v>362</v>
      </c>
      <c r="C4460" s="17"/>
      <c r="D4460" s="12" t="s">
        <v>86</v>
      </c>
      <c r="E4460" s="7">
        <v>12</v>
      </c>
      <c r="F4460" s="86">
        <f>VLOOKUP(B4460,'HSD UPAH,BAHAN,ALAT'!$C$6:F4064,4,FALSE)</f>
        <v>10000</v>
      </c>
      <c r="G4460" s="87">
        <f t="shared" ref="G4460:G4461" si="557">E4460*F4460</f>
        <v>120000</v>
      </c>
    </row>
    <row r="4461" spans="1:7">
      <c r="A4461" s="8">
        <v>2</v>
      </c>
      <c r="B4461" s="1" t="s">
        <v>18</v>
      </c>
      <c r="C4461" s="8"/>
      <c r="D4461" s="9" t="s">
        <v>19</v>
      </c>
      <c r="E4461" s="10">
        <v>5.0000000000000001E-3</v>
      </c>
      <c r="F4461" s="86">
        <f>VLOOKUP(B4461,'HSD UPAH,BAHAN,ALAT'!$C$6:F4065,4,FALSE)</f>
        <v>10000</v>
      </c>
      <c r="G4461" s="87">
        <f t="shared" si="557"/>
        <v>50</v>
      </c>
    </row>
    <row r="4462" spans="1:7">
      <c r="A4462" s="8">
        <v>3</v>
      </c>
      <c r="B4462" s="1" t="s">
        <v>26</v>
      </c>
      <c r="C4462" s="8"/>
      <c r="D4462" s="9"/>
      <c r="E4462" s="19"/>
      <c r="F4462" s="2"/>
      <c r="G4462" s="2"/>
    </row>
    <row r="4463" spans="1:7">
      <c r="A4463" s="8" t="s">
        <v>22</v>
      </c>
      <c r="B4463" s="1" t="s">
        <v>27</v>
      </c>
      <c r="C4463" s="8"/>
      <c r="D4463" s="9" t="s">
        <v>28</v>
      </c>
      <c r="E4463" s="10" t="s">
        <v>64</v>
      </c>
      <c r="F4463" s="86">
        <f>VLOOKUP(B4463,'HSD UPAH,BAHAN,ALAT'!$C$6:F4067,4,FALSE)</f>
        <v>10000</v>
      </c>
      <c r="G4463" s="87">
        <f t="shared" ref="G4463:G4465" si="558">E4463*F4463</f>
        <v>200</v>
      </c>
    </row>
    <row r="4464" spans="1:7">
      <c r="A4464" s="8" t="s">
        <v>30</v>
      </c>
      <c r="B4464" s="1" t="s">
        <v>31</v>
      </c>
      <c r="C4464" s="8"/>
      <c r="D4464" s="9" t="s">
        <v>28</v>
      </c>
      <c r="E4464" s="10" t="s">
        <v>20</v>
      </c>
      <c r="F4464" s="86">
        <f>VLOOKUP(B4464,'HSD UPAH,BAHAN,ALAT'!$C$6:F4068,4,FALSE)</f>
        <v>10000</v>
      </c>
      <c r="G4464" s="87">
        <f t="shared" si="558"/>
        <v>50</v>
      </c>
    </row>
    <row r="4465" spans="1:7">
      <c r="A4465" s="8" t="s">
        <v>33</v>
      </c>
      <c r="B4465" s="1" t="s">
        <v>34</v>
      </c>
      <c r="C4465" s="8"/>
      <c r="D4465" s="9" t="s">
        <v>28</v>
      </c>
      <c r="E4465" s="10" t="s">
        <v>95</v>
      </c>
      <c r="F4465" s="86">
        <f>VLOOKUP(B4465,'HSD UPAH,BAHAN,ALAT'!$C$6:F4069,4,FALSE)</f>
        <v>10000</v>
      </c>
      <c r="G4465" s="87">
        <f t="shared" si="558"/>
        <v>10</v>
      </c>
    </row>
    <row r="4466" spans="1:7">
      <c r="A4466" s="261" t="s">
        <v>421</v>
      </c>
      <c r="B4466" s="261"/>
      <c r="C4466" s="261"/>
      <c r="D4466" s="261"/>
      <c r="E4466" s="261"/>
      <c r="F4466" s="261"/>
      <c r="G4466" s="85">
        <f>SUM(G4460:G4465)</f>
        <v>120310</v>
      </c>
    </row>
    <row r="4467" spans="1:7">
      <c r="A4467" s="8" t="s">
        <v>36</v>
      </c>
      <c r="B4467" s="1" t="s">
        <v>37</v>
      </c>
      <c r="C4467" s="8"/>
      <c r="D4467" s="9"/>
      <c r="E4467" s="19"/>
      <c r="F4467" s="2"/>
      <c r="G4467" s="2"/>
    </row>
    <row r="4468" spans="1:7">
      <c r="A4468" s="263" t="s">
        <v>419</v>
      </c>
      <c r="B4468" s="263"/>
      <c r="C4468" s="263"/>
      <c r="D4468" s="263"/>
      <c r="E4468" s="263"/>
      <c r="F4468" s="263"/>
      <c r="G4468" s="80">
        <f>SUM(G4467)</f>
        <v>0</v>
      </c>
    </row>
    <row r="4469" spans="1:7">
      <c r="A4469" s="81" t="s">
        <v>38</v>
      </c>
      <c r="B4469" s="262" t="s">
        <v>39</v>
      </c>
      <c r="C4469" s="262"/>
      <c r="D4469" s="262"/>
      <c r="E4469" s="262"/>
      <c r="F4469" s="262"/>
      <c r="G4469" s="80">
        <f>SUM(G4455:G4468)/2</f>
        <v>126840</v>
      </c>
    </row>
    <row r="4470" spans="1:7">
      <c r="A4470" s="81" t="s">
        <v>40</v>
      </c>
      <c r="B4470" s="262" t="s">
        <v>180</v>
      </c>
      <c r="C4470" s="262"/>
      <c r="D4470" s="262"/>
      <c r="E4470" s="262"/>
      <c r="F4470" s="82">
        <v>0.1</v>
      </c>
      <c r="G4470" s="80">
        <f>G4469*F4470</f>
        <v>12684</v>
      </c>
    </row>
    <row r="4471" spans="1:7">
      <c r="A4471" s="81" t="s">
        <v>41</v>
      </c>
      <c r="B4471" s="262" t="s">
        <v>42</v>
      </c>
      <c r="C4471" s="262"/>
      <c r="D4471" s="262"/>
      <c r="E4471" s="262"/>
      <c r="F4471" s="262"/>
      <c r="G4471" s="80">
        <f>G4469+G4470</f>
        <v>139524</v>
      </c>
    </row>
    <row r="4472" spans="1:7">
      <c r="A4472" s="90"/>
      <c r="B4472" s="91"/>
      <c r="C4472" s="91"/>
      <c r="D4472" s="91"/>
      <c r="E4472" s="91"/>
      <c r="F4472" s="91"/>
      <c r="G4472" s="92"/>
    </row>
    <row r="4473" spans="1:7">
      <c r="A4473" s="4" t="s">
        <v>624</v>
      </c>
      <c r="B4473" s="91"/>
      <c r="C4473" s="91"/>
      <c r="D4473" s="91"/>
      <c r="E4473" s="91"/>
      <c r="F4473" s="91"/>
      <c r="G4473" s="92"/>
    </row>
    <row r="4474" spans="1:7" ht="30">
      <c r="A4474" s="79" t="s">
        <v>0</v>
      </c>
      <c r="B4474" s="79" t="s">
        <v>1</v>
      </c>
      <c r="C4474" s="79" t="s">
        <v>207</v>
      </c>
      <c r="D4474" s="79" t="s">
        <v>3</v>
      </c>
      <c r="E4474" s="79" t="s">
        <v>2</v>
      </c>
      <c r="F4474" s="79" t="s">
        <v>417</v>
      </c>
      <c r="G4474" s="79" t="s">
        <v>418</v>
      </c>
    </row>
    <row r="4475" spans="1:7">
      <c r="A4475" s="8" t="s">
        <v>4</v>
      </c>
      <c r="B4475" s="1" t="s">
        <v>5</v>
      </c>
      <c r="C4475" s="8"/>
      <c r="D4475" s="9"/>
      <c r="E4475" s="19"/>
      <c r="F4475" s="2"/>
      <c r="G4475" s="2"/>
    </row>
    <row r="4476" spans="1:7">
      <c r="A4476" s="8">
        <v>1</v>
      </c>
      <c r="B4476" s="1" t="s">
        <v>6</v>
      </c>
      <c r="C4476" s="8" t="s">
        <v>7</v>
      </c>
      <c r="D4476" s="9" t="s">
        <v>8</v>
      </c>
      <c r="E4476" s="10" t="s">
        <v>92</v>
      </c>
      <c r="F4476" s="86">
        <f>VLOOKUP(B4476,'HSD UPAH,BAHAN,ALAT'!$C$6:F4078,4,FALSE)</f>
        <v>100000</v>
      </c>
      <c r="G4476" s="87">
        <f t="shared" ref="G4476:G4478" si="559">E4476*F4476</f>
        <v>5000</v>
      </c>
    </row>
    <row r="4477" spans="1:7">
      <c r="A4477" s="8">
        <v>2</v>
      </c>
      <c r="B4477" s="1" t="s">
        <v>10</v>
      </c>
      <c r="C4477" s="8" t="s">
        <v>11</v>
      </c>
      <c r="D4477" s="9" t="s">
        <v>8</v>
      </c>
      <c r="E4477" s="10" t="s">
        <v>93</v>
      </c>
      <c r="F4477" s="86">
        <f>VLOOKUP(B4477,'HSD UPAH,BAHAN,ALAT'!$C$6:F4079,4,FALSE)</f>
        <v>120000</v>
      </c>
      <c r="G4477" s="87">
        <f t="shared" si="559"/>
        <v>1200</v>
      </c>
    </row>
    <row r="4478" spans="1:7">
      <c r="A4478" s="8">
        <v>3</v>
      </c>
      <c r="B4478" s="1" t="s">
        <v>13</v>
      </c>
      <c r="C4478" s="8" t="s">
        <v>14</v>
      </c>
      <c r="D4478" s="9" t="s">
        <v>8</v>
      </c>
      <c r="E4478" s="10" t="s">
        <v>94</v>
      </c>
      <c r="F4478" s="86">
        <f>VLOOKUP(B4478,'HSD UPAH,BAHAN,ALAT'!$C$6:F4080,4,FALSE)</f>
        <v>100000</v>
      </c>
      <c r="G4478" s="87">
        <f t="shared" si="559"/>
        <v>330</v>
      </c>
    </row>
    <row r="4479" spans="1:7">
      <c r="A4479" s="261" t="s">
        <v>420</v>
      </c>
      <c r="B4479" s="261"/>
      <c r="C4479" s="261"/>
      <c r="D4479" s="261"/>
      <c r="E4479" s="261"/>
      <c r="F4479" s="261"/>
      <c r="G4479" s="85">
        <f>SUM(G4475:G4478)</f>
        <v>6530</v>
      </c>
    </row>
    <row r="4480" spans="1:7">
      <c r="A4480" s="8" t="s">
        <v>16</v>
      </c>
      <c r="B4480" s="1" t="s">
        <v>17</v>
      </c>
      <c r="C4480" s="8"/>
      <c r="D4480" s="9"/>
      <c r="E4480" s="19"/>
      <c r="F4480" s="2"/>
      <c r="G4480" s="2"/>
    </row>
    <row r="4481" spans="1:7" ht="30">
      <c r="A4481" s="17" t="s">
        <v>208</v>
      </c>
      <c r="B4481" s="5" t="s">
        <v>363</v>
      </c>
      <c r="C4481" s="17"/>
      <c r="D4481" s="12" t="s">
        <v>86</v>
      </c>
      <c r="E4481" s="7">
        <v>3</v>
      </c>
      <c r="F4481" s="86">
        <f>VLOOKUP(B4481,'HSD UPAH,BAHAN,ALAT'!$C$6:F4083,4,FALSE)</f>
        <v>10000</v>
      </c>
      <c r="G4481" s="87">
        <f t="shared" ref="G4481:G4482" si="560">E4481*F4481</f>
        <v>30000</v>
      </c>
    </row>
    <row r="4482" spans="1:7">
      <c r="A4482" s="8">
        <v>2</v>
      </c>
      <c r="B4482" s="1" t="s">
        <v>18</v>
      </c>
      <c r="C4482" s="8"/>
      <c r="D4482" s="9" t="s">
        <v>19</v>
      </c>
      <c r="E4482" s="10">
        <v>5.0000000000000001E-3</v>
      </c>
      <c r="F4482" s="86">
        <f>VLOOKUP(B4482,'HSD UPAH,BAHAN,ALAT'!$C$6:F4084,4,FALSE)</f>
        <v>10000</v>
      </c>
      <c r="G4482" s="87">
        <f t="shared" si="560"/>
        <v>50</v>
      </c>
    </row>
    <row r="4483" spans="1:7">
      <c r="A4483" s="8">
        <v>3</v>
      </c>
      <c r="B4483" s="1" t="s">
        <v>26</v>
      </c>
      <c r="C4483" s="8"/>
      <c r="D4483" s="9"/>
      <c r="E4483" s="19"/>
      <c r="F4483" s="2"/>
      <c r="G4483" s="2"/>
    </row>
    <row r="4484" spans="1:7">
      <c r="A4484" s="8" t="s">
        <v>22</v>
      </c>
      <c r="B4484" s="1" t="s">
        <v>27</v>
      </c>
      <c r="C4484" s="8"/>
      <c r="D4484" s="9" t="s">
        <v>28</v>
      </c>
      <c r="E4484" s="10" t="s">
        <v>64</v>
      </c>
      <c r="F4484" s="86">
        <f>VLOOKUP(B4484,'HSD UPAH,BAHAN,ALAT'!$C$6:F4086,4,FALSE)</f>
        <v>10000</v>
      </c>
      <c r="G4484" s="87">
        <f t="shared" ref="G4484:G4486" si="561">E4484*F4484</f>
        <v>200</v>
      </c>
    </row>
    <row r="4485" spans="1:7">
      <c r="A4485" s="8" t="s">
        <v>30</v>
      </c>
      <c r="B4485" s="1" t="s">
        <v>31</v>
      </c>
      <c r="C4485" s="8"/>
      <c r="D4485" s="9" t="s">
        <v>28</v>
      </c>
      <c r="E4485" s="10" t="s">
        <v>20</v>
      </c>
      <c r="F4485" s="86">
        <f>VLOOKUP(B4485,'HSD UPAH,BAHAN,ALAT'!$C$6:F4087,4,FALSE)</f>
        <v>10000</v>
      </c>
      <c r="G4485" s="87">
        <f t="shared" si="561"/>
        <v>50</v>
      </c>
    </row>
    <row r="4486" spans="1:7">
      <c r="A4486" s="8" t="s">
        <v>33</v>
      </c>
      <c r="B4486" s="1" t="s">
        <v>34</v>
      </c>
      <c r="C4486" s="8"/>
      <c r="D4486" s="9" t="s">
        <v>28</v>
      </c>
      <c r="E4486" s="10" t="s">
        <v>95</v>
      </c>
      <c r="F4486" s="86">
        <f>VLOOKUP(B4486,'HSD UPAH,BAHAN,ALAT'!$C$6:F4088,4,FALSE)</f>
        <v>10000</v>
      </c>
      <c r="G4486" s="87">
        <f t="shared" si="561"/>
        <v>10</v>
      </c>
    </row>
    <row r="4487" spans="1:7">
      <c r="A4487" s="261" t="s">
        <v>421</v>
      </c>
      <c r="B4487" s="261"/>
      <c r="C4487" s="261"/>
      <c r="D4487" s="261"/>
      <c r="E4487" s="261"/>
      <c r="F4487" s="261"/>
      <c r="G4487" s="85">
        <f>SUM(G4481:G4486)</f>
        <v>30310</v>
      </c>
    </row>
    <row r="4488" spans="1:7">
      <c r="A4488" s="8" t="s">
        <v>36</v>
      </c>
      <c r="B4488" s="1" t="s">
        <v>37</v>
      </c>
      <c r="C4488" s="8"/>
      <c r="D4488" s="9"/>
      <c r="E4488" s="19"/>
      <c r="F4488" s="2"/>
      <c r="G4488" s="2"/>
    </row>
    <row r="4489" spans="1:7">
      <c r="A4489" s="263" t="s">
        <v>419</v>
      </c>
      <c r="B4489" s="263"/>
      <c r="C4489" s="263"/>
      <c r="D4489" s="263"/>
      <c r="E4489" s="263"/>
      <c r="F4489" s="263"/>
      <c r="G4489" s="80">
        <f>SUM(G4488)</f>
        <v>0</v>
      </c>
    </row>
    <row r="4490" spans="1:7">
      <c r="A4490" s="81" t="s">
        <v>38</v>
      </c>
      <c r="B4490" s="262" t="s">
        <v>39</v>
      </c>
      <c r="C4490" s="262"/>
      <c r="D4490" s="262"/>
      <c r="E4490" s="262"/>
      <c r="F4490" s="262"/>
      <c r="G4490" s="80">
        <f>SUM(G4476:G4489)/2</f>
        <v>36840</v>
      </c>
    </row>
    <row r="4491" spans="1:7">
      <c r="A4491" s="81" t="s">
        <v>40</v>
      </c>
      <c r="B4491" s="262" t="s">
        <v>180</v>
      </c>
      <c r="C4491" s="262"/>
      <c r="D4491" s="262"/>
      <c r="E4491" s="262"/>
      <c r="F4491" s="82">
        <v>0.1</v>
      </c>
      <c r="G4491" s="80">
        <f>G4490*F4491</f>
        <v>3684</v>
      </c>
    </row>
    <row r="4492" spans="1:7">
      <c r="A4492" s="81" t="s">
        <v>41</v>
      </c>
      <c r="B4492" s="262" t="s">
        <v>42</v>
      </c>
      <c r="C4492" s="262"/>
      <c r="D4492" s="262"/>
      <c r="E4492" s="262"/>
      <c r="F4492" s="262"/>
      <c r="G4492" s="80">
        <f>G4490+G4491</f>
        <v>40524</v>
      </c>
    </row>
    <row r="4493" spans="1:7">
      <c r="A4493" s="90"/>
      <c r="B4493" s="91"/>
      <c r="C4493" s="91"/>
      <c r="D4493" s="91"/>
      <c r="E4493" s="91"/>
      <c r="F4493" s="91"/>
      <c r="G4493" s="92"/>
    </row>
    <row r="4494" spans="1:7">
      <c r="A4494" s="4" t="s">
        <v>625</v>
      </c>
      <c r="B4494" s="91"/>
      <c r="C4494" s="91"/>
      <c r="D4494" s="91"/>
      <c r="E4494" s="91"/>
      <c r="F4494" s="91"/>
      <c r="G4494" s="92"/>
    </row>
    <row r="4495" spans="1:7" ht="30">
      <c r="A4495" s="79" t="s">
        <v>0</v>
      </c>
      <c r="B4495" s="79" t="s">
        <v>1</v>
      </c>
      <c r="C4495" s="79" t="s">
        <v>207</v>
      </c>
      <c r="D4495" s="79" t="s">
        <v>3</v>
      </c>
      <c r="E4495" s="79" t="s">
        <v>2</v>
      </c>
      <c r="F4495" s="79" t="s">
        <v>417</v>
      </c>
      <c r="G4495" s="79" t="s">
        <v>418</v>
      </c>
    </row>
    <row r="4496" spans="1:7">
      <c r="A4496" s="8" t="s">
        <v>4</v>
      </c>
      <c r="B4496" s="1" t="s">
        <v>5</v>
      </c>
      <c r="C4496" s="8"/>
      <c r="D4496" s="9"/>
      <c r="E4496" s="19"/>
      <c r="F4496" s="2"/>
      <c r="G4496" s="2"/>
    </row>
    <row r="4497" spans="1:7">
      <c r="A4497" s="8">
        <v>1</v>
      </c>
      <c r="B4497" s="1" t="s">
        <v>6</v>
      </c>
      <c r="C4497" s="8" t="s">
        <v>7</v>
      </c>
      <c r="D4497" s="9" t="s">
        <v>8</v>
      </c>
      <c r="E4497" s="10" t="s">
        <v>92</v>
      </c>
      <c r="F4497" s="86">
        <f>VLOOKUP(B4497,'HSD UPAH,BAHAN,ALAT'!$C$6:F4097,4,FALSE)</f>
        <v>100000</v>
      </c>
      <c r="G4497" s="87">
        <f t="shared" ref="G4497:G4499" si="562">E4497*F4497</f>
        <v>5000</v>
      </c>
    </row>
    <row r="4498" spans="1:7">
      <c r="A4498" s="8">
        <v>2</v>
      </c>
      <c r="B4498" s="1" t="s">
        <v>10</v>
      </c>
      <c r="C4498" s="8" t="s">
        <v>11</v>
      </c>
      <c r="D4498" s="9" t="s">
        <v>8</v>
      </c>
      <c r="E4498" s="10" t="s">
        <v>93</v>
      </c>
      <c r="F4498" s="86">
        <f>VLOOKUP(B4498,'HSD UPAH,BAHAN,ALAT'!$C$6:F4098,4,FALSE)</f>
        <v>120000</v>
      </c>
      <c r="G4498" s="87">
        <f t="shared" si="562"/>
        <v>1200</v>
      </c>
    </row>
    <row r="4499" spans="1:7">
      <c r="A4499" s="8">
        <v>3</v>
      </c>
      <c r="B4499" s="1" t="s">
        <v>13</v>
      </c>
      <c r="C4499" s="8" t="s">
        <v>14</v>
      </c>
      <c r="D4499" s="9" t="s">
        <v>8</v>
      </c>
      <c r="E4499" s="10" t="s">
        <v>94</v>
      </c>
      <c r="F4499" s="86">
        <f>VLOOKUP(B4499,'HSD UPAH,BAHAN,ALAT'!$C$6:F4099,4,FALSE)</f>
        <v>100000</v>
      </c>
      <c r="G4499" s="87">
        <f t="shared" si="562"/>
        <v>330</v>
      </c>
    </row>
    <row r="4500" spans="1:7">
      <c r="A4500" s="261" t="s">
        <v>420</v>
      </c>
      <c r="B4500" s="261"/>
      <c r="C4500" s="261"/>
      <c r="D4500" s="261"/>
      <c r="E4500" s="261"/>
      <c r="F4500" s="261"/>
      <c r="G4500" s="85">
        <f>SUM(G4496:G4499)</f>
        <v>6530</v>
      </c>
    </row>
    <row r="4501" spans="1:7">
      <c r="A4501" s="8" t="s">
        <v>16</v>
      </c>
      <c r="B4501" s="1" t="s">
        <v>17</v>
      </c>
      <c r="C4501" s="8"/>
      <c r="D4501" s="9"/>
      <c r="E4501" s="19"/>
      <c r="F4501" s="2"/>
      <c r="G4501" s="2"/>
    </row>
    <row r="4502" spans="1:7" ht="30">
      <c r="A4502" s="17" t="s">
        <v>208</v>
      </c>
      <c r="B4502" s="5" t="s">
        <v>364</v>
      </c>
      <c r="C4502" s="17"/>
      <c r="D4502" s="12" t="s">
        <v>86</v>
      </c>
      <c r="E4502" s="7">
        <v>12</v>
      </c>
      <c r="F4502" s="86">
        <f>VLOOKUP(B4502,'HSD UPAH,BAHAN,ALAT'!$C$6:F4102,4,FALSE)</f>
        <v>10000</v>
      </c>
      <c r="G4502" s="87">
        <f t="shared" ref="G4502:G4503" si="563">E4502*F4502</f>
        <v>120000</v>
      </c>
    </row>
    <row r="4503" spans="1:7">
      <c r="A4503" s="8">
        <v>2</v>
      </c>
      <c r="B4503" s="1" t="s">
        <v>18</v>
      </c>
      <c r="C4503" s="8"/>
      <c r="D4503" s="9" t="s">
        <v>19</v>
      </c>
      <c r="E4503" s="10">
        <v>5.0000000000000001E-3</v>
      </c>
      <c r="F4503" s="86">
        <f>VLOOKUP(B4503,'HSD UPAH,BAHAN,ALAT'!$C$6:F4103,4,FALSE)</f>
        <v>10000</v>
      </c>
      <c r="G4503" s="87">
        <f t="shared" si="563"/>
        <v>50</v>
      </c>
    </row>
    <row r="4504" spans="1:7">
      <c r="A4504" s="8">
        <v>3</v>
      </c>
      <c r="B4504" s="1" t="s">
        <v>26</v>
      </c>
      <c r="C4504" s="8"/>
      <c r="D4504" s="9"/>
      <c r="E4504" s="19"/>
      <c r="F4504" s="2"/>
      <c r="G4504" s="2"/>
    </row>
    <row r="4505" spans="1:7">
      <c r="A4505" s="8" t="s">
        <v>22</v>
      </c>
      <c r="B4505" s="1" t="s">
        <v>27</v>
      </c>
      <c r="C4505" s="8"/>
      <c r="D4505" s="9" t="s">
        <v>28</v>
      </c>
      <c r="E4505" s="10" t="s">
        <v>64</v>
      </c>
      <c r="F4505" s="86">
        <f>VLOOKUP(B4505,'HSD UPAH,BAHAN,ALAT'!$C$6:F4105,4,FALSE)</f>
        <v>10000</v>
      </c>
      <c r="G4505" s="87">
        <f t="shared" ref="G4505:G4507" si="564">E4505*F4505</f>
        <v>200</v>
      </c>
    </row>
    <row r="4506" spans="1:7">
      <c r="A4506" s="8" t="s">
        <v>30</v>
      </c>
      <c r="B4506" s="1" t="s">
        <v>31</v>
      </c>
      <c r="C4506" s="8"/>
      <c r="D4506" s="9" t="s">
        <v>28</v>
      </c>
      <c r="E4506" s="10" t="s">
        <v>20</v>
      </c>
      <c r="F4506" s="86">
        <f>VLOOKUP(B4506,'HSD UPAH,BAHAN,ALAT'!$C$6:F4106,4,FALSE)</f>
        <v>10000</v>
      </c>
      <c r="G4506" s="87">
        <f t="shared" si="564"/>
        <v>50</v>
      </c>
    </row>
    <row r="4507" spans="1:7">
      <c r="A4507" s="8" t="s">
        <v>33</v>
      </c>
      <c r="B4507" s="1" t="s">
        <v>34</v>
      </c>
      <c r="C4507" s="8"/>
      <c r="D4507" s="9" t="s">
        <v>28</v>
      </c>
      <c r="E4507" s="10" t="s">
        <v>95</v>
      </c>
      <c r="F4507" s="86">
        <f>VLOOKUP(B4507,'HSD UPAH,BAHAN,ALAT'!$C$6:F4107,4,FALSE)</f>
        <v>10000</v>
      </c>
      <c r="G4507" s="87">
        <f t="shared" si="564"/>
        <v>10</v>
      </c>
    </row>
    <row r="4508" spans="1:7">
      <c r="A4508" s="261" t="s">
        <v>421</v>
      </c>
      <c r="B4508" s="261"/>
      <c r="C4508" s="261"/>
      <c r="D4508" s="261"/>
      <c r="E4508" s="261"/>
      <c r="F4508" s="261"/>
      <c r="G4508" s="85">
        <f>SUM(G4502:G4507)</f>
        <v>120310</v>
      </c>
    </row>
    <row r="4509" spans="1:7">
      <c r="A4509" s="8" t="s">
        <v>36</v>
      </c>
      <c r="B4509" s="1" t="s">
        <v>37</v>
      </c>
      <c r="C4509" s="8"/>
      <c r="D4509" s="9"/>
      <c r="E4509" s="19"/>
      <c r="F4509" s="2"/>
      <c r="G4509" s="2"/>
    </row>
    <row r="4510" spans="1:7">
      <c r="A4510" s="263" t="s">
        <v>419</v>
      </c>
      <c r="B4510" s="263"/>
      <c r="C4510" s="263"/>
      <c r="D4510" s="263"/>
      <c r="E4510" s="263"/>
      <c r="F4510" s="263"/>
      <c r="G4510" s="80">
        <f>SUM(G4509)</f>
        <v>0</v>
      </c>
    </row>
    <row r="4511" spans="1:7">
      <c r="A4511" s="81" t="s">
        <v>38</v>
      </c>
      <c r="B4511" s="262" t="s">
        <v>39</v>
      </c>
      <c r="C4511" s="262"/>
      <c r="D4511" s="262"/>
      <c r="E4511" s="262"/>
      <c r="F4511" s="262"/>
      <c r="G4511" s="80">
        <f>SUM(G4497:G4510)/2</f>
        <v>126840</v>
      </c>
    </row>
    <row r="4512" spans="1:7">
      <c r="A4512" s="81" t="s">
        <v>40</v>
      </c>
      <c r="B4512" s="262" t="s">
        <v>180</v>
      </c>
      <c r="C4512" s="262"/>
      <c r="D4512" s="262"/>
      <c r="E4512" s="262"/>
      <c r="F4512" s="82">
        <v>0.1</v>
      </c>
      <c r="G4512" s="80">
        <f>G4511*F4512</f>
        <v>12684</v>
      </c>
    </row>
    <row r="4513" spans="1:7">
      <c r="A4513" s="81" t="s">
        <v>41</v>
      </c>
      <c r="B4513" s="262" t="s">
        <v>42</v>
      </c>
      <c r="C4513" s="262"/>
      <c r="D4513" s="262"/>
      <c r="E4513" s="262"/>
      <c r="F4513" s="262"/>
      <c r="G4513" s="80">
        <f>G4511+G4512</f>
        <v>139524</v>
      </c>
    </row>
    <row r="4514" spans="1:7">
      <c r="A4514" s="90"/>
      <c r="B4514" s="91"/>
      <c r="C4514" s="91"/>
      <c r="D4514" s="91"/>
      <c r="E4514" s="91"/>
      <c r="F4514" s="91"/>
      <c r="G4514" s="92"/>
    </row>
    <row r="4515" spans="1:7">
      <c r="A4515" s="4" t="s">
        <v>626</v>
      </c>
      <c r="B4515" s="91"/>
      <c r="C4515" s="91"/>
      <c r="D4515" s="91"/>
      <c r="E4515" s="91"/>
      <c r="F4515" s="91"/>
      <c r="G4515" s="92"/>
    </row>
    <row r="4516" spans="1:7" ht="30">
      <c r="A4516" s="79" t="s">
        <v>0</v>
      </c>
      <c r="B4516" s="79" t="s">
        <v>1</v>
      </c>
      <c r="C4516" s="79" t="s">
        <v>207</v>
      </c>
      <c r="D4516" s="79" t="s">
        <v>3</v>
      </c>
      <c r="E4516" s="79" t="s">
        <v>2</v>
      </c>
      <c r="F4516" s="79" t="s">
        <v>417</v>
      </c>
      <c r="G4516" s="79" t="s">
        <v>418</v>
      </c>
    </row>
    <row r="4517" spans="1:7">
      <c r="A4517" s="8" t="s">
        <v>4</v>
      </c>
      <c r="B4517" s="1" t="s">
        <v>5</v>
      </c>
      <c r="C4517" s="8"/>
      <c r="D4517" s="9"/>
      <c r="E4517" s="19"/>
      <c r="F4517" s="2"/>
      <c r="G4517" s="2"/>
    </row>
    <row r="4518" spans="1:7">
      <c r="A4518" s="8">
        <v>1</v>
      </c>
      <c r="B4518" s="1" t="s">
        <v>6</v>
      </c>
      <c r="C4518" s="8" t="s">
        <v>7</v>
      </c>
      <c r="D4518" s="9" t="s">
        <v>8</v>
      </c>
      <c r="E4518" s="10" t="s">
        <v>92</v>
      </c>
      <c r="F4518" s="86">
        <f>VLOOKUP(B4518,'HSD UPAH,BAHAN,ALAT'!$C$6:F4116,4,FALSE)</f>
        <v>100000</v>
      </c>
      <c r="G4518" s="87">
        <f t="shared" ref="G4518:G4520" si="565">E4518*F4518</f>
        <v>5000</v>
      </c>
    </row>
    <row r="4519" spans="1:7">
      <c r="A4519" s="8">
        <v>2</v>
      </c>
      <c r="B4519" s="1" t="s">
        <v>10</v>
      </c>
      <c r="C4519" s="8" t="s">
        <v>11</v>
      </c>
      <c r="D4519" s="9" t="s">
        <v>8</v>
      </c>
      <c r="E4519" s="10" t="s">
        <v>93</v>
      </c>
      <c r="F4519" s="86">
        <f>VLOOKUP(B4519,'HSD UPAH,BAHAN,ALAT'!$C$6:F4117,4,FALSE)</f>
        <v>120000</v>
      </c>
      <c r="G4519" s="87">
        <f t="shared" si="565"/>
        <v>1200</v>
      </c>
    </row>
    <row r="4520" spans="1:7">
      <c r="A4520" s="8">
        <v>3</v>
      </c>
      <c r="B4520" s="1" t="s">
        <v>13</v>
      </c>
      <c r="C4520" s="8" t="s">
        <v>14</v>
      </c>
      <c r="D4520" s="9" t="s">
        <v>8</v>
      </c>
      <c r="E4520" s="10" t="s">
        <v>94</v>
      </c>
      <c r="F4520" s="86">
        <f>VLOOKUP(B4520,'HSD UPAH,BAHAN,ALAT'!$C$6:F4118,4,FALSE)</f>
        <v>100000</v>
      </c>
      <c r="G4520" s="87">
        <f t="shared" si="565"/>
        <v>330</v>
      </c>
    </row>
    <row r="4521" spans="1:7">
      <c r="A4521" s="261" t="s">
        <v>420</v>
      </c>
      <c r="B4521" s="261"/>
      <c r="C4521" s="261"/>
      <c r="D4521" s="261"/>
      <c r="E4521" s="261"/>
      <c r="F4521" s="261"/>
      <c r="G4521" s="85">
        <f>SUM(G4517:G4520)</f>
        <v>6530</v>
      </c>
    </row>
    <row r="4522" spans="1:7">
      <c r="A4522" s="8" t="s">
        <v>16</v>
      </c>
      <c r="B4522" s="1" t="s">
        <v>17</v>
      </c>
      <c r="C4522" s="8"/>
      <c r="D4522" s="9"/>
      <c r="E4522" s="19"/>
      <c r="F4522" s="2"/>
      <c r="G4522" s="2"/>
    </row>
    <row r="4523" spans="1:7" ht="45">
      <c r="A4523" s="17" t="s">
        <v>208</v>
      </c>
      <c r="B4523" s="5" t="s">
        <v>365</v>
      </c>
      <c r="C4523" s="17"/>
      <c r="D4523" s="12" t="s">
        <v>86</v>
      </c>
      <c r="E4523" s="7">
        <v>12</v>
      </c>
      <c r="F4523" s="86">
        <f>VLOOKUP(B4523,'HSD UPAH,BAHAN,ALAT'!$C$6:F4121,4,FALSE)</f>
        <v>10000</v>
      </c>
      <c r="G4523" s="87">
        <f t="shared" ref="G4523:G4524" si="566">E4523*F4523</f>
        <v>120000</v>
      </c>
    </row>
    <row r="4524" spans="1:7">
      <c r="A4524" s="8">
        <v>2</v>
      </c>
      <c r="B4524" s="1" t="s">
        <v>18</v>
      </c>
      <c r="C4524" s="8"/>
      <c r="D4524" s="9" t="s">
        <v>19</v>
      </c>
      <c r="E4524" s="10">
        <v>5.0000000000000001E-3</v>
      </c>
      <c r="F4524" s="86">
        <f>VLOOKUP(B4524,'HSD UPAH,BAHAN,ALAT'!$C$6:F4122,4,FALSE)</f>
        <v>10000</v>
      </c>
      <c r="G4524" s="87">
        <f t="shared" si="566"/>
        <v>50</v>
      </c>
    </row>
    <row r="4525" spans="1:7">
      <c r="A4525" s="8">
        <v>3</v>
      </c>
      <c r="B4525" s="1" t="s">
        <v>26</v>
      </c>
      <c r="C4525" s="8"/>
      <c r="D4525" s="9"/>
      <c r="E4525" s="19"/>
      <c r="F4525" s="2"/>
      <c r="G4525" s="2"/>
    </row>
    <row r="4526" spans="1:7">
      <c r="A4526" s="8" t="s">
        <v>22</v>
      </c>
      <c r="B4526" s="1" t="s">
        <v>27</v>
      </c>
      <c r="C4526" s="8"/>
      <c r="D4526" s="9" t="s">
        <v>28</v>
      </c>
      <c r="E4526" s="10" t="s">
        <v>64</v>
      </c>
      <c r="F4526" s="86">
        <f>VLOOKUP(B4526,'HSD UPAH,BAHAN,ALAT'!$C$6:F4124,4,FALSE)</f>
        <v>10000</v>
      </c>
      <c r="G4526" s="87">
        <f t="shared" ref="G4526:G4528" si="567">E4526*F4526</f>
        <v>200</v>
      </c>
    </row>
    <row r="4527" spans="1:7">
      <c r="A4527" s="8" t="s">
        <v>30</v>
      </c>
      <c r="B4527" s="1" t="s">
        <v>31</v>
      </c>
      <c r="C4527" s="8"/>
      <c r="D4527" s="9" t="s">
        <v>28</v>
      </c>
      <c r="E4527" s="10" t="s">
        <v>20</v>
      </c>
      <c r="F4527" s="86">
        <f>VLOOKUP(B4527,'HSD UPAH,BAHAN,ALAT'!$C$6:F4125,4,FALSE)</f>
        <v>10000</v>
      </c>
      <c r="G4527" s="87">
        <f t="shared" si="567"/>
        <v>50</v>
      </c>
    </row>
    <row r="4528" spans="1:7">
      <c r="A4528" s="8" t="s">
        <v>33</v>
      </c>
      <c r="B4528" s="1" t="s">
        <v>34</v>
      </c>
      <c r="C4528" s="8"/>
      <c r="D4528" s="9" t="s">
        <v>28</v>
      </c>
      <c r="E4528" s="10" t="s">
        <v>95</v>
      </c>
      <c r="F4528" s="86">
        <f>VLOOKUP(B4528,'HSD UPAH,BAHAN,ALAT'!$C$6:F4126,4,FALSE)</f>
        <v>10000</v>
      </c>
      <c r="G4528" s="87">
        <f t="shared" si="567"/>
        <v>10</v>
      </c>
    </row>
    <row r="4529" spans="1:7">
      <c r="A4529" s="261" t="s">
        <v>421</v>
      </c>
      <c r="B4529" s="261"/>
      <c r="C4529" s="261"/>
      <c r="D4529" s="261"/>
      <c r="E4529" s="261"/>
      <c r="F4529" s="261"/>
      <c r="G4529" s="85">
        <f>SUM(G4523:G4528)</f>
        <v>120310</v>
      </c>
    </row>
    <row r="4530" spans="1:7">
      <c r="A4530" s="8" t="s">
        <v>36</v>
      </c>
      <c r="B4530" s="1" t="s">
        <v>37</v>
      </c>
      <c r="C4530" s="8"/>
      <c r="D4530" s="9"/>
      <c r="E4530" s="19"/>
      <c r="F4530" s="2"/>
      <c r="G4530" s="2"/>
    </row>
    <row r="4531" spans="1:7">
      <c r="A4531" s="263" t="s">
        <v>419</v>
      </c>
      <c r="B4531" s="263"/>
      <c r="C4531" s="263"/>
      <c r="D4531" s="263"/>
      <c r="E4531" s="263"/>
      <c r="F4531" s="263"/>
      <c r="G4531" s="80">
        <f>SUM(G4530)</f>
        <v>0</v>
      </c>
    </row>
    <row r="4532" spans="1:7">
      <c r="A4532" s="81" t="s">
        <v>38</v>
      </c>
      <c r="B4532" s="262" t="s">
        <v>39</v>
      </c>
      <c r="C4532" s="262"/>
      <c r="D4532" s="262"/>
      <c r="E4532" s="262"/>
      <c r="F4532" s="262"/>
      <c r="G4532" s="80">
        <f>SUM(G4518:G4531)/2</f>
        <v>126840</v>
      </c>
    </row>
    <row r="4533" spans="1:7">
      <c r="A4533" s="81" t="s">
        <v>40</v>
      </c>
      <c r="B4533" s="262" t="s">
        <v>180</v>
      </c>
      <c r="C4533" s="262"/>
      <c r="D4533" s="262"/>
      <c r="E4533" s="262"/>
      <c r="F4533" s="82">
        <v>0.1</v>
      </c>
      <c r="G4533" s="80">
        <f>G4532*F4533</f>
        <v>12684</v>
      </c>
    </row>
    <row r="4534" spans="1:7">
      <c r="A4534" s="81" t="s">
        <v>41</v>
      </c>
      <c r="B4534" s="262" t="s">
        <v>42</v>
      </c>
      <c r="C4534" s="262"/>
      <c r="D4534" s="262"/>
      <c r="E4534" s="262"/>
      <c r="F4534" s="262"/>
      <c r="G4534" s="80">
        <f>G4532+G4533</f>
        <v>139524</v>
      </c>
    </row>
    <row r="4535" spans="1:7">
      <c r="A4535" s="90"/>
      <c r="B4535" s="91"/>
      <c r="C4535" s="91"/>
      <c r="D4535" s="91"/>
      <c r="E4535" s="91"/>
      <c r="F4535" s="91"/>
      <c r="G4535" s="92"/>
    </row>
    <row r="4536" spans="1:7">
      <c r="A4536" s="4" t="s">
        <v>627</v>
      </c>
      <c r="B4536" s="91"/>
      <c r="C4536" s="91"/>
      <c r="D4536" s="91"/>
      <c r="E4536" s="91"/>
      <c r="F4536" s="91"/>
      <c r="G4536" s="92"/>
    </row>
    <row r="4537" spans="1:7" ht="30">
      <c r="A4537" s="79" t="s">
        <v>0</v>
      </c>
      <c r="B4537" s="79" t="s">
        <v>1</v>
      </c>
      <c r="C4537" s="79" t="s">
        <v>207</v>
      </c>
      <c r="D4537" s="79" t="s">
        <v>3</v>
      </c>
      <c r="E4537" s="79" t="s">
        <v>2</v>
      </c>
      <c r="F4537" s="79" t="s">
        <v>417</v>
      </c>
      <c r="G4537" s="79" t="s">
        <v>418</v>
      </c>
    </row>
    <row r="4538" spans="1:7">
      <c r="A4538" s="8" t="s">
        <v>4</v>
      </c>
      <c r="B4538" s="1" t="s">
        <v>5</v>
      </c>
      <c r="C4538" s="8"/>
      <c r="D4538" s="9"/>
      <c r="E4538" s="19"/>
      <c r="F4538" s="2"/>
      <c r="G4538" s="2"/>
    </row>
    <row r="4539" spans="1:7">
      <c r="A4539" s="8">
        <v>1</v>
      </c>
      <c r="B4539" s="1" t="s">
        <v>6</v>
      </c>
      <c r="C4539" s="8" t="s">
        <v>7</v>
      </c>
      <c r="D4539" s="9" t="s">
        <v>8</v>
      </c>
      <c r="E4539" s="10" t="s">
        <v>92</v>
      </c>
      <c r="F4539" s="86">
        <f>VLOOKUP(B4539,'HSD UPAH,BAHAN,ALAT'!$C$6:F4135,4,FALSE)</f>
        <v>100000</v>
      </c>
      <c r="G4539" s="87">
        <f t="shared" ref="G4539:G4541" si="568">E4539*F4539</f>
        <v>5000</v>
      </c>
    </row>
    <row r="4540" spans="1:7">
      <c r="A4540" s="8">
        <v>2</v>
      </c>
      <c r="B4540" s="1" t="s">
        <v>10</v>
      </c>
      <c r="C4540" s="8" t="s">
        <v>11</v>
      </c>
      <c r="D4540" s="9" t="s">
        <v>8</v>
      </c>
      <c r="E4540" s="10" t="s">
        <v>93</v>
      </c>
      <c r="F4540" s="86">
        <f>VLOOKUP(B4540,'HSD UPAH,BAHAN,ALAT'!$C$6:F4136,4,FALSE)</f>
        <v>120000</v>
      </c>
      <c r="G4540" s="87">
        <f t="shared" si="568"/>
        <v>1200</v>
      </c>
    </row>
    <row r="4541" spans="1:7">
      <c r="A4541" s="8">
        <v>3</v>
      </c>
      <c r="B4541" s="1" t="s">
        <v>13</v>
      </c>
      <c r="C4541" s="8" t="s">
        <v>14</v>
      </c>
      <c r="D4541" s="9" t="s">
        <v>8</v>
      </c>
      <c r="E4541" s="10" t="s">
        <v>94</v>
      </c>
      <c r="F4541" s="86">
        <f>VLOOKUP(B4541,'HSD UPAH,BAHAN,ALAT'!$C$6:F4137,4,FALSE)</f>
        <v>100000</v>
      </c>
      <c r="G4541" s="87">
        <f t="shared" si="568"/>
        <v>330</v>
      </c>
    </row>
    <row r="4542" spans="1:7">
      <c r="A4542" s="261" t="s">
        <v>420</v>
      </c>
      <c r="B4542" s="261"/>
      <c r="C4542" s="261"/>
      <c r="D4542" s="261"/>
      <c r="E4542" s="261"/>
      <c r="F4542" s="261"/>
      <c r="G4542" s="85">
        <f>SUM(G4538:G4541)</f>
        <v>6530</v>
      </c>
    </row>
    <row r="4543" spans="1:7">
      <c r="A4543" s="8" t="s">
        <v>16</v>
      </c>
      <c r="B4543" s="1" t="s">
        <v>17</v>
      </c>
      <c r="C4543" s="8"/>
      <c r="D4543" s="9"/>
      <c r="E4543" s="19"/>
      <c r="F4543" s="2"/>
      <c r="G4543" s="2"/>
    </row>
    <row r="4544" spans="1:7">
      <c r="A4544" s="8">
        <v>1</v>
      </c>
      <c r="B4544" s="1" t="s">
        <v>366</v>
      </c>
      <c r="C4544" s="8"/>
      <c r="D4544" s="9" t="s">
        <v>86</v>
      </c>
      <c r="E4544" s="10">
        <v>12</v>
      </c>
      <c r="F4544" s="86">
        <f>VLOOKUP(B4544,'HSD UPAH,BAHAN,ALAT'!$C$6:F4140,4,FALSE)</f>
        <v>10000</v>
      </c>
      <c r="G4544" s="87">
        <f t="shared" ref="G4544:G4545" si="569">E4544*F4544</f>
        <v>120000</v>
      </c>
    </row>
    <row r="4545" spans="1:7">
      <c r="A4545" s="8">
        <v>2</v>
      </c>
      <c r="B4545" s="1" t="s">
        <v>18</v>
      </c>
      <c r="C4545" s="8"/>
      <c r="D4545" s="9" t="s">
        <v>19</v>
      </c>
      <c r="E4545" s="10">
        <v>5.0000000000000001E-3</v>
      </c>
      <c r="F4545" s="86">
        <f>VLOOKUP(B4545,'HSD UPAH,BAHAN,ALAT'!$C$6:F4141,4,FALSE)</f>
        <v>10000</v>
      </c>
      <c r="G4545" s="87">
        <f t="shared" si="569"/>
        <v>50</v>
      </c>
    </row>
    <row r="4546" spans="1:7">
      <c r="A4546" s="8">
        <v>3</v>
      </c>
      <c r="B4546" s="1" t="s">
        <v>26</v>
      </c>
      <c r="C4546" s="8"/>
      <c r="D4546" s="9"/>
      <c r="E4546" s="19"/>
      <c r="F4546" s="2"/>
      <c r="G4546" s="2"/>
    </row>
    <row r="4547" spans="1:7">
      <c r="A4547" s="8" t="s">
        <v>22</v>
      </c>
      <c r="B4547" s="1" t="s">
        <v>27</v>
      </c>
      <c r="C4547" s="8"/>
      <c r="D4547" s="9" t="s">
        <v>28</v>
      </c>
      <c r="E4547" s="10" t="s">
        <v>64</v>
      </c>
      <c r="F4547" s="86">
        <f>VLOOKUP(B4547,'HSD UPAH,BAHAN,ALAT'!$C$6:F4143,4,FALSE)</f>
        <v>10000</v>
      </c>
      <c r="G4547" s="87">
        <f t="shared" ref="G4547:G4549" si="570">E4547*F4547</f>
        <v>200</v>
      </c>
    </row>
    <row r="4548" spans="1:7">
      <c r="A4548" s="8" t="s">
        <v>30</v>
      </c>
      <c r="B4548" s="1" t="s">
        <v>31</v>
      </c>
      <c r="C4548" s="8"/>
      <c r="D4548" s="9" t="s">
        <v>28</v>
      </c>
      <c r="E4548" s="10" t="s">
        <v>20</v>
      </c>
      <c r="F4548" s="86">
        <f>VLOOKUP(B4548,'HSD UPAH,BAHAN,ALAT'!$C$6:F4144,4,FALSE)</f>
        <v>10000</v>
      </c>
      <c r="G4548" s="87">
        <f t="shared" si="570"/>
        <v>50</v>
      </c>
    </row>
    <row r="4549" spans="1:7">
      <c r="A4549" s="8" t="s">
        <v>33</v>
      </c>
      <c r="B4549" s="1" t="s">
        <v>34</v>
      </c>
      <c r="C4549" s="8"/>
      <c r="D4549" s="9" t="s">
        <v>28</v>
      </c>
      <c r="E4549" s="10" t="s">
        <v>95</v>
      </c>
      <c r="F4549" s="86">
        <f>VLOOKUP(B4549,'HSD UPAH,BAHAN,ALAT'!$C$6:F4145,4,FALSE)</f>
        <v>10000</v>
      </c>
      <c r="G4549" s="87">
        <f t="shared" si="570"/>
        <v>10</v>
      </c>
    </row>
    <row r="4550" spans="1:7">
      <c r="A4550" s="261" t="s">
        <v>421</v>
      </c>
      <c r="B4550" s="261"/>
      <c r="C4550" s="261"/>
      <c r="D4550" s="261"/>
      <c r="E4550" s="261"/>
      <c r="F4550" s="261"/>
      <c r="G4550" s="85">
        <f>SUM(G4544:G4549)</f>
        <v>120310</v>
      </c>
    </row>
    <row r="4551" spans="1:7">
      <c r="A4551" s="8" t="s">
        <v>36</v>
      </c>
      <c r="B4551" s="1" t="s">
        <v>37</v>
      </c>
      <c r="C4551" s="8"/>
      <c r="D4551" s="9"/>
      <c r="E4551" s="19"/>
      <c r="F4551" s="2"/>
      <c r="G4551" s="2"/>
    </row>
    <row r="4552" spans="1:7">
      <c r="A4552" s="263" t="s">
        <v>419</v>
      </c>
      <c r="B4552" s="263"/>
      <c r="C4552" s="263"/>
      <c r="D4552" s="263"/>
      <c r="E4552" s="263"/>
      <c r="F4552" s="263"/>
      <c r="G4552" s="80">
        <f>SUM(G4551)</f>
        <v>0</v>
      </c>
    </row>
    <row r="4553" spans="1:7">
      <c r="A4553" s="81" t="s">
        <v>38</v>
      </c>
      <c r="B4553" s="262" t="s">
        <v>39</v>
      </c>
      <c r="C4553" s="262"/>
      <c r="D4553" s="262"/>
      <c r="E4553" s="262"/>
      <c r="F4553" s="262"/>
      <c r="G4553" s="80">
        <f>SUM(G4539:G4552)/2</f>
        <v>126840</v>
      </c>
    </row>
    <row r="4554" spans="1:7">
      <c r="A4554" s="81" t="s">
        <v>40</v>
      </c>
      <c r="B4554" s="262" t="s">
        <v>180</v>
      </c>
      <c r="C4554" s="262"/>
      <c r="D4554" s="262"/>
      <c r="E4554" s="262"/>
      <c r="F4554" s="82">
        <v>0.1</v>
      </c>
      <c r="G4554" s="80">
        <f>G4553*F4554</f>
        <v>12684</v>
      </c>
    </row>
    <row r="4555" spans="1:7">
      <c r="A4555" s="81" t="s">
        <v>41</v>
      </c>
      <c r="B4555" s="262" t="s">
        <v>42</v>
      </c>
      <c r="C4555" s="262"/>
      <c r="D4555" s="262"/>
      <c r="E4555" s="262"/>
      <c r="F4555" s="262"/>
      <c r="G4555" s="80">
        <f>G4553+G4554</f>
        <v>139524</v>
      </c>
    </row>
    <row r="4556" spans="1:7">
      <c r="A4556" s="90"/>
      <c r="B4556" s="91"/>
      <c r="C4556" s="91"/>
      <c r="D4556" s="91"/>
      <c r="E4556" s="91"/>
      <c r="F4556" s="91"/>
      <c r="G4556" s="92"/>
    </row>
    <row r="4557" spans="1:7">
      <c r="A4557" s="4" t="s">
        <v>628</v>
      </c>
      <c r="B4557" s="91"/>
      <c r="C4557" s="91"/>
      <c r="D4557" s="91"/>
      <c r="E4557" s="91"/>
      <c r="F4557" s="91"/>
      <c r="G4557" s="92"/>
    </row>
    <row r="4558" spans="1:7" ht="30">
      <c r="A4558" s="79" t="s">
        <v>0</v>
      </c>
      <c r="B4558" s="79" t="s">
        <v>1</v>
      </c>
      <c r="C4558" s="79" t="s">
        <v>207</v>
      </c>
      <c r="D4558" s="79" t="s">
        <v>3</v>
      </c>
      <c r="E4558" s="79" t="s">
        <v>2</v>
      </c>
      <c r="F4558" s="79" t="s">
        <v>417</v>
      </c>
      <c r="G4558" s="79" t="s">
        <v>418</v>
      </c>
    </row>
    <row r="4559" spans="1:7">
      <c r="A4559" s="8" t="s">
        <v>4</v>
      </c>
      <c r="B4559" s="1" t="s">
        <v>5</v>
      </c>
      <c r="C4559" s="8"/>
      <c r="D4559" s="9"/>
      <c r="E4559" s="19"/>
      <c r="F4559" s="2"/>
      <c r="G4559" s="2"/>
    </row>
    <row r="4560" spans="1:7">
      <c r="A4560" s="8">
        <v>1</v>
      </c>
      <c r="B4560" s="1" t="s">
        <v>6</v>
      </c>
      <c r="C4560" s="8" t="s">
        <v>7</v>
      </c>
      <c r="D4560" s="9" t="s">
        <v>8</v>
      </c>
      <c r="E4560" s="10" t="s">
        <v>92</v>
      </c>
      <c r="F4560" s="86">
        <f>VLOOKUP(B4560,'HSD UPAH,BAHAN,ALAT'!$C$6:F4154,4,FALSE)</f>
        <v>100000</v>
      </c>
      <c r="G4560" s="87">
        <f t="shared" ref="G4560:G4562" si="571">E4560*F4560</f>
        <v>5000</v>
      </c>
    </row>
    <row r="4561" spans="1:7">
      <c r="A4561" s="8">
        <v>2</v>
      </c>
      <c r="B4561" s="1" t="s">
        <v>10</v>
      </c>
      <c r="C4561" s="8" t="s">
        <v>11</v>
      </c>
      <c r="D4561" s="9" t="s">
        <v>8</v>
      </c>
      <c r="E4561" s="10" t="s">
        <v>93</v>
      </c>
      <c r="F4561" s="86">
        <f>VLOOKUP(B4561,'HSD UPAH,BAHAN,ALAT'!$C$6:F4155,4,FALSE)</f>
        <v>120000</v>
      </c>
      <c r="G4561" s="87">
        <f t="shared" si="571"/>
        <v>1200</v>
      </c>
    </row>
    <row r="4562" spans="1:7">
      <c r="A4562" s="8">
        <v>3</v>
      </c>
      <c r="B4562" s="1" t="s">
        <v>13</v>
      </c>
      <c r="C4562" s="8" t="s">
        <v>14</v>
      </c>
      <c r="D4562" s="9" t="s">
        <v>8</v>
      </c>
      <c r="E4562" s="10" t="s">
        <v>94</v>
      </c>
      <c r="F4562" s="86">
        <f>VLOOKUP(B4562,'HSD UPAH,BAHAN,ALAT'!$C$6:F4156,4,FALSE)</f>
        <v>100000</v>
      </c>
      <c r="G4562" s="87">
        <f t="shared" si="571"/>
        <v>330</v>
      </c>
    </row>
    <row r="4563" spans="1:7">
      <c r="A4563" s="261" t="s">
        <v>420</v>
      </c>
      <c r="B4563" s="261"/>
      <c r="C4563" s="261"/>
      <c r="D4563" s="261"/>
      <c r="E4563" s="261"/>
      <c r="F4563" s="261"/>
      <c r="G4563" s="85">
        <f>SUM(G4559:G4562)</f>
        <v>6530</v>
      </c>
    </row>
    <row r="4564" spans="1:7">
      <c r="A4564" s="8" t="s">
        <v>16</v>
      </c>
      <c r="B4564" s="1" t="s">
        <v>17</v>
      </c>
      <c r="C4564" s="8"/>
      <c r="D4564" s="9"/>
      <c r="E4564" s="19"/>
      <c r="F4564" s="2"/>
      <c r="G4564" s="2"/>
    </row>
    <row r="4565" spans="1:7" ht="45">
      <c r="A4565" s="17" t="s">
        <v>208</v>
      </c>
      <c r="B4565" s="5" t="s">
        <v>367</v>
      </c>
      <c r="C4565" s="17"/>
      <c r="D4565" s="12" t="s">
        <v>86</v>
      </c>
      <c r="E4565" s="7">
        <v>12</v>
      </c>
      <c r="F4565" s="86">
        <f>VLOOKUP(B4565,'HSD UPAH,BAHAN,ALAT'!$C$6:F4159,4,FALSE)</f>
        <v>10000</v>
      </c>
      <c r="G4565" s="87">
        <f t="shared" ref="G4565:G4566" si="572">E4565*F4565</f>
        <v>120000</v>
      </c>
    </row>
    <row r="4566" spans="1:7">
      <c r="A4566" s="8">
        <v>2</v>
      </c>
      <c r="B4566" s="1" t="s">
        <v>18</v>
      </c>
      <c r="C4566" s="8"/>
      <c r="D4566" s="9" t="s">
        <v>19</v>
      </c>
      <c r="E4566" s="10">
        <v>5.0000000000000001E-3</v>
      </c>
      <c r="F4566" s="86">
        <f>VLOOKUP(B4566,'HSD UPAH,BAHAN,ALAT'!$C$6:F4160,4,FALSE)</f>
        <v>10000</v>
      </c>
      <c r="G4566" s="87">
        <f t="shared" si="572"/>
        <v>50</v>
      </c>
    </row>
    <row r="4567" spans="1:7">
      <c r="A4567" s="8">
        <v>3</v>
      </c>
      <c r="B4567" s="1" t="s">
        <v>26</v>
      </c>
      <c r="C4567" s="8"/>
      <c r="D4567" s="9"/>
      <c r="E4567" s="19"/>
      <c r="F4567" s="2"/>
      <c r="G4567" s="2"/>
    </row>
    <row r="4568" spans="1:7">
      <c r="A4568" s="8" t="s">
        <v>22</v>
      </c>
      <c r="B4568" s="1" t="s">
        <v>27</v>
      </c>
      <c r="C4568" s="8"/>
      <c r="D4568" s="9" t="s">
        <v>28</v>
      </c>
      <c r="E4568" s="10" t="s">
        <v>64</v>
      </c>
      <c r="F4568" s="86">
        <f>VLOOKUP(B4568,'HSD UPAH,BAHAN,ALAT'!$C$6:F4162,4,FALSE)</f>
        <v>10000</v>
      </c>
      <c r="G4568" s="87">
        <f t="shared" ref="G4568:G4570" si="573">E4568*F4568</f>
        <v>200</v>
      </c>
    </row>
    <row r="4569" spans="1:7">
      <c r="A4569" s="8" t="s">
        <v>30</v>
      </c>
      <c r="B4569" s="1" t="s">
        <v>31</v>
      </c>
      <c r="C4569" s="8"/>
      <c r="D4569" s="9" t="s">
        <v>28</v>
      </c>
      <c r="E4569" s="10" t="s">
        <v>20</v>
      </c>
      <c r="F4569" s="86">
        <f>VLOOKUP(B4569,'HSD UPAH,BAHAN,ALAT'!$C$6:F4163,4,FALSE)</f>
        <v>10000</v>
      </c>
      <c r="G4569" s="87">
        <f t="shared" si="573"/>
        <v>50</v>
      </c>
    </row>
    <row r="4570" spans="1:7">
      <c r="A4570" s="8" t="s">
        <v>33</v>
      </c>
      <c r="B4570" s="1" t="s">
        <v>34</v>
      </c>
      <c r="C4570" s="8"/>
      <c r="D4570" s="9" t="s">
        <v>28</v>
      </c>
      <c r="E4570" s="10" t="s">
        <v>95</v>
      </c>
      <c r="F4570" s="86">
        <f>VLOOKUP(B4570,'HSD UPAH,BAHAN,ALAT'!$C$6:F4164,4,FALSE)</f>
        <v>10000</v>
      </c>
      <c r="G4570" s="87">
        <f t="shared" si="573"/>
        <v>10</v>
      </c>
    </row>
    <row r="4571" spans="1:7">
      <c r="A4571" s="261" t="s">
        <v>421</v>
      </c>
      <c r="B4571" s="261"/>
      <c r="C4571" s="261"/>
      <c r="D4571" s="261"/>
      <c r="E4571" s="261"/>
      <c r="F4571" s="261"/>
      <c r="G4571" s="85">
        <f>SUM(G4565:G4570)</f>
        <v>120310</v>
      </c>
    </row>
    <row r="4572" spans="1:7">
      <c r="A4572" s="8" t="s">
        <v>36</v>
      </c>
      <c r="B4572" s="1" t="s">
        <v>37</v>
      </c>
      <c r="C4572" s="8"/>
      <c r="D4572" s="9"/>
      <c r="E4572" s="19"/>
      <c r="F4572" s="2"/>
      <c r="G4572" s="2"/>
    </row>
    <row r="4573" spans="1:7">
      <c r="A4573" s="263" t="s">
        <v>419</v>
      </c>
      <c r="B4573" s="263"/>
      <c r="C4573" s="263"/>
      <c r="D4573" s="263"/>
      <c r="E4573" s="263"/>
      <c r="F4573" s="263"/>
      <c r="G4573" s="80">
        <f>SUM(G4572)</f>
        <v>0</v>
      </c>
    </row>
    <row r="4574" spans="1:7">
      <c r="A4574" s="81" t="s">
        <v>38</v>
      </c>
      <c r="B4574" s="262" t="s">
        <v>39</v>
      </c>
      <c r="C4574" s="262"/>
      <c r="D4574" s="262"/>
      <c r="E4574" s="262"/>
      <c r="F4574" s="262"/>
      <c r="G4574" s="80">
        <f>SUM(G4560:G4573)/2</f>
        <v>126840</v>
      </c>
    </row>
    <row r="4575" spans="1:7">
      <c r="A4575" s="81" t="s">
        <v>40</v>
      </c>
      <c r="B4575" s="262" t="s">
        <v>180</v>
      </c>
      <c r="C4575" s="262"/>
      <c r="D4575" s="262"/>
      <c r="E4575" s="262"/>
      <c r="F4575" s="82">
        <v>0.1</v>
      </c>
      <c r="G4575" s="80">
        <f>G4574*F4575</f>
        <v>12684</v>
      </c>
    </row>
    <row r="4576" spans="1:7">
      <c r="A4576" s="81" t="s">
        <v>41</v>
      </c>
      <c r="B4576" s="262" t="s">
        <v>42</v>
      </c>
      <c r="C4576" s="262"/>
      <c r="D4576" s="262"/>
      <c r="E4576" s="262"/>
      <c r="F4576" s="262"/>
      <c r="G4576" s="80">
        <f>G4574+G4575</f>
        <v>139524</v>
      </c>
    </row>
    <row r="4577" spans="1:7">
      <c r="A4577" s="90"/>
      <c r="B4577" s="91"/>
      <c r="C4577" s="91"/>
      <c r="D4577" s="91"/>
      <c r="E4577" s="91"/>
      <c r="F4577" s="91"/>
      <c r="G4577" s="92"/>
    </row>
    <row r="4578" spans="1:7">
      <c r="A4578" s="4" t="s">
        <v>629</v>
      </c>
      <c r="B4578" s="91"/>
      <c r="C4578" s="91"/>
      <c r="D4578" s="91"/>
      <c r="E4578" s="91"/>
      <c r="F4578" s="91"/>
      <c r="G4578" s="92"/>
    </row>
    <row r="4579" spans="1:7" ht="30">
      <c r="A4579" s="79" t="s">
        <v>0</v>
      </c>
      <c r="B4579" s="79" t="s">
        <v>1</v>
      </c>
      <c r="C4579" s="79" t="s">
        <v>207</v>
      </c>
      <c r="D4579" s="79" t="s">
        <v>3</v>
      </c>
      <c r="E4579" s="79" t="s">
        <v>2</v>
      </c>
      <c r="F4579" s="79" t="s">
        <v>417</v>
      </c>
      <c r="G4579" s="79" t="s">
        <v>418</v>
      </c>
    </row>
    <row r="4580" spans="1:7">
      <c r="A4580" s="8" t="s">
        <v>4</v>
      </c>
      <c r="B4580" s="1" t="s">
        <v>5</v>
      </c>
      <c r="C4580" s="8"/>
      <c r="D4580" s="9"/>
      <c r="E4580" s="19"/>
      <c r="F4580" s="2"/>
      <c r="G4580" s="2"/>
    </row>
    <row r="4581" spans="1:7">
      <c r="A4581" s="8">
        <v>1</v>
      </c>
      <c r="B4581" s="1" t="s">
        <v>6</v>
      </c>
      <c r="C4581" s="8" t="s">
        <v>7</v>
      </c>
      <c r="D4581" s="9" t="s">
        <v>8</v>
      </c>
      <c r="E4581" s="10" t="s">
        <v>92</v>
      </c>
      <c r="F4581" s="86">
        <f>VLOOKUP(B4581,'HSD UPAH,BAHAN,ALAT'!$C$6:F4173,4,FALSE)</f>
        <v>100000</v>
      </c>
      <c r="G4581" s="87">
        <f t="shared" ref="G4581:G4583" si="574">E4581*F4581</f>
        <v>5000</v>
      </c>
    </row>
    <row r="4582" spans="1:7">
      <c r="A4582" s="8">
        <v>2</v>
      </c>
      <c r="B4582" s="1" t="s">
        <v>10</v>
      </c>
      <c r="C4582" s="8" t="s">
        <v>11</v>
      </c>
      <c r="D4582" s="9" t="s">
        <v>8</v>
      </c>
      <c r="E4582" s="10" t="s">
        <v>93</v>
      </c>
      <c r="F4582" s="86">
        <f>VLOOKUP(B4582,'HSD UPAH,BAHAN,ALAT'!$C$6:F4174,4,FALSE)</f>
        <v>120000</v>
      </c>
      <c r="G4582" s="87">
        <f t="shared" si="574"/>
        <v>1200</v>
      </c>
    </row>
    <row r="4583" spans="1:7">
      <c r="A4583" s="8">
        <v>3</v>
      </c>
      <c r="B4583" s="1" t="s">
        <v>13</v>
      </c>
      <c r="C4583" s="8" t="s">
        <v>14</v>
      </c>
      <c r="D4583" s="9" t="s">
        <v>8</v>
      </c>
      <c r="E4583" s="10" t="s">
        <v>94</v>
      </c>
      <c r="F4583" s="86">
        <f>VLOOKUP(B4583,'HSD UPAH,BAHAN,ALAT'!$C$6:F4175,4,FALSE)</f>
        <v>100000</v>
      </c>
      <c r="G4583" s="87">
        <f t="shared" si="574"/>
        <v>330</v>
      </c>
    </row>
    <row r="4584" spans="1:7">
      <c r="A4584" s="261" t="s">
        <v>420</v>
      </c>
      <c r="B4584" s="261"/>
      <c r="C4584" s="261"/>
      <c r="D4584" s="261"/>
      <c r="E4584" s="261"/>
      <c r="F4584" s="261"/>
      <c r="G4584" s="85">
        <f>SUM(G4580:G4583)</f>
        <v>6530</v>
      </c>
    </row>
    <row r="4585" spans="1:7">
      <c r="A4585" s="8" t="s">
        <v>16</v>
      </c>
      <c r="B4585" s="1" t="s">
        <v>17</v>
      </c>
      <c r="C4585" s="8"/>
      <c r="D4585" s="9"/>
      <c r="E4585" s="19"/>
      <c r="F4585" s="2"/>
      <c r="G4585" s="2"/>
    </row>
    <row r="4586" spans="1:7" ht="30">
      <c r="A4586" s="17" t="s">
        <v>208</v>
      </c>
      <c r="B4586" s="5" t="s">
        <v>368</v>
      </c>
      <c r="C4586" s="17"/>
      <c r="D4586" s="12" t="s">
        <v>86</v>
      </c>
      <c r="E4586" s="7">
        <v>12</v>
      </c>
      <c r="F4586" s="86">
        <f>VLOOKUP(B4586,'HSD UPAH,BAHAN,ALAT'!$C$6:F4178,4,FALSE)</f>
        <v>10000</v>
      </c>
      <c r="G4586" s="87">
        <f t="shared" ref="G4586:G4587" si="575">E4586*F4586</f>
        <v>120000</v>
      </c>
    </row>
    <row r="4587" spans="1:7">
      <c r="A4587" s="8">
        <v>2</v>
      </c>
      <c r="B4587" s="1" t="s">
        <v>18</v>
      </c>
      <c r="C4587" s="8"/>
      <c r="D4587" s="9" t="s">
        <v>19</v>
      </c>
      <c r="E4587" s="10">
        <v>5.0000000000000001E-3</v>
      </c>
      <c r="F4587" s="86">
        <f>VLOOKUP(B4587,'HSD UPAH,BAHAN,ALAT'!$C$6:F4179,4,FALSE)</f>
        <v>10000</v>
      </c>
      <c r="G4587" s="87">
        <f t="shared" si="575"/>
        <v>50</v>
      </c>
    </row>
    <row r="4588" spans="1:7">
      <c r="A4588" s="8">
        <v>3</v>
      </c>
      <c r="B4588" s="1" t="s">
        <v>26</v>
      </c>
      <c r="C4588" s="8"/>
      <c r="D4588" s="9"/>
      <c r="E4588" s="19"/>
      <c r="F4588" s="2"/>
      <c r="G4588" s="2"/>
    </row>
    <row r="4589" spans="1:7">
      <c r="A4589" s="8" t="s">
        <v>22</v>
      </c>
      <c r="B4589" s="1" t="s">
        <v>27</v>
      </c>
      <c r="C4589" s="8"/>
      <c r="D4589" s="9" t="s">
        <v>28</v>
      </c>
      <c r="E4589" s="10" t="s">
        <v>64</v>
      </c>
      <c r="F4589" s="86">
        <f>VLOOKUP(B4589,'HSD UPAH,BAHAN,ALAT'!$C$6:F4181,4,FALSE)</f>
        <v>10000</v>
      </c>
      <c r="G4589" s="87">
        <f t="shared" ref="G4589:G4591" si="576">E4589*F4589</f>
        <v>200</v>
      </c>
    </row>
    <row r="4590" spans="1:7">
      <c r="A4590" s="8" t="s">
        <v>30</v>
      </c>
      <c r="B4590" s="1" t="s">
        <v>31</v>
      </c>
      <c r="C4590" s="8"/>
      <c r="D4590" s="9" t="s">
        <v>28</v>
      </c>
      <c r="E4590" s="10" t="s">
        <v>20</v>
      </c>
      <c r="F4590" s="86">
        <f>VLOOKUP(B4590,'HSD UPAH,BAHAN,ALAT'!$C$6:F4182,4,FALSE)</f>
        <v>10000</v>
      </c>
      <c r="G4590" s="87">
        <f t="shared" si="576"/>
        <v>50</v>
      </c>
    </row>
    <row r="4591" spans="1:7">
      <c r="A4591" s="8" t="s">
        <v>33</v>
      </c>
      <c r="B4591" s="1" t="s">
        <v>34</v>
      </c>
      <c r="C4591" s="8"/>
      <c r="D4591" s="9" t="s">
        <v>28</v>
      </c>
      <c r="E4591" s="10" t="s">
        <v>95</v>
      </c>
      <c r="F4591" s="86">
        <f>VLOOKUP(B4591,'HSD UPAH,BAHAN,ALAT'!$C$6:F4183,4,FALSE)</f>
        <v>10000</v>
      </c>
      <c r="G4591" s="87">
        <f t="shared" si="576"/>
        <v>10</v>
      </c>
    </row>
    <row r="4592" spans="1:7">
      <c r="A4592" s="261" t="s">
        <v>421</v>
      </c>
      <c r="B4592" s="261"/>
      <c r="C4592" s="261"/>
      <c r="D4592" s="261"/>
      <c r="E4592" s="261"/>
      <c r="F4592" s="261"/>
      <c r="G4592" s="85">
        <f>SUM(G4586:G4591)</f>
        <v>120310</v>
      </c>
    </row>
    <row r="4593" spans="1:7">
      <c r="A4593" s="8" t="s">
        <v>36</v>
      </c>
      <c r="B4593" s="1" t="s">
        <v>37</v>
      </c>
      <c r="C4593" s="8"/>
      <c r="D4593" s="9"/>
      <c r="E4593" s="19"/>
      <c r="F4593" s="2"/>
      <c r="G4593" s="2"/>
    </row>
    <row r="4594" spans="1:7">
      <c r="A4594" s="263" t="s">
        <v>419</v>
      </c>
      <c r="B4594" s="263"/>
      <c r="C4594" s="263"/>
      <c r="D4594" s="263"/>
      <c r="E4594" s="263"/>
      <c r="F4594" s="263"/>
      <c r="G4594" s="80">
        <f>SUM(G4593)</f>
        <v>0</v>
      </c>
    </row>
    <row r="4595" spans="1:7">
      <c r="A4595" s="81" t="s">
        <v>38</v>
      </c>
      <c r="B4595" s="262" t="s">
        <v>39</v>
      </c>
      <c r="C4595" s="262"/>
      <c r="D4595" s="262"/>
      <c r="E4595" s="262"/>
      <c r="F4595" s="262"/>
      <c r="G4595" s="80">
        <f>SUM(G4581:G4594)/2</f>
        <v>126840</v>
      </c>
    </row>
    <row r="4596" spans="1:7">
      <c r="A4596" s="81" t="s">
        <v>40</v>
      </c>
      <c r="B4596" s="262" t="s">
        <v>180</v>
      </c>
      <c r="C4596" s="262"/>
      <c r="D4596" s="262"/>
      <c r="E4596" s="262"/>
      <c r="F4596" s="82">
        <v>0.1</v>
      </c>
      <c r="G4596" s="80">
        <f>G4595*F4596</f>
        <v>12684</v>
      </c>
    </row>
    <row r="4597" spans="1:7">
      <c r="A4597" s="81" t="s">
        <v>41</v>
      </c>
      <c r="B4597" s="262" t="s">
        <v>42</v>
      </c>
      <c r="C4597" s="262"/>
      <c r="D4597" s="262"/>
      <c r="E4597" s="262"/>
      <c r="F4597" s="262"/>
      <c r="G4597" s="80">
        <f>G4595+G4596</f>
        <v>139524</v>
      </c>
    </row>
    <row r="4598" spans="1:7">
      <c r="A4598" s="90"/>
      <c r="B4598" s="91"/>
      <c r="C4598" s="91"/>
      <c r="D4598" s="91"/>
      <c r="E4598" s="91"/>
      <c r="F4598" s="91"/>
      <c r="G4598" s="92"/>
    </row>
    <row r="4599" spans="1:7">
      <c r="A4599" s="4" t="s">
        <v>630</v>
      </c>
      <c r="B4599" s="91"/>
      <c r="C4599" s="91"/>
      <c r="D4599" s="91"/>
      <c r="E4599" s="91"/>
      <c r="F4599" s="91"/>
      <c r="G4599" s="92"/>
    </row>
    <row r="4600" spans="1:7" ht="30">
      <c r="A4600" s="79" t="s">
        <v>0</v>
      </c>
      <c r="B4600" s="79" t="s">
        <v>1</v>
      </c>
      <c r="C4600" s="79" t="s">
        <v>207</v>
      </c>
      <c r="D4600" s="79" t="s">
        <v>3</v>
      </c>
      <c r="E4600" s="79" t="s">
        <v>2</v>
      </c>
      <c r="F4600" s="79" t="s">
        <v>417</v>
      </c>
      <c r="G4600" s="79" t="s">
        <v>418</v>
      </c>
    </row>
    <row r="4601" spans="1:7">
      <c r="A4601" s="8" t="s">
        <v>4</v>
      </c>
      <c r="B4601" s="1" t="s">
        <v>5</v>
      </c>
      <c r="C4601" s="8"/>
      <c r="D4601" s="9"/>
      <c r="E4601" s="19"/>
      <c r="F4601" s="2"/>
      <c r="G4601" s="2"/>
    </row>
    <row r="4602" spans="1:7">
      <c r="A4602" s="8">
        <v>1</v>
      </c>
      <c r="B4602" s="1" t="s">
        <v>6</v>
      </c>
      <c r="C4602" s="8" t="s">
        <v>7</v>
      </c>
      <c r="D4602" s="9" t="s">
        <v>8</v>
      </c>
      <c r="E4602" s="10" t="s">
        <v>92</v>
      </c>
      <c r="F4602" s="86">
        <f>VLOOKUP(B4602,'HSD UPAH,BAHAN,ALAT'!$C$6:F4192,4,FALSE)</f>
        <v>100000</v>
      </c>
      <c r="G4602" s="87">
        <f t="shared" ref="G4602:G4604" si="577">E4602*F4602</f>
        <v>5000</v>
      </c>
    </row>
    <row r="4603" spans="1:7">
      <c r="A4603" s="8">
        <v>2</v>
      </c>
      <c r="B4603" s="1" t="s">
        <v>10</v>
      </c>
      <c r="C4603" s="8" t="s">
        <v>11</v>
      </c>
      <c r="D4603" s="9" t="s">
        <v>8</v>
      </c>
      <c r="E4603" s="10" t="s">
        <v>93</v>
      </c>
      <c r="F4603" s="86">
        <f>VLOOKUP(B4603,'HSD UPAH,BAHAN,ALAT'!$C$6:F4193,4,FALSE)</f>
        <v>120000</v>
      </c>
      <c r="G4603" s="87">
        <f t="shared" si="577"/>
        <v>1200</v>
      </c>
    </row>
    <row r="4604" spans="1:7">
      <c r="A4604" s="8">
        <v>3</v>
      </c>
      <c r="B4604" s="1" t="s">
        <v>13</v>
      </c>
      <c r="C4604" s="8" t="s">
        <v>14</v>
      </c>
      <c r="D4604" s="9" t="s">
        <v>8</v>
      </c>
      <c r="E4604" s="10" t="s">
        <v>94</v>
      </c>
      <c r="F4604" s="86">
        <f>VLOOKUP(B4604,'HSD UPAH,BAHAN,ALAT'!$C$6:F4194,4,FALSE)</f>
        <v>100000</v>
      </c>
      <c r="G4604" s="87">
        <f t="shared" si="577"/>
        <v>330</v>
      </c>
    </row>
    <row r="4605" spans="1:7">
      <c r="A4605" s="261" t="s">
        <v>420</v>
      </c>
      <c r="B4605" s="261"/>
      <c r="C4605" s="261"/>
      <c r="D4605" s="261"/>
      <c r="E4605" s="261"/>
      <c r="F4605" s="261"/>
      <c r="G4605" s="85">
        <f>SUM(G4601:G4604)</f>
        <v>6530</v>
      </c>
    </row>
    <row r="4606" spans="1:7">
      <c r="A4606" s="8" t="s">
        <v>16</v>
      </c>
      <c r="B4606" s="1" t="s">
        <v>17</v>
      </c>
      <c r="C4606" s="8"/>
      <c r="D4606" s="9"/>
      <c r="E4606" s="19"/>
      <c r="F4606" s="2"/>
      <c r="G4606" s="2"/>
    </row>
    <row r="4607" spans="1:7" ht="30">
      <c r="A4607" s="17" t="s">
        <v>208</v>
      </c>
      <c r="B4607" s="5" t="s">
        <v>369</v>
      </c>
      <c r="C4607" s="17"/>
      <c r="D4607" s="12" t="s">
        <v>86</v>
      </c>
      <c r="E4607" s="7">
        <v>12</v>
      </c>
      <c r="F4607" s="86">
        <f>VLOOKUP(B4607,'HSD UPAH,BAHAN,ALAT'!$C$6:F4197,4,FALSE)</f>
        <v>10000</v>
      </c>
      <c r="G4607" s="87">
        <f t="shared" ref="G4607:G4608" si="578">E4607*F4607</f>
        <v>120000</v>
      </c>
    </row>
    <row r="4608" spans="1:7">
      <c r="A4608" s="8">
        <v>2</v>
      </c>
      <c r="B4608" s="1" t="s">
        <v>18</v>
      </c>
      <c r="C4608" s="8"/>
      <c r="D4608" s="9" t="s">
        <v>19</v>
      </c>
      <c r="E4608" s="10">
        <v>5.0000000000000001E-3</v>
      </c>
      <c r="F4608" s="86">
        <f>VLOOKUP(B4608,'HSD UPAH,BAHAN,ALAT'!$C$6:F4198,4,FALSE)</f>
        <v>10000</v>
      </c>
      <c r="G4608" s="87">
        <f t="shared" si="578"/>
        <v>50</v>
      </c>
    </row>
    <row r="4609" spans="1:7">
      <c r="A4609" s="8">
        <v>3</v>
      </c>
      <c r="B4609" s="1" t="s">
        <v>26</v>
      </c>
      <c r="C4609" s="8"/>
      <c r="D4609" s="9"/>
      <c r="E4609" s="19"/>
      <c r="F4609" s="2"/>
      <c r="G4609" s="2"/>
    </row>
    <row r="4610" spans="1:7">
      <c r="A4610" s="8" t="s">
        <v>22</v>
      </c>
      <c r="B4610" s="1" t="s">
        <v>27</v>
      </c>
      <c r="C4610" s="8"/>
      <c r="D4610" s="9" t="s">
        <v>28</v>
      </c>
      <c r="E4610" s="10" t="s">
        <v>64</v>
      </c>
      <c r="F4610" s="86">
        <f>VLOOKUP(B4610,'HSD UPAH,BAHAN,ALAT'!$C$6:F4200,4,FALSE)</f>
        <v>10000</v>
      </c>
      <c r="G4610" s="87">
        <f t="shared" ref="G4610:G4612" si="579">E4610*F4610</f>
        <v>200</v>
      </c>
    </row>
    <row r="4611" spans="1:7">
      <c r="A4611" s="8" t="s">
        <v>30</v>
      </c>
      <c r="B4611" s="1" t="s">
        <v>31</v>
      </c>
      <c r="C4611" s="8"/>
      <c r="D4611" s="9" t="s">
        <v>28</v>
      </c>
      <c r="E4611" s="10" t="s">
        <v>20</v>
      </c>
      <c r="F4611" s="86">
        <f>VLOOKUP(B4611,'HSD UPAH,BAHAN,ALAT'!$C$6:F4201,4,FALSE)</f>
        <v>10000</v>
      </c>
      <c r="G4611" s="87">
        <f t="shared" si="579"/>
        <v>50</v>
      </c>
    </row>
    <row r="4612" spans="1:7">
      <c r="A4612" s="8" t="s">
        <v>33</v>
      </c>
      <c r="B4612" s="1" t="s">
        <v>34</v>
      </c>
      <c r="C4612" s="8"/>
      <c r="D4612" s="9" t="s">
        <v>28</v>
      </c>
      <c r="E4612" s="10" t="s">
        <v>95</v>
      </c>
      <c r="F4612" s="86">
        <f>VLOOKUP(B4612,'HSD UPAH,BAHAN,ALAT'!$C$6:F4202,4,FALSE)</f>
        <v>10000</v>
      </c>
      <c r="G4612" s="87">
        <f t="shared" si="579"/>
        <v>10</v>
      </c>
    </row>
    <row r="4613" spans="1:7">
      <c r="A4613" s="261" t="s">
        <v>421</v>
      </c>
      <c r="B4613" s="261"/>
      <c r="C4613" s="261"/>
      <c r="D4613" s="261"/>
      <c r="E4613" s="261"/>
      <c r="F4613" s="261"/>
      <c r="G4613" s="85">
        <f>SUM(G4607:G4612)</f>
        <v>120310</v>
      </c>
    </row>
    <row r="4614" spans="1:7">
      <c r="A4614" s="8" t="s">
        <v>36</v>
      </c>
      <c r="B4614" s="1" t="s">
        <v>37</v>
      </c>
      <c r="C4614" s="8"/>
      <c r="D4614" s="9"/>
      <c r="E4614" s="19"/>
      <c r="F4614" s="2"/>
      <c r="G4614" s="2"/>
    </row>
    <row r="4615" spans="1:7">
      <c r="A4615" s="263" t="s">
        <v>419</v>
      </c>
      <c r="B4615" s="263"/>
      <c r="C4615" s="263"/>
      <c r="D4615" s="263"/>
      <c r="E4615" s="263"/>
      <c r="F4615" s="263"/>
      <c r="G4615" s="80">
        <f>SUM(G4614)</f>
        <v>0</v>
      </c>
    </row>
    <row r="4616" spans="1:7">
      <c r="A4616" s="81" t="s">
        <v>38</v>
      </c>
      <c r="B4616" s="262" t="s">
        <v>39</v>
      </c>
      <c r="C4616" s="262"/>
      <c r="D4616" s="262"/>
      <c r="E4616" s="262"/>
      <c r="F4616" s="262"/>
      <c r="G4616" s="80">
        <f>SUM(G4602:G4615)/2</f>
        <v>126840</v>
      </c>
    </row>
    <row r="4617" spans="1:7">
      <c r="A4617" s="81" t="s">
        <v>40</v>
      </c>
      <c r="B4617" s="262" t="s">
        <v>180</v>
      </c>
      <c r="C4617" s="262"/>
      <c r="D4617" s="262"/>
      <c r="E4617" s="262"/>
      <c r="F4617" s="82">
        <v>0.1</v>
      </c>
      <c r="G4617" s="80">
        <f>G4616*F4617</f>
        <v>12684</v>
      </c>
    </row>
    <row r="4618" spans="1:7">
      <c r="A4618" s="81" t="s">
        <v>41</v>
      </c>
      <c r="B4618" s="262" t="s">
        <v>42</v>
      </c>
      <c r="C4618" s="262"/>
      <c r="D4618" s="262"/>
      <c r="E4618" s="262"/>
      <c r="F4618" s="262"/>
      <c r="G4618" s="80">
        <f>G4616+G4617</f>
        <v>139524</v>
      </c>
    </row>
    <row r="4619" spans="1:7">
      <c r="A4619" s="90"/>
      <c r="B4619" s="91"/>
      <c r="C4619" s="91"/>
      <c r="D4619" s="91"/>
      <c r="E4619" s="91"/>
      <c r="F4619" s="91"/>
      <c r="G4619" s="92"/>
    </row>
    <row r="4620" spans="1:7">
      <c r="A4620" s="4" t="s">
        <v>631</v>
      </c>
      <c r="B4620" s="91"/>
      <c r="C4620" s="91"/>
      <c r="D4620" s="91"/>
      <c r="E4620" s="91"/>
      <c r="F4620" s="91"/>
      <c r="G4620" s="92"/>
    </row>
    <row r="4621" spans="1:7" ht="30">
      <c r="A4621" s="79" t="s">
        <v>0</v>
      </c>
      <c r="B4621" s="79" t="s">
        <v>1</v>
      </c>
      <c r="C4621" s="79" t="s">
        <v>207</v>
      </c>
      <c r="D4621" s="79" t="s">
        <v>3</v>
      </c>
      <c r="E4621" s="79" t="s">
        <v>2</v>
      </c>
      <c r="F4621" s="79" t="s">
        <v>417</v>
      </c>
      <c r="G4621" s="79" t="s">
        <v>418</v>
      </c>
    </row>
    <row r="4622" spans="1:7">
      <c r="A4622" s="8" t="s">
        <v>4</v>
      </c>
      <c r="B4622" s="1" t="s">
        <v>5</v>
      </c>
      <c r="C4622" s="8"/>
      <c r="D4622" s="9"/>
      <c r="E4622" s="19"/>
      <c r="F4622" s="2"/>
      <c r="G4622" s="2"/>
    </row>
    <row r="4623" spans="1:7">
      <c r="A4623" s="8">
        <v>1</v>
      </c>
      <c r="B4623" s="1" t="s">
        <v>6</v>
      </c>
      <c r="C4623" s="8" t="s">
        <v>7</v>
      </c>
      <c r="D4623" s="9" t="s">
        <v>8</v>
      </c>
      <c r="E4623" s="10" t="s">
        <v>92</v>
      </c>
      <c r="F4623" s="86">
        <f>VLOOKUP(B4623,'HSD UPAH,BAHAN,ALAT'!$C$6:F4211,4,FALSE)</f>
        <v>100000</v>
      </c>
      <c r="G4623" s="87">
        <f t="shared" ref="G4623:G4625" si="580">E4623*F4623</f>
        <v>5000</v>
      </c>
    </row>
    <row r="4624" spans="1:7">
      <c r="A4624" s="8">
        <v>2</v>
      </c>
      <c r="B4624" s="1" t="s">
        <v>10</v>
      </c>
      <c r="C4624" s="8" t="s">
        <v>11</v>
      </c>
      <c r="D4624" s="9" t="s">
        <v>8</v>
      </c>
      <c r="E4624" s="10" t="s">
        <v>93</v>
      </c>
      <c r="F4624" s="86">
        <f>VLOOKUP(B4624,'HSD UPAH,BAHAN,ALAT'!$C$6:F4212,4,FALSE)</f>
        <v>120000</v>
      </c>
      <c r="G4624" s="87">
        <f t="shared" si="580"/>
        <v>1200</v>
      </c>
    </row>
    <row r="4625" spans="1:7">
      <c r="A4625" s="8">
        <v>3</v>
      </c>
      <c r="B4625" s="1" t="s">
        <v>13</v>
      </c>
      <c r="C4625" s="8" t="s">
        <v>14</v>
      </c>
      <c r="D4625" s="9" t="s">
        <v>8</v>
      </c>
      <c r="E4625" s="10" t="s">
        <v>94</v>
      </c>
      <c r="F4625" s="86">
        <f>VLOOKUP(B4625,'HSD UPAH,BAHAN,ALAT'!$C$6:F4213,4,FALSE)</f>
        <v>100000</v>
      </c>
      <c r="G4625" s="87">
        <f t="shared" si="580"/>
        <v>330</v>
      </c>
    </row>
    <row r="4626" spans="1:7">
      <c r="A4626" s="261" t="s">
        <v>420</v>
      </c>
      <c r="B4626" s="261"/>
      <c r="C4626" s="261"/>
      <c r="D4626" s="261"/>
      <c r="E4626" s="261"/>
      <c r="F4626" s="261"/>
      <c r="G4626" s="85">
        <f>SUM(G4622:G4625)</f>
        <v>6530</v>
      </c>
    </row>
    <row r="4627" spans="1:7">
      <c r="A4627" s="8" t="s">
        <v>16</v>
      </c>
      <c r="B4627" s="1" t="s">
        <v>17</v>
      </c>
      <c r="C4627" s="8"/>
      <c r="D4627" s="9"/>
      <c r="E4627" s="19"/>
      <c r="F4627" s="2"/>
      <c r="G4627" s="2"/>
    </row>
    <row r="4628" spans="1:7" ht="30">
      <c r="A4628" s="17" t="s">
        <v>208</v>
      </c>
      <c r="B4628" s="5" t="s">
        <v>370</v>
      </c>
      <c r="C4628" s="17"/>
      <c r="D4628" s="12" t="s">
        <v>86</v>
      </c>
      <c r="E4628" s="7">
        <v>12</v>
      </c>
      <c r="F4628" s="86">
        <f>VLOOKUP(B4628,'HSD UPAH,BAHAN,ALAT'!$C$6:F4216,4,FALSE)</f>
        <v>10000</v>
      </c>
      <c r="G4628" s="87">
        <f t="shared" ref="G4628:G4629" si="581">E4628*F4628</f>
        <v>120000</v>
      </c>
    </row>
    <row r="4629" spans="1:7">
      <c r="A4629" s="8">
        <v>2</v>
      </c>
      <c r="B4629" s="1" t="s">
        <v>18</v>
      </c>
      <c r="C4629" s="8"/>
      <c r="D4629" s="9" t="s">
        <v>19</v>
      </c>
      <c r="E4629" s="10">
        <v>5.0000000000000001E-3</v>
      </c>
      <c r="F4629" s="86">
        <f>VLOOKUP(B4629,'HSD UPAH,BAHAN,ALAT'!$C$6:F4217,4,FALSE)</f>
        <v>10000</v>
      </c>
      <c r="G4629" s="87">
        <f t="shared" si="581"/>
        <v>50</v>
      </c>
    </row>
    <row r="4630" spans="1:7">
      <c r="A4630" s="8">
        <v>3</v>
      </c>
      <c r="B4630" s="1" t="s">
        <v>26</v>
      </c>
      <c r="C4630" s="8"/>
      <c r="D4630" s="9"/>
      <c r="E4630" s="19"/>
      <c r="F4630" s="2"/>
      <c r="G4630" s="2"/>
    </row>
    <row r="4631" spans="1:7">
      <c r="A4631" s="8" t="s">
        <v>22</v>
      </c>
      <c r="B4631" s="1" t="s">
        <v>27</v>
      </c>
      <c r="C4631" s="8"/>
      <c r="D4631" s="9" t="s">
        <v>28</v>
      </c>
      <c r="E4631" s="10" t="s">
        <v>64</v>
      </c>
      <c r="F4631" s="86">
        <f>VLOOKUP(B4631,'HSD UPAH,BAHAN,ALAT'!$C$6:F4219,4,FALSE)</f>
        <v>10000</v>
      </c>
      <c r="G4631" s="87">
        <f t="shared" ref="G4631:G4633" si="582">E4631*F4631</f>
        <v>200</v>
      </c>
    </row>
    <row r="4632" spans="1:7">
      <c r="A4632" s="8" t="s">
        <v>30</v>
      </c>
      <c r="B4632" s="1" t="s">
        <v>31</v>
      </c>
      <c r="C4632" s="8"/>
      <c r="D4632" s="9" t="s">
        <v>28</v>
      </c>
      <c r="E4632" s="10" t="s">
        <v>20</v>
      </c>
      <c r="F4632" s="86">
        <f>VLOOKUP(B4632,'HSD UPAH,BAHAN,ALAT'!$C$6:F4220,4,FALSE)</f>
        <v>10000</v>
      </c>
      <c r="G4632" s="87">
        <f t="shared" si="582"/>
        <v>50</v>
      </c>
    </row>
    <row r="4633" spans="1:7">
      <c r="A4633" s="8" t="s">
        <v>33</v>
      </c>
      <c r="B4633" s="1" t="s">
        <v>34</v>
      </c>
      <c r="C4633" s="8"/>
      <c r="D4633" s="9" t="s">
        <v>28</v>
      </c>
      <c r="E4633" s="10" t="s">
        <v>95</v>
      </c>
      <c r="F4633" s="86">
        <f>VLOOKUP(B4633,'HSD UPAH,BAHAN,ALAT'!$C$6:F4221,4,FALSE)</f>
        <v>10000</v>
      </c>
      <c r="G4633" s="87">
        <f t="shared" si="582"/>
        <v>10</v>
      </c>
    </row>
    <row r="4634" spans="1:7">
      <c r="A4634" s="261" t="s">
        <v>421</v>
      </c>
      <c r="B4634" s="261"/>
      <c r="C4634" s="261"/>
      <c r="D4634" s="261"/>
      <c r="E4634" s="261"/>
      <c r="F4634" s="261"/>
      <c r="G4634" s="85">
        <f>SUM(G4628:G4633)</f>
        <v>120310</v>
      </c>
    </row>
    <row r="4635" spans="1:7">
      <c r="A4635" s="8" t="s">
        <v>36</v>
      </c>
      <c r="B4635" s="1" t="s">
        <v>37</v>
      </c>
      <c r="C4635" s="8"/>
      <c r="D4635" s="9"/>
      <c r="E4635" s="19"/>
      <c r="F4635" s="2"/>
      <c r="G4635" s="2"/>
    </row>
    <row r="4636" spans="1:7">
      <c r="A4636" s="263" t="s">
        <v>419</v>
      </c>
      <c r="B4636" s="263"/>
      <c r="C4636" s="263"/>
      <c r="D4636" s="263"/>
      <c r="E4636" s="263"/>
      <c r="F4636" s="263"/>
      <c r="G4636" s="80">
        <f>SUM(G4635)</f>
        <v>0</v>
      </c>
    </row>
    <row r="4637" spans="1:7">
      <c r="A4637" s="81" t="s">
        <v>38</v>
      </c>
      <c r="B4637" s="262" t="s">
        <v>39</v>
      </c>
      <c r="C4637" s="262"/>
      <c r="D4637" s="262"/>
      <c r="E4637" s="262"/>
      <c r="F4637" s="262"/>
      <c r="G4637" s="80">
        <f>SUM(G4622:G4636)/2</f>
        <v>126840</v>
      </c>
    </row>
    <row r="4638" spans="1:7">
      <c r="A4638" s="81" t="s">
        <v>40</v>
      </c>
      <c r="B4638" s="262" t="s">
        <v>180</v>
      </c>
      <c r="C4638" s="262"/>
      <c r="D4638" s="262"/>
      <c r="E4638" s="262"/>
      <c r="F4638" s="82">
        <v>0.1</v>
      </c>
      <c r="G4638" s="80">
        <f>G4637*F4638</f>
        <v>12684</v>
      </c>
    </row>
    <row r="4639" spans="1:7">
      <c r="A4639" s="81" t="s">
        <v>41</v>
      </c>
      <c r="B4639" s="262" t="s">
        <v>42</v>
      </c>
      <c r="C4639" s="262"/>
      <c r="D4639" s="262"/>
      <c r="E4639" s="262"/>
      <c r="F4639" s="262"/>
      <c r="G4639" s="80">
        <f>G4637+G4638</f>
        <v>139524</v>
      </c>
    </row>
    <row r="4640" spans="1:7">
      <c r="A4640" s="90"/>
      <c r="B4640" s="91"/>
      <c r="C4640" s="91"/>
      <c r="D4640" s="91"/>
      <c r="E4640" s="91"/>
      <c r="F4640" s="91"/>
      <c r="G4640" s="92"/>
    </row>
    <row r="4641" spans="1:7">
      <c r="A4641" s="4" t="s">
        <v>632</v>
      </c>
      <c r="B4641" s="91"/>
      <c r="C4641" s="91"/>
      <c r="D4641" s="91"/>
      <c r="E4641" s="91"/>
      <c r="F4641" s="91"/>
      <c r="G4641" s="92"/>
    </row>
    <row r="4642" spans="1:7" ht="30">
      <c r="A4642" s="79" t="s">
        <v>0</v>
      </c>
      <c r="B4642" s="79" t="s">
        <v>1</v>
      </c>
      <c r="C4642" s="79" t="s">
        <v>207</v>
      </c>
      <c r="D4642" s="79" t="s">
        <v>3</v>
      </c>
      <c r="E4642" s="79" t="s">
        <v>2</v>
      </c>
      <c r="F4642" s="79" t="s">
        <v>417</v>
      </c>
      <c r="G4642" s="79" t="s">
        <v>418</v>
      </c>
    </row>
    <row r="4643" spans="1:7">
      <c r="A4643" s="8" t="s">
        <v>4</v>
      </c>
      <c r="B4643" s="1" t="s">
        <v>5</v>
      </c>
      <c r="C4643" s="8"/>
      <c r="D4643" s="9"/>
      <c r="E4643" s="19"/>
      <c r="F4643" s="2"/>
      <c r="G4643" s="2"/>
    </row>
    <row r="4644" spans="1:7">
      <c r="A4644" s="8">
        <v>1</v>
      </c>
      <c r="B4644" s="1" t="s">
        <v>6</v>
      </c>
      <c r="C4644" s="8" t="s">
        <v>7</v>
      </c>
      <c r="D4644" s="9" t="s">
        <v>8</v>
      </c>
      <c r="E4644" s="10" t="s">
        <v>92</v>
      </c>
      <c r="F4644" s="86">
        <f>VLOOKUP(B4644,'HSD UPAH,BAHAN,ALAT'!$C$6:F4230,4,FALSE)</f>
        <v>100000</v>
      </c>
      <c r="G4644" s="87">
        <f t="shared" ref="G4644:G4646" si="583">E4644*F4644</f>
        <v>5000</v>
      </c>
    </row>
    <row r="4645" spans="1:7">
      <c r="A4645" s="8">
        <v>2</v>
      </c>
      <c r="B4645" s="1" t="s">
        <v>10</v>
      </c>
      <c r="C4645" s="8" t="s">
        <v>11</v>
      </c>
      <c r="D4645" s="9" t="s">
        <v>8</v>
      </c>
      <c r="E4645" s="10" t="s">
        <v>93</v>
      </c>
      <c r="F4645" s="86">
        <f>VLOOKUP(B4645,'HSD UPAH,BAHAN,ALAT'!$C$6:F4231,4,FALSE)</f>
        <v>120000</v>
      </c>
      <c r="G4645" s="87">
        <f t="shared" si="583"/>
        <v>1200</v>
      </c>
    </row>
    <row r="4646" spans="1:7">
      <c r="A4646" s="8">
        <v>3</v>
      </c>
      <c r="B4646" s="1" t="s">
        <v>13</v>
      </c>
      <c r="C4646" s="8" t="s">
        <v>14</v>
      </c>
      <c r="D4646" s="9" t="s">
        <v>8</v>
      </c>
      <c r="E4646" s="10" t="s">
        <v>94</v>
      </c>
      <c r="F4646" s="86">
        <f>VLOOKUP(B4646,'HSD UPAH,BAHAN,ALAT'!$C$6:F4232,4,FALSE)</f>
        <v>100000</v>
      </c>
      <c r="G4646" s="87">
        <f t="shared" si="583"/>
        <v>330</v>
      </c>
    </row>
    <row r="4647" spans="1:7">
      <c r="A4647" s="261" t="s">
        <v>420</v>
      </c>
      <c r="B4647" s="261"/>
      <c r="C4647" s="261"/>
      <c r="D4647" s="261"/>
      <c r="E4647" s="261"/>
      <c r="F4647" s="261"/>
      <c r="G4647" s="85">
        <f>SUM(G4643:G4646)</f>
        <v>6530</v>
      </c>
    </row>
    <row r="4648" spans="1:7">
      <c r="A4648" s="8" t="s">
        <v>16</v>
      </c>
      <c r="B4648" s="1" t="s">
        <v>17</v>
      </c>
      <c r="C4648" s="8"/>
      <c r="D4648" s="9"/>
      <c r="E4648" s="19"/>
      <c r="F4648" s="2"/>
      <c r="G4648" s="2"/>
    </row>
    <row r="4649" spans="1:7" ht="30">
      <c r="A4649" s="17" t="s">
        <v>208</v>
      </c>
      <c r="B4649" s="5" t="s">
        <v>371</v>
      </c>
      <c r="C4649" s="17"/>
      <c r="D4649" s="12" t="s">
        <v>86</v>
      </c>
      <c r="E4649" s="7">
        <v>12</v>
      </c>
      <c r="F4649" s="86">
        <f>VLOOKUP(B4649,'HSD UPAH,BAHAN,ALAT'!$C$6:F4235,4,FALSE)</f>
        <v>10000</v>
      </c>
      <c r="G4649" s="87">
        <f t="shared" ref="G4649:G4650" si="584">E4649*F4649</f>
        <v>120000</v>
      </c>
    </row>
    <row r="4650" spans="1:7">
      <c r="A4650" s="8">
        <v>2</v>
      </c>
      <c r="B4650" s="1" t="s">
        <v>18</v>
      </c>
      <c r="C4650" s="8"/>
      <c r="D4650" s="9" t="s">
        <v>19</v>
      </c>
      <c r="E4650" s="10">
        <v>5.0000000000000001E-3</v>
      </c>
      <c r="F4650" s="86">
        <f>VLOOKUP(B4650,'HSD UPAH,BAHAN,ALAT'!$C$6:F4236,4,FALSE)</f>
        <v>10000</v>
      </c>
      <c r="G4650" s="87">
        <f t="shared" si="584"/>
        <v>50</v>
      </c>
    </row>
    <row r="4651" spans="1:7">
      <c r="A4651" s="8">
        <v>3</v>
      </c>
      <c r="B4651" s="1" t="s">
        <v>26</v>
      </c>
      <c r="C4651" s="8"/>
      <c r="D4651" s="9"/>
      <c r="E4651" s="19"/>
      <c r="F4651" s="2"/>
      <c r="G4651" s="2"/>
    </row>
    <row r="4652" spans="1:7">
      <c r="A4652" s="8" t="s">
        <v>22</v>
      </c>
      <c r="B4652" s="1" t="s">
        <v>27</v>
      </c>
      <c r="C4652" s="8"/>
      <c r="D4652" s="9" t="s">
        <v>28</v>
      </c>
      <c r="E4652" s="10" t="s">
        <v>64</v>
      </c>
      <c r="F4652" s="86">
        <f>VLOOKUP(B4652,'HSD UPAH,BAHAN,ALAT'!$C$6:F4238,4,FALSE)</f>
        <v>10000</v>
      </c>
      <c r="G4652" s="87">
        <f t="shared" ref="G4652:G4654" si="585">E4652*F4652</f>
        <v>200</v>
      </c>
    </row>
    <row r="4653" spans="1:7">
      <c r="A4653" s="8" t="s">
        <v>30</v>
      </c>
      <c r="B4653" s="1" t="s">
        <v>31</v>
      </c>
      <c r="C4653" s="8"/>
      <c r="D4653" s="9" t="s">
        <v>28</v>
      </c>
      <c r="E4653" s="10" t="s">
        <v>20</v>
      </c>
      <c r="F4653" s="86">
        <f>VLOOKUP(B4653,'HSD UPAH,BAHAN,ALAT'!$C$6:F4239,4,FALSE)</f>
        <v>10000</v>
      </c>
      <c r="G4653" s="87">
        <f t="shared" si="585"/>
        <v>50</v>
      </c>
    </row>
    <row r="4654" spans="1:7">
      <c r="A4654" s="8" t="s">
        <v>33</v>
      </c>
      <c r="B4654" s="1" t="s">
        <v>34</v>
      </c>
      <c r="C4654" s="8"/>
      <c r="D4654" s="9" t="s">
        <v>28</v>
      </c>
      <c r="E4654" s="10" t="s">
        <v>95</v>
      </c>
      <c r="F4654" s="86">
        <f>VLOOKUP(B4654,'HSD UPAH,BAHAN,ALAT'!$C$6:F4240,4,FALSE)</f>
        <v>10000</v>
      </c>
      <c r="G4654" s="87">
        <f t="shared" si="585"/>
        <v>10</v>
      </c>
    </row>
    <row r="4655" spans="1:7">
      <c r="A4655" s="261" t="s">
        <v>421</v>
      </c>
      <c r="B4655" s="261"/>
      <c r="C4655" s="261"/>
      <c r="D4655" s="261"/>
      <c r="E4655" s="261"/>
      <c r="F4655" s="261"/>
      <c r="G4655" s="85">
        <f>SUM(G4649:G4654)</f>
        <v>120310</v>
      </c>
    </row>
    <row r="4656" spans="1:7">
      <c r="A4656" s="8" t="s">
        <v>36</v>
      </c>
      <c r="B4656" s="1" t="s">
        <v>37</v>
      </c>
      <c r="C4656" s="8"/>
      <c r="D4656" s="9"/>
      <c r="E4656" s="19"/>
      <c r="F4656" s="2"/>
      <c r="G4656" s="2"/>
    </row>
    <row r="4657" spans="1:7">
      <c r="A4657" s="263" t="s">
        <v>419</v>
      </c>
      <c r="B4657" s="263"/>
      <c r="C4657" s="263"/>
      <c r="D4657" s="263"/>
      <c r="E4657" s="263"/>
      <c r="F4657" s="263"/>
      <c r="G4657" s="80">
        <f>SUM(G4656)</f>
        <v>0</v>
      </c>
    </row>
    <row r="4658" spans="1:7">
      <c r="A4658" s="81" t="s">
        <v>38</v>
      </c>
      <c r="B4658" s="262" t="s">
        <v>39</v>
      </c>
      <c r="C4658" s="262"/>
      <c r="D4658" s="262"/>
      <c r="E4658" s="262"/>
      <c r="F4658" s="262"/>
      <c r="G4658" s="80">
        <f>SUM(G4644:G4657)/2</f>
        <v>126840</v>
      </c>
    </row>
    <row r="4659" spans="1:7">
      <c r="A4659" s="81" t="s">
        <v>40</v>
      </c>
      <c r="B4659" s="262" t="s">
        <v>180</v>
      </c>
      <c r="C4659" s="262"/>
      <c r="D4659" s="262"/>
      <c r="E4659" s="262"/>
      <c r="F4659" s="82">
        <v>0.1</v>
      </c>
      <c r="G4659" s="80">
        <f>G4658*F4659</f>
        <v>12684</v>
      </c>
    </row>
    <row r="4660" spans="1:7">
      <c r="A4660" s="81" t="s">
        <v>41</v>
      </c>
      <c r="B4660" s="262" t="s">
        <v>42</v>
      </c>
      <c r="C4660" s="262"/>
      <c r="D4660" s="262"/>
      <c r="E4660" s="262"/>
      <c r="F4660" s="262"/>
      <c r="G4660" s="80">
        <f>G4658+G4659</f>
        <v>139524</v>
      </c>
    </row>
    <row r="4661" spans="1:7">
      <c r="A4661" s="90"/>
      <c r="B4661" s="91"/>
      <c r="C4661" s="91"/>
      <c r="D4661" s="91"/>
      <c r="E4661" s="91"/>
      <c r="F4661" s="91"/>
      <c r="G4661" s="92"/>
    </row>
    <row r="4662" spans="1:7">
      <c r="A4662" s="4" t="s">
        <v>633</v>
      </c>
      <c r="B4662" s="91"/>
      <c r="C4662" s="91"/>
      <c r="D4662" s="91"/>
      <c r="E4662" s="91"/>
      <c r="F4662" s="91"/>
      <c r="G4662" s="92"/>
    </row>
    <row r="4663" spans="1:7" ht="30">
      <c r="A4663" s="79" t="s">
        <v>0</v>
      </c>
      <c r="B4663" s="79" t="s">
        <v>1</v>
      </c>
      <c r="C4663" s="79" t="s">
        <v>207</v>
      </c>
      <c r="D4663" s="79" t="s">
        <v>3</v>
      </c>
      <c r="E4663" s="79" t="s">
        <v>2</v>
      </c>
      <c r="F4663" s="79" t="s">
        <v>417</v>
      </c>
      <c r="G4663" s="79" t="s">
        <v>418</v>
      </c>
    </row>
    <row r="4664" spans="1:7">
      <c r="A4664" s="8" t="s">
        <v>4</v>
      </c>
      <c r="B4664" s="1" t="s">
        <v>5</v>
      </c>
      <c r="C4664" s="8"/>
      <c r="D4664" s="9"/>
      <c r="E4664" s="19"/>
      <c r="F4664" s="2"/>
      <c r="G4664" s="2"/>
    </row>
    <row r="4665" spans="1:7">
      <c r="A4665" s="8">
        <v>1</v>
      </c>
      <c r="B4665" s="1" t="s">
        <v>6</v>
      </c>
      <c r="C4665" s="8" t="s">
        <v>7</v>
      </c>
      <c r="D4665" s="9" t="s">
        <v>8</v>
      </c>
      <c r="E4665" s="10" t="s">
        <v>92</v>
      </c>
      <c r="F4665" s="86">
        <f>VLOOKUP(B4665,'HSD UPAH,BAHAN,ALAT'!$C$6:F4249,4,FALSE)</f>
        <v>100000</v>
      </c>
      <c r="G4665" s="87">
        <f t="shared" ref="G4665:G4667" si="586">E4665*F4665</f>
        <v>5000</v>
      </c>
    </row>
    <row r="4666" spans="1:7">
      <c r="A4666" s="8">
        <v>2</v>
      </c>
      <c r="B4666" s="1" t="s">
        <v>10</v>
      </c>
      <c r="C4666" s="8" t="s">
        <v>11</v>
      </c>
      <c r="D4666" s="9" t="s">
        <v>8</v>
      </c>
      <c r="E4666" s="10" t="s">
        <v>93</v>
      </c>
      <c r="F4666" s="86">
        <f>VLOOKUP(B4666,'HSD UPAH,BAHAN,ALAT'!$C$6:F4250,4,FALSE)</f>
        <v>120000</v>
      </c>
      <c r="G4666" s="87">
        <f t="shared" si="586"/>
        <v>1200</v>
      </c>
    </row>
    <row r="4667" spans="1:7">
      <c r="A4667" s="8">
        <v>3</v>
      </c>
      <c r="B4667" s="1" t="s">
        <v>13</v>
      </c>
      <c r="C4667" s="8" t="s">
        <v>14</v>
      </c>
      <c r="D4667" s="9" t="s">
        <v>8</v>
      </c>
      <c r="E4667" s="10" t="s">
        <v>94</v>
      </c>
      <c r="F4667" s="86">
        <f>VLOOKUP(B4667,'HSD UPAH,BAHAN,ALAT'!$C$6:F4251,4,FALSE)</f>
        <v>100000</v>
      </c>
      <c r="G4667" s="87">
        <f t="shared" si="586"/>
        <v>330</v>
      </c>
    </row>
    <row r="4668" spans="1:7">
      <c r="A4668" s="261" t="s">
        <v>420</v>
      </c>
      <c r="B4668" s="261"/>
      <c r="C4668" s="261"/>
      <c r="D4668" s="261"/>
      <c r="E4668" s="261"/>
      <c r="F4668" s="261"/>
      <c r="G4668" s="85">
        <f>SUM(G4664:G4667)</f>
        <v>6530</v>
      </c>
    </row>
    <row r="4669" spans="1:7">
      <c r="A4669" s="8" t="s">
        <v>16</v>
      </c>
      <c r="B4669" s="1" t="s">
        <v>17</v>
      </c>
      <c r="C4669" s="8"/>
      <c r="D4669" s="9"/>
      <c r="E4669" s="19"/>
      <c r="F4669" s="2"/>
      <c r="G4669" s="2"/>
    </row>
    <row r="4670" spans="1:7" ht="45">
      <c r="A4670" s="17" t="s">
        <v>208</v>
      </c>
      <c r="B4670" s="5" t="s">
        <v>372</v>
      </c>
      <c r="C4670" s="17"/>
      <c r="D4670" s="12" t="s">
        <v>86</v>
      </c>
      <c r="E4670" s="7">
        <v>12</v>
      </c>
      <c r="F4670" s="86">
        <f>VLOOKUP(B4670,'HSD UPAH,BAHAN,ALAT'!$C$6:F4254,4,FALSE)</f>
        <v>10000</v>
      </c>
      <c r="G4670" s="87">
        <f t="shared" ref="G4670:G4671" si="587">E4670*F4670</f>
        <v>120000</v>
      </c>
    </row>
    <row r="4671" spans="1:7">
      <c r="A4671" s="8">
        <v>2</v>
      </c>
      <c r="B4671" s="1" t="s">
        <v>18</v>
      </c>
      <c r="C4671" s="8"/>
      <c r="D4671" s="9" t="s">
        <v>19</v>
      </c>
      <c r="E4671" s="10">
        <v>5.0000000000000001E-3</v>
      </c>
      <c r="F4671" s="86">
        <f>VLOOKUP(B4671,'HSD UPAH,BAHAN,ALAT'!$C$6:F4255,4,FALSE)</f>
        <v>10000</v>
      </c>
      <c r="G4671" s="87">
        <f t="shared" si="587"/>
        <v>50</v>
      </c>
    </row>
    <row r="4672" spans="1:7">
      <c r="A4672" s="8">
        <v>3</v>
      </c>
      <c r="B4672" s="1" t="s">
        <v>26</v>
      </c>
      <c r="C4672" s="8"/>
      <c r="D4672" s="9"/>
      <c r="E4672" s="19"/>
      <c r="F4672" s="2"/>
      <c r="G4672" s="2"/>
    </row>
    <row r="4673" spans="1:7">
      <c r="A4673" s="8" t="s">
        <v>22</v>
      </c>
      <c r="B4673" s="1" t="s">
        <v>27</v>
      </c>
      <c r="C4673" s="8"/>
      <c r="D4673" s="9" t="s">
        <v>28</v>
      </c>
      <c r="E4673" s="10" t="s">
        <v>64</v>
      </c>
      <c r="F4673" s="86">
        <f>VLOOKUP(B4673,'HSD UPAH,BAHAN,ALAT'!$C$6:F4257,4,FALSE)</f>
        <v>10000</v>
      </c>
      <c r="G4673" s="87">
        <f t="shared" ref="G4673:G4675" si="588">E4673*F4673</f>
        <v>200</v>
      </c>
    </row>
    <row r="4674" spans="1:7">
      <c r="A4674" s="8" t="s">
        <v>30</v>
      </c>
      <c r="B4674" s="1" t="s">
        <v>31</v>
      </c>
      <c r="C4674" s="8"/>
      <c r="D4674" s="9" t="s">
        <v>28</v>
      </c>
      <c r="E4674" s="10" t="s">
        <v>20</v>
      </c>
      <c r="F4674" s="86">
        <f>VLOOKUP(B4674,'HSD UPAH,BAHAN,ALAT'!$C$6:F4258,4,FALSE)</f>
        <v>10000</v>
      </c>
      <c r="G4674" s="87">
        <f t="shared" si="588"/>
        <v>50</v>
      </c>
    </row>
    <row r="4675" spans="1:7">
      <c r="A4675" s="8" t="s">
        <v>33</v>
      </c>
      <c r="B4675" s="1" t="s">
        <v>34</v>
      </c>
      <c r="C4675" s="8"/>
      <c r="D4675" s="9" t="s">
        <v>28</v>
      </c>
      <c r="E4675" s="10" t="s">
        <v>95</v>
      </c>
      <c r="F4675" s="86">
        <f>VLOOKUP(B4675,'HSD UPAH,BAHAN,ALAT'!$C$6:F4259,4,FALSE)</f>
        <v>10000</v>
      </c>
      <c r="G4675" s="87">
        <f t="shared" si="588"/>
        <v>10</v>
      </c>
    </row>
    <row r="4676" spans="1:7">
      <c r="A4676" s="261" t="s">
        <v>421</v>
      </c>
      <c r="B4676" s="261"/>
      <c r="C4676" s="261"/>
      <c r="D4676" s="261"/>
      <c r="E4676" s="261"/>
      <c r="F4676" s="261"/>
      <c r="G4676" s="85">
        <f>SUM(G4670:G4675)</f>
        <v>120310</v>
      </c>
    </row>
    <row r="4677" spans="1:7">
      <c r="A4677" s="8" t="s">
        <v>36</v>
      </c>
      <c r="B4677" s="1" t="s">
        <v>37</v>
      </c>
      <c r="C4677" s="8"/>
      <c r="D4677" s="9"/>
      <c r="E4677" s="19"/>
      <c r="F4677" s="2"/>
      <c r="G4677" s="2"/>
    </row>
    <row r="4678" spans="1:7">
      <c r="A4678" s="263" t="s">
        <v>419</v>
      </c>
      <c r="B4678" s="263"/>
      <c r="C4678" s="263"/>
      <c r="D4678" s="263"/>
      <c r="E4678" s="263"/>
      <c r="F4678" s="263"/>
      <c r="G4678" s="80">
        <f>SUM(G4677)</f>
        <v>0</v>
      </c>
    </row>
    <row r="4679" spans="1:7">
      <c r="A4679" s="81" t="s">
        <v>38</v>
      </c>
      <c r="B4679" s="262" t="s">
        <v>39</v>
      </c>
      <c r="C4679" s="262"/>
      <c r="D4679" s="262"/>
      <c r="E4679" s="262"/>
      <c r="F4679" s="262"/>
      <c r="G4679" s="80">
        <f>SUM(G4665:G4678)/2</f>
        <v>126840</v>
      </c>
    </row>
    <row r="4680" spans="1:7">
      <c r="A4680" s="81" t="s">
        <v>40</v>
      </c>
      <c r="B4680" s="262" t="s">
        <v>180</v>
      </c>
      <c r="C4680" s="262"/>
      <c r="D4680" s="262"/>
      <c r="E4680" s="262"/>
      <c r="F4680" s="82">
        <v>0.1</v>
      </c>
      <c r="G4680" s="80">
        <f>G4679*F4680</f>
        <v>12684</v>
      </c>
    </row>
    <row r="4681" spans="1:7">
      <c r="A4681" s="81" t="s">
        <v>41</v>
      </c>
      <c r="B4681" s="262" t="s">
        <v>42</v>
      </c>
      <c r="C4681" s="262"/>
      <c r="D4681" s="262"/>
      <c r="E4681" s="262"/>
      <c r="F4681" s="262"/>
      <c r="G4681" s="80">
        <f>G4679+G4680</f>
        <v>139524</v>
      </c>
    </row>
    <row r="4682" spans="1:7">
      <c r="A4682" s="90"/>
      <c r="B4682" s="91"/>
      <c r="C4682" s="91"/>
      <c r="D4682" s="91"/>
      <c r="E4682" s="91"/>
      <c r="F4682" s="91"/>
      <c r="G4682" s="92"/>
    </row>
    <row r="4683" spans="1:7">
      <c r="A4683" s="97" t="s">
        <v>469</v>
      </c>
      <c r="B4683" s="91"/>
      <c r="C4683" s="91"/>
      <c r="D4683" s="91"/>
      <c r="E4683" s="91"/>
      <c r="F4683" s="91"/>
      <c r="G4683" s="92"/>
    </row>
    <row r="4684" spans="1:7" ht="30">
      <c r="A4684" s="79" t="s">
        <v>0</v>
      </c>
      <c r="B4684" s="79" t="s">
        <v>1</v>
      </c>
      <c r="C4684" s="79" t="s">
        <v>207</v>
      </c>
      <c r="D4684" s="79" t="s">
        <v>3</v>
      </c>
      <c r="E4684" s="79" t="s">
        <v>2</v>
      </c>
      <c r="F4684" s="79" t="s">
        <v>417</v>
      </c>
      <c r="G4684" s="79" t="s">
        <v>418</v>
      </c>
    </row>
    <row r="4685" spans="1:7">
      <c r="A4685" s="8" t="s">
        <v>4</v>
      </c>
      <c r="B4685" s="1" t="s">
        <v>5</v>
      </c>
      <c r="C4685" s="8"/>
      <c r="D4685" s="9"/>
      <c r="E4685" s="19"/>
      <c r="F4685" s="2"/>
      <c r="G4685" s="2"/>
    </row>
    <row r="4686" spans="1:7">
      <c r="A4686" s="8">
        <v>1</v>
      </c>
      <c r="B4686" s="1" t="s">
        <v>6</v>
      </c>
      <c r="C4686" s="8" t="s">
        <v>7</v>
      </c>
      <c r="D4686" s="9" t="s">
        <v>8</v>
      </c>
      <c r="E4686" s="10" t="s">
        <v>92</v>
      </c>
      <c r="F4686" s="86">
        <f>VLOOKUP(B4686,'HSD UPAH,BAHAN,ALAT'!$C$6:F4268,4,FALSE)</f>
        <v>100000</v>
      </c>
      <c r="G4686" s="87">
        <f t="shared" ref="G4686:G4688" si="589">E4686*F4686</f>
        <v>5000</v>
      </c>
    </row>
    <row r="4687" spans="1:7">
      <c r="A4687" s="8">
        <v>2</v>
      </c>
      <c r="B4687" s="1" t="s">
        <v>10</v>
      </c>
      <c r="C4687" s="8" t="s">
        <v>11</v>
      </c>
      <c r="D4687" s="9" t="s">
        <v>8</v>
      </c>
      <c r="E4687" s="10" t="s">
        <v>93</v>
      </c>
      <c r="F4687" s="86">
        <f>VLOOKUP(B4687,'HSD UPAH,BAHAN,ALAT'!$C$6:F4269,4,FALSE)</f>
        <v>120000</v>
      </c>
      <c r="G4687" s="87">
        <f t="shared" si="589"/>
        <v>1200</v>
      </c>
    </row>
    <row r="4688" spans="1:7">
      <c r="A4688" s="8">
        <v>3</v>
      </c>
      <c r="B4688" s="1" t="s">
        <v>13</v>
      </c>
      <c r="C4688" s="8" t="s">
        <v>14</v>
      </c>
      <c r="D4688" s="9" t="s">
        <v>8</v>
      </c>
      <c r="E4688" s="10" t="s">
        <v>94</v>
      </c>
      <c r="F4688" s="86">
        <f>VLOOKUP(B4688,'HSD UPAH,BAHAN,ALAT'!$C$6:F4270,4,FALSE)</f>
        <v>100000</v>
      </c>
      <c r="G4688" s="87">
        <f t="shared" si="589"/>
        <v>330</v>
      </c>
    </row>
    <row r="4689" spans="1:7">
      <c r="A4689" s="261" t="s">
        <v>420</v>
      </c>
      <c r="B4689" s="261"/>
      <c r="C4689" s="261"/>
      <c r="D4689" s="261"/>
      <c r="E4689" s="261"/>
      <c r="F4689" s="261"/>
      <c r="G4689" s="85">
        <f>SUM(G4685:G4688)</f>
        <v>6530</v>
      </c>
    </row>
    <row r="4690" spans="1:7">
      <c r="A4690" s="8" t="s">
        <v>16</v>
      </c>
      <c r="B4690" s="1" t="s">
        <v>17</v>
      </c>
      <c r="C4690" s="8"/>
      <c r="D4690" s="9"/>
      <c r="E4690" s="19"/>
      <c r="F4690" s="2"/>
      <c r="G4690" s="2"/>
    </row>
    <row r="4691" spans="1:7" ht="30">
      <c r="A4691" s="17" t="s">
        <v>208</v>
      </c>
      <c r="B4691" s="5" t="s">
        <v>373</v>
      </c>
      <c r="C4691" s="17"/>
      <c r="D4691" s="12" t="s">
        <v>86</v>
      </c>
      <c r="E4691" s="7">
        <v>12</v>
      </c>
      <c r="F4691" s="86">
        <f>VLOOKUP(B4691,'HSD UPAH,BAHAN,ALAT'!$C$6:F4273,4,FALSE)</f>
        <v>10000</v>
      </c>
      <c r="G4691" s="87">
        <f t="shared" ref="G4691:G4692" si="590">E4691*F4691</f>
        <v>120000</v>
      </c>
    </row>
    <row r="4692" spans="1:7">
      <c r="A4692" s="8">
        <v>2</v>
      </c>
      <c r="B4692" s="1" t="s">
        <v>18</v>
      </c>
      <c r="C4692" s="8"/>
      <c r="D4692" s="9" t="s">
        <v>19</v>
      </c>
      <c r="E4692" s="10">
        <v>5.0000000000000001E-3</v>
      </c>
      <c r="F4692" s="86">
        <f>VLOOKUP(B4692,'HSD UPAH,BAHAN,ALAT'!$C$6:F4274,4,FALSE)</f>
        <v>10000</v>
      </c>
      <c r="G4692" s="87">
        <f t="shared" si="590"/>
        <v>50</v>
      </c>
    </row>
    <row r="4693" spans="1:7">
      <c r="A4693" s="8">
        <v>3</v>
      </c>
      <c r="B4693" s="1" t="s">
        <v>26</v>
      </c>
      <c r="C4693" s="8"/>
      <c r="D4693" s="9"/>
      <c r="E4693" s="19"/>
      <c r="F4693" s="2"/>
      <c r="G4693" s="2"/>
    </row>
    <row r="4694" spans="1:7">
      <c r="A4694" s="8" t="s">
        <v>22</v>
      </c>
      <c r="B4694" s="1" t="s">
        <v>27</v>
      </c>
      <c r="C4694" s="8"/>
      <c r="D4694" s="9" t="s">
        <v>28</v>
      </c>
      <c r="E4694" s="10" t="s">
        <v>64</v>
      </c>
      <c r="F4694" s="86">
        <f>VLOOKUP(B4694,'HSD UPAH,BAHAN,ALAT'!$C$6:F4276,4,FALSE)</f>
        <v>10000</v>
      </c>
      <c r="G4694" s="87">
        <f t="shared" ref="G4694:G4696" si="591">E4694*F4694</f>
        <v>200</v>
      </c>
    </row>
    <row r="4695" spans="1:7">
      <c r="A4695" s="8" t="s">
        <v>30</v>
      </c>
      <c r="B4695" s="1" t="s">
        <v>31</v>
      </c>
      <c r="C4695" s="8"/>
      <c r="D4695" s="9" t="s">
        <v>28</v>
      </c>
      <c r="E4695" s="10" t="s">
        <v>20</v>
      </c>
      <c r="F4695" s="86">
        <f>VLOOKUP(B4695,'HSD UPAH,BAHAN,ALAT'!$C$6:F4277,4,FALSE)</f>
        <v>10000</v>
      </c>
      <c r="G4695" s="87">
        <f t="shared" si="591"/>
        <v>50</v>
      </c>
    </row>
    <row r="4696" spans="1:7">
      <c r="A4696" s="8" t="s">
        <v>33</v>
      </c>
      <c r="B4696" s="1" t="s">
        <v>34</v>
      </c>
      <c r="C4696" s="8"/>
      <c r="D4696" s="9" t="s">
        <v>28</v>
      </c>
      <c r="E4696" s="10" t="s">
        <v>95</v>
      </c>
      <c r="F4696" s="86">
        <f>VLOOKUP(B4696,'HSD UPAH,BAHAN,ALAT'!$C$6:F4278,4,FALSE)</f>
        <v>10000</v>
      </c>
      <c r="G4696" s="87">
        <f t="shared" si="591"/>
        <v>10</v>
      </c>
    </row>
    <row r="4697" spans="1:7">
      <c r="A4697" s="261" t="s">
        <v>421</v>
      </c>
      <c r="B4697" s="261"/>
      <c r="C4697" s="261"/>
      <c r="D4697" s="261"/>
      <c r="E4697" s="261"/>
      <c r="F4697" s="261"/>
      <c r="G4697" s="85">
        <f>SUM(G4691:G4696)</f>
        <v>120310</v>
      </c>
    </row>
    <row r="4698" spans="1:7">
      <c r="A4698" s="8" t="s">
        <v>36</v>
      </c>
      <c r="B4698" s="1" t="s">
        <v>37</v>
      </c>
      <c r="C4698" s="8"/>
      <c r="D4698" s="9"/>
      <c r="E4698" s="19"/>
      <c r="F4698" s="2"/>
      <c r="G4698" s="2"/>
    </row>
    <row r="4699" spans="1:7">
      <c r="A4699" s="263" t="s">
        <v>419</v>
      </c>
      <c r="B4699" s="263"/>
      <c r="C4699" s="263"/>
      <c r="D4699" s="263"/>
      <c r="E4699" s="263"/>
      <c r="F4699" s="263"/>
      <c r="G4699" s="80">
        <f>SUM(G4698)</f>
        <v>0</v>
      </c>
    </row>
    <row r="4700" spans="1:7">
      <c r="A4700" s="81" t="s">
        <v>38</v>
      </c>
      <c r="B4700" s="262" t="s">
        <v>39</v>
      </c>
      <c r="C4700" s="262"/>
      <c r="D4700" s="262"/>
      <c r="E4700" s="262"/>
      <c r="F4700" s="262"/>
      <c r="G4700" s="118">
        <f>SUM(G4686:G4699)/2</f>
        <v>126840</v>
      </c>
    </row>
    <row r="4701" spans="1:7">
      <c r="A4701" s="81" t="s">
        <v>40</v>
      </c>
      <c r="B4701" s="262" t="s">
        <v>180</v>
      </c>
      <c r="C4701" s="262"/>
      <c r="D4701" s="262"/>
      <c r="E4701" s="262"/>
      <c r="F4701" s="82">
        <v>0.1</v>
      </c>
      <c r="G4701" s="80">
        <f>G4700*F4701</f>
        <v>12684</v>
      </c>
    </row>
    <row r="4702" spans="1:7">
      <c r="A4702" s="81" t="s">
        <v>41</v>
      </c>
      <c r="B4702" s="262" t="s">
        <v>42</v>
      </c>
      <c r="C4702" s="262"/>
      <c r="D4702" s="262"/>
      <c r="E4702" s="262"/>
      <c r="F4702" s="262"/>
      <c r="G4702" s="80">
        <f>G4700+G4701</f>
        <v>139524</v>
      </c>
    </row>
    <row r="4703" spans="1:7">
      <c r="A4703" s="90"/>
      <c r="B4703" s="91"/>
      <c r="C4703" s="91"/>
      <c r="D4703" s="91"/>
      <c r="E4703" s="91"/>
      <c r="F4703" s="91"/>
      <c r="G4703" s="92"/>
    </row>
    <row r="4704" spans="1:7">
      <c r="A4704" s="4" t="s">
        <v>634</v>
      </c>
      <c r="B4704" s="91"/>
      <c r="C4704" s="91"/>
      <c r="D4704" s="91"/>
      <c r="E4704" s="91"/>
      <c r="F4704" s="91"/>
      <c r="G4704" s="92"/>
    </row>
    <row r="4705" spans="1:7" ht="30">
      <c r="A4705" s="79" t="s">
        <v>0</v>
      </c>
      <c r="B4705" s="79" t="s">
        <v>1</v>
      </c>
      <c r="C4705" s="79" t="s">
        <v>207</v>
      </c>
      <c r="D4705" s="79" t="s">
        <v>3</v>
      </c>
      <c r="E4705" s="79" t="s">
        <v>2</v>
      </c>
      <c r="F4705" s="79" t="s">
        <v>417</v>
      </c>
      <c r="G4705" s="79" t="s">
        <v>418</v>
      </c>
    </row>
    <row r="4706" spans="1:7">
      <c r="A4706" s="8" t="s">
        <v>4</v>
      </c>
      <c r="B4706" s="1" t="s">
        <v>5</v>
      </c>
      <c r="C4706" s="8"/>
      <c r="D4706" s="9"/>
      <c r="E4706" s="19"/>
      <c r="F4706" s="2"/>
      <c r="G4706" s="2"/>
    </row>
    <row r="4707" spans="1:7">
      <c r="A4707" s="8">
        <v>1</v>
      </c>
      <c r="B4707" s="1" t="s">
        <v>6</v>
      </c>
      <c r="C4707" s="8" t="s">
        <v>7</v>
      </c>
      <c r="D4707" s="9" t="s">
        <v>8</v>
      </c>
      <c r="E4707" s="10" t="s">
        <v>92</v>
      </c>
      <c r="F4707" s="86">
        <f>VLOOKUP(B4707,'HSD UPAH,BAHAN,ALAT'!$C$6:F4287,4,FALSE)</f>
        <v>100000</v>
      </c>
      <c r="G4707" s="87">
        <f t="shared" ref="G4707:G4709" si="592">E4707*F4707</f>
        <v>5000</v>
      </c>
    </row>
    <row r="4708" spans="1:7">
      <c r="A4708" s="8">
        <v>2</v>
      </c>
      <c r="B4708" s="1" t="s">
        <v>10</v>
      </c>
      <c r="C4708" s="8" t="s">
        <v>11</v>
      </c>
      <c r="D4708" s="9" t="s">
        <v>8</v>
      </c>
      <c r="E4708" s="10" t="s">
        <v>93</v>
      </c>
      <c r="F4708" s="86">
        <f>VLOOKUP(B4708,'HSD UPAH,BAHAN,ALAT'!$C$6:F4288,4,FALSE)</f>
        <v>120000</v>
      </c>
      <c r="G4708" s="87">
        <f t="shared" si="592"/>
        <v>1200</v>
      </c>
    </row>
    <row r="4709" spans="1:7">
      <c r="A4709" s="8">
        <v>3</v>
      </c>
      <c r="B4709" s="1" t="s">
        <v>13</v>
      </c>
      <c r="C4709" s="8" t="s">
        <v>14</v>
      </c>
      <c r="D4709" s="9" t="s">
        <v>8</v>
      </c>
      <c r="E4709" s="10" t="s">
        <v>94</v>
      </c>
      <c r="F4709" s="86">
        <f>VLOOKUP(B4709,'HSD UPAH,BAHAN,ALAT'!$C$6:F4289,4,FALSE)</f>
        <v>100000</v>
      </c>
      <c r="G4709" s="87">
        <f t="shared" si="592"/>
        <v>330</v>
      </c>
    </row>
    <row r="4710" spans="1:7">
      <c r="A4710" s="261" t="s">
        <v>420</v>
      </c>
      <c r="B4710" s="261"/>
      <c r="C4710" s="261"/>
      <c r="D4710" s="261"/>
      <c r="E4710" s="261"/>
      <c r="F4710" s="261"/>
      <c r="G4710" s="85">
        <f>SUM(G4706:G4709)</f>
        <v>6530</v>
      </c>
    </row>
    <row r="4711" spans="1:7">
      <c r="A4711" s="8" t="s">
        <v>16</v>
      </c>
      <c r="B4711" s="1" t="s">
        <v>17</v>
      </c>
      <c r="C4711" s="8"/>
      <c r="D4711" s="9"/>
      <c r="E4711" s="19"/>
      <c r="F4711" s="2"/>
      <c r="G4711" s="2"/>
    </row>
    <row r="4712" spans="1:7" ht="45">
      <c r="A4712" s="17" t="s">
        <v>208</v>
      </c>
      <c r="B4712" s="5" t="s">
        <v>374</v>
      </c>
      <c r="C4712" s="17"/>
      <c r="D4712" s="12" t="s">
        <v>86</v>
      </c>
      <c r="E4712" s="7">
        <v>12</v>
      </c>
      <c r="F4712" s="86">
        <f>VLOOKUP(B4712,'HSD UPAH,BAHAN,ALAT'!$C$6:F4292,4,FALSE)</f>
        <v>10000</v>
      </c>
      <c r="G4712" s="87">
        <f t="shared" ref="G4712:G4713" si="593">E4712*F4712</f>
        <v>120000</v>
      </c>
    </row>
    <row r="4713" spans="1:7">
      <c r="A4713" s="8">
        <v>2</v>
      </c>
      <c r="B4713" s="1" t="s">
        <v>18</v>
      </c>
      <c r="C4713" s="8"/>
      <c r="D4713" s="9" t="s">
        <v>19</v>
      </c>
      <c r="E4713" s="10">
        <v>5.0000000000000001E-3</v>
      </c>
      <c r="F4713" s="86">
        <f>VLOOKUP(B4713,'HSD UPAH,BAHAN,ALAT'!$C$6:F4293,4,FALSE)</f>
        <v>10000</v>
      </c>
      <c r="G4713" s="87">
        <f t="shared" si="593"/>
        <v>50</v>
      </c>
    </row>
    <row r="4714" spans="1:7">
      <c r="A4714" s="8">
        <v>3</v>
      </c>
      <c r="B4714" s="1" t="s">
        <v>26</v>
      </c>
      <c r="C4714" s="8"/>
      <c r="D4714" s="9"/>
      <c r="E4714" s="19"/>
      <c r="F4714" s="2"/>
      <c r="G4714" s="2"/>
    </row>
    <row r="4715" spans="1:7">
      <c r="A4715" s="8" t="s">
        <v>22</v>
      </c>
      <c r="B4715" s="1" t="s">
        <v>27</v>
      </c>
      <c r="C4715" s="8"/>
      <c r="D4715" s="9" t="s">
        <v>28</v>
      </c>
      <c r="E4715" s="10" t="s">
        <v>64</v>
      </c>
      <c r="F4715" s="86">
        <f>VLOOKUP(B4715,'HSD UPAH,BAHAN,ALAT'!$C$6:F4295,4,FALSE)</f>
        <v>10000</v>
      </c>
      <c r="G4715" s="87">
        <f t="shared" ref="G4715:G4717" si="594">E4715*F4715</f>
        <v>200</v>
      </c>
    </row>
    <row r="4716" spans="1:7">
      <c r="A4716" s="8" t="s">
        <v>30</v>
      </c>
      <c r="B4716" s="1" t="s">
        <v>31</v>
      </c>
      <c r="C4716" s="8"/>
      <c r="D4716" s="9" t="s">
        <v>28</v>
      </c>
      <c r="E4716" s="10" t="s">
        <v>20</v>
      </c>
      <c r="F4716" s="86">
        <f>VLOOKUP(B4716,'HSD UPAH,BAHAN,ALAT'!$C$6:F4296,4,FALSE)</f>
        <v>10000</v>
      </c>
      <c r="G4716" s="87">
        <f t="shared" si="594"/>
        <v>50</v>
      </c>
    </row>
    <row r="4717" spans="1:7">
      <c r="A4717" s="8" t="s">
        <v>33</v>
      </c>
      <c r="B4717" s="1" t="s">
        <v>34</v>
      </c>
      <c r="C4717" s="8"/>
      <c r="D4717" s="9" t="s">
        <v>28</v>
      </c>
      <c r="E4717" s="10" t="s">
        <v>95</v>
      </c>
      <c r="F4717" s="86">
        <f>VLOOKUP(B4717,'HSD UPAH,BAHAN,ALAT'!$C$6:F4297,4,FALSE)</f>
        <v>10000</v>
      </c>
      <c r="G4717" s="87">
        <f t="shared" si="594"/>
        <v>10</v>
      </c>
    </row>
    <row r="4718" spans="1:7">
      <c r="A4718" s="261" t="s">
        <v>421</v>
      </c>
      <c r="B4718" s="261"/>
      <c r="C4718" s="261"/>
      <c r="D4718" s="261"/>
      <c r="E4718" s="261"/>
      <c r="F4718" s="261"/>
      <c r="G4718" s="85">
        <f>SUM(G4712:G4717)</f>
        <v>120310</v>
      </c>
    </row>
    <row r="4719" spans="1:7">
      <c r="A4719" s="8" t="s">
        <v>36</v>
      </c>
      <c r="B4719" s="1" t="s">
        <v>37</v>
      </c>
      <c r="C4719" s="8"/>
      <c r="D4719" s="9"/>
      <c r="E4719" s="19"/>
      <c r="F4719" s="2"/>
      <c r="G4719" s="2"/>
    </row>
    <row r="4720" spans="1:7">
      <c r="A4720" s="263" t="s">
        <v>419</v>
      </c>
      <c r="B4720" s="263"/>
      <c r="C4720" s="263"/>
      <c r="D4720" s="263"/>
      <c r="E4720" s="263"/>
      <c r="F4720" s="263"/>
      <c r="G4720" s="80">
        <f>SUM(G4719)</f>
        <v>0</v>
      </c>
    </row>
    <row r="4721" spans="1:7">
      <c r="A4721" s="81" t="s">
        <v>38</v>
      </c>
      <c r="B4721" s="262" t="s">
        <v>39</v>
      </c>
      <c r="C4721" s="262"/>
      <c r="D4721" s="262"/>
      <c r="E4721" s="262"/>
      <c r="F4721" s="262"/>
      <c r="G4721" s="118">
        <f>SUM(G4707:G4720)/2</f>
        <v>126840</v>
      </c>
    </row>
    <row r="4722" spans="1:7">
      <c r="A4722" s="81" t="s">
        <v>40</v>
      </c>
      <c r="B4722" s="262" t="s">
        <v>180</v>
      </c>
      <c r="C4722" s="262"/>
      <c r="D4722" s="262"/>
      <c r="E4722" s="262"/>
      <c r="F4722" s="82">
        <v>0.1</v>
      </c>
      <c r="G4722" s="80">
        <f>G4721*F4722</f>
        <v>12684</v>
      </c>
    </row>
    <row r="4723" spans="1:7">
      <c r="A4723" s="81" t="s">
        <v>41</v>
      </c>
      <c r="B4723" s="262" t="s">
        <v>42</v>
      </c>
      <c r="C4723" s="262"/>
      <c r="D4723" s="262"/>
      <c r="E4723" s="262"/>
      <c r="F4723" s="262"/>
      <c r="G4723" s="80">
        <f>G4721+G4722</f>
        <v>139524</v>
      </c>
    </row>
    <row r="4724" spans="1:7">
      <c r="A4724" s="90"/>
      <c r="B4724" s="91"/>
      <c r="C4724" s="91"/>
      <c r="D4724" s="91"/>
      <c r="E4724" s="91"/>
      <c r="F4724" s="91"/>
      <c r="G4724" s="92"/>
    </row>
    <row r="4725" spans="1:7">
      <c r="A4725" s="4" t="s">
        <v>635</v>
      </c>
      <c r="B4725" s="91"/>
      <c r="C4725" s="91"/>
      <c r="D4725" s="91"/>
      <c r="E4725" s="91"/>
      <c r="F4725" s="91"/>
      <c r="G4725" s="92"/>
    </row>
    <row r="4726" spans="1:7" ht="30">
      <c r="A4726" s="79" t="s">
        <v>0</v>
      </c>
      <c r="B4726" s="79" t="s">
        <v>1</v>
      </c>
      <c r="C4726" s="79" t="s">
        <v>207</v>
      </c>
      <c r="D4726" s="79" t="s">
        <v>3</v>
      </c>
      <c r="E4726" s="79" t="s">
        <v>2</v>
      </c>
      <c r="F4726" s="79" t="s">
        <v>417</v>
      </c>
      <c r="G4726" s="79" t="s">
        <v>418</v>
      </c>
    </row>
    <row r="4727" spans="1:7">
      <c r="A4727" s="8" t="s">
        <v>4</v>
      </c>
      <c r="B4727" s="1" t="s">
        <v>5</v>
      </c>
      <c r="C4727" s="8"/>
      <c r="D4727" s="9"/>
      <c r="E4727" s="19"/>
      <c r="F4727" s="2"/>
      <c r="G4727" s="2"/>
    </row>
    <row r="4728" spans="1:7">
      <c r="A4728" s="8">
        <v>1</v>
      </c>
      <c r="B4728" s="1" t="s">
        <v>6</v>
      </c>
      <c r="C4728" s="8" t="s">
        <v>7</v>
      </c>
      <c r="D4728" s="9" t="s">
        <v>8</v>
      </c>
      <c r="E4728" s="10" t="s">
        <v>92</v>
      </c>
      <c r="F4728" s="86">
        <f>VLOOKUP(B4728,'HSD UPAH,BAHAN,ALAT'!$C$6:F4306,4,FALSE)</f>
        <v>100000</v>
      </c>
      <c r="G4728" s="87">
        <f t="shared" ref="G4728:G4730" si="595">E4728*F4728</f>
        <v>5000</v>
      </c>
    </row>
    <row r="4729" spans="1:7">
      <c r="A4729" s="8">
        <v>2</v>
      </c>
      <c r="B4729" s="1" t="s">
        <v>10</v>
      </c>
      <c r="C4729" s="8" t="s">
        <v>11</v>
      </c>
      <c r="D4729" s="9" t="s">
        <v>8</v>
      </c>
      <c r="E4729" s="10" t="s">
        <v>93</v>
      </c>
      <c r="F4729" s="86">
        <f>VLOOKUP(B4729,'HSD UPAH,BAHAN,ALAT'!$C$6:F4307,4,FALSE)</f>
        <v>120000</v>
      </c>
      <c r="G4729" s="87">
        <f t="shared" si="595"/>
        <v>1200</v>
      </c>
    </row>
    <row r="4730" spans="1:7">
      <c r="A4730" s="8">
        <v>3</v>
      </c>
      <c r="B4730" s="1" t="s">
        <v>13</v>
      </c>
      <c r="C4730" s="8" t="s">
        <v>14</v>
      </c>
      <c r="D4730" s="9" t="s">
        <v>8</v>
      </c>
      <c r="E4730" s="10" t="s">
        <v>94</v>
      </c>
      <c r="F4730" s="86">
        <f>VLOOKUP(B4730,'HSD UPAH,BAHAN,ALAT'!$C$6:F4308,4,FALSE)</f>
        <v>100000</v>
      </c>
      <c r="G4730" s="87">
        <f t="shared" si="595"/>
        <v>330</v>
      </c>
    </row>
    <row r="4731" spans="1:7">
      <c r="A4731" s="261" t="s">
        <v>420</v>
      </c>
      <c r="B4731" s="261"/>
      <c r="C4731" s="261"/>
      <c r="D4731" s="261"/>
      <c r="E4731" s="261"/>
      <c r="F4731" s="261"/>
      <c r="G4731" s="85">
        <f>SUM(G4727:G4730)</f>
        <v>6530</v>
      </c>
    </row>
    <row r="4732" spans="1:7">
      <c r="A4732" s="8" t="s">
        <v>16</v>
      </c>
      <c r="B4732" s="1" t="s">
        <v>17</v>
      </c>
      <c r="C4732" s="8"/>
      <c r="D4732" s="9"/>
      <c r="E4732" s="19"/>
      <c r="F4732" s="2"/>
      <c r="G4732" s="2"/>
    </row>
    <row r="4733" spans="1:7" ht="45">
      <c r="A4733" s="17" t="s">
        <v>208</v>
      </c>
      <c r="B4733" s="5" t="s">
        <v>375</v>
      </c>
      <c r="C4733" s="17"/>
      <c r="D4733" s="12" t="s">
        <v>86</v>
      </c>
      <c r="E4733" s="7">
        <v>12</v>
      </c>
      <c r="F4733" s="86">
        <f>VLOOKUP(B4733,'HSD UPAH,BAHAN,ALAT'!$C$6:F4311,4,FALSE)</f>
        <v>10000</v>
      </c>
      <c r="G4733" s="87">
        <f t="shared" ref="G4733:G4734" si="596">E4733*F4733</f>
        <v>120000</v>
      </c>
    </row>
    <row r="4734" spans="1:7">
      <c r="A4734" s="8">
        <v>2</v>
      </c>
      <c r="B4734" s="1" t="s">
        <v>18</v>
      </c>
      <c r="C4734" s="8"/>
      <c r="D4734" s="9" t="s">
        <v>19</v>
      </c>
      <c r="E4734" s="10">
        <v>5.0000000000000001E-3</v>
      </c>
      <c r="F4734" s="86">
        <f>VLOOKUP(B4734,'HSD UPAH,BAHAN,ALAT'!$C$6:F4312,4,FALSE)</f>
        <v>10000</v>
      </c>
      <c r="G4734" s="87">
        <f t="shared" si="596"/>
        <v>50</v>
      </c>
    </row>
    <row r="4735" spans="1:7">
      <c r="A4735" s="8">
        <v>3</v>
      </c>
      <c r="B4735" s="1" t="s">
        <v>26</v>
      </c>
      <c r="C4735" s="8"/>
      <c r="D4735" s="9"/>
      <c r="E4735" s="19"/>
      <c r="F4735" s="2"/>
      <c r="G4735" s="2"/>
    </row>
    <row r="4736" spans="1:7">
      <c r="A4736" s="8" t="s">
        <v>22</v>
      </c>
      <c r="B4736" s="1" t="s">
        <v>27</v>
      </c>
      <c r="C4736" s="8"/>
      <c r="D4736" s="9" t="s">
        <v>28</v>
      </c>
      <c r="E4736" s="10" t="s">
        <v>64</v>
      </c>
      <c r="F4736" s="86">
        <f>VLOOKUP(B4736,'HSD UPAH,BAHAN,ALAT'!$C$6:F4314,4,FALSE)</f>
        <v>10000</v>
      </c>
      <c r="G4736" s="87">
        <f t="shared" ref="G4736:G4738" si="597">E4736*F4736</f>
        <v>200</v>
      </c>
    </row>
    <row r="4737" spans="1:7">
      <c r="A4737" s="8" t="s">
        <v>30</v>
      </c>
      <c r="B4737" s="1" t="s">
        <v>31</v>
      </c>
      <c r="C4737" s="8"/>
      <c r="D4737" s="9" t="s">
        <v>28</v>
      </c>
      <c r="E4737" s="10" t="s">
        <v>20</v>
      </c>
      <c r="F4737" s="86">
        <f>VLOOKUP(B4737,'HSD UPAH,BAHAN,ALAT'!$C$6:F4315,4,FALSE)</f>
        <v>10000</v>
      </c>
      <c r="G4737" s="87">
        <f t="shared" si="597"/>
        <v>50</v>
      </c>
    </row>
    <row r="4738" spans="1:7">
      <c r="A4738" s="8" t="s">
        <v>33</v>
      </c>
      <c r="B4738" s="1" t="s">
        <v>34</v>
      </c>
      <c r="C4738" s="8"/>
      <c r="D4738" s="9" t="s">
        <v>28</v>
      </c>
      <c r="E4738" s="10" t="s">
        <v>95</v>
      </c>
      <c r="F4738" s="86">
        <f>VLOOKUP(B4738,'HSD UPAH,BAHAN,ALAT'!$C$6:F4316,4,FALSE)</f>
        <v>10000</v>
      </c>
      <c r="G4738" s="87">
        <f t="shared" si="597"/>
        <v>10</v>
      </c>
    </row>
    <row r="4739" spans="1:7">
      <c r="A4739" s="261" t="s">
        <v>421</v>
      </c>
      <c r="B4739" s="261"/>
      <c r="C4739" s="261"/>
      <c r="D4739" s="261"/>
      <c r="E4739" s="261"/>
      <c r="F4739" s="261"/>
      <c r="G4739" s="85">
        <f>SUM(G4733:G4738)</f>
        <v>120310</v>
      </c>
    </row>
    <row r="4740" spans="1:7">
      <c r="A4740" s="8" t="s">
        <v>36</v>
      </c>
      <c r="B4740" s="1" t="s">
        <v>37</v>
      </c>
      <c r="C4740" s="8"/>
      <c r="D4740" s="9"/>
      <c r="E4740" s="19"/>
      <c r="F4740" s="2"/>
      <c r="G4740" s="2"/>
    </row>
    <row r="4741" spans="1:7">
      <c r="A4741" s="263" t="s">
        <v>419</v>
      </c>
      <c r="B4741" s="263"/>
      <c r="C4741" s="263"/>
      <c r="D4741" s="263"/>
      <c r="E4741" s="263"/>
      <c r="F4741" s="263"/>
      <c r="G4741" s="80">
        <f>SUM(G4740)</f>
        <v>0</v>
      </c>
    </row>
    <row r="4742" spans="1:7">
      <c r="A4742" s="81" t="s">
        <v>38</v>
      </c>
      <c r="B4742" s="262" t="s">
        <v>39</v>
      </c>
      <c r="C4742" s="262"/>
      <c r="D4742" s="262"/>
      <c r="E4742" s="262"/>
      <c r="F4742" s="262"/>
      <c r="G4742" s="118">
        <f>SUM(G4728:G4741)/2</f>
        <v>126840</v>
      </c>
    </row>
    <row r="4743" spans="1:7">
      <c r="A4743" s="81" t="s">
        <v>40</v>
      </c>
      <c r="B4743" s="262" t="s">
        <v>180</v>
      </c>
      <c r="C4743" s="262"/>
      <c r="D4743" s="262"/>
      <c r="E4743" s="262"/>
      <c r="F4743" s="82">
        <v>0.1</v>
      </c>
      <c r="G4743" s="80">
        <f>G4742*F4743</f>
        <v>12684</v>
      </c>
    </row>
    <row r="4744" spans="1:7">
      <c r="A4744" s="81" t="s">
        <v>41</v>
      </c>
      <c r="B4744" s="262" t="s">
        <v>42</v>
      </c>
      <c r="C4744" s="262"/>
      <c r="D4744" s="262"/>
      <c r="E4744" s="262"/>
      <c r="F4744" s="262"/>
      <c r="G4744" s="80">
        <f>G4742+G4743</f>
        <v>139524</v>
      </c>
    </row>
    <row r="4745" spans="1:7">
      <c r="A4745" s="90"/>
      <c r="B4745" s="91"/>
      <c r="C4745" s="91"/>
      <c r="D4745" s="91"/>
      <c r="E4745" s="91"/>
      <c r="F4745" s="91"/>
      <c r="G4745" s="92"/>
    </row>
    <row r="4746" spans="1:7">
      <c r="A4746" s="4" t="s">
        <v>636</v>
      </c>
      <c r="B4746" s="91"/>
      <c r="C4746" s="91"/>
      <c r="D4746" s="91"/>
      <c r="E4746" s="91"/>
      <c r="F4746" s="91"/>
      <c r="G4746" s="92"/>
    </row>
    <row r="4747" spans="1:7" ht="30">
      <c r="A4747" s="79" t="s">
        <v>0</v>
      </c>
      <c r="B4747" s="79" t="s">
        <v>1</v>
      </c>
      <c r="C4747" s="79" t="s">
        <v>207</v>
      </c>
      <c r="D4747" s="79" t="s">
        <v>3</v>
      </c>
      <c r="E4747" s="79" t="s">
        <v>2</v>
      </c>
      <c r="F4747" s="79" t="s">
        <v>417</v>
      </c>
      <c r="G4747" s="79" t="s">
        <v>418</v>
      </c>
    </row>
    <row r="4748" spans="1:7">
      <c r="A4748" s="8" t="s">
        <v>4</v>
      </c>
      <c r="B4748" s="1" t="s">
        <v>5</v>
      </c>
      <c r="C4748" s="8"/>
      <c r="D4748" s="9"/>
      <c r="E4748" s="19"/>
      <c r="F4748" s="2"/>
      <c r="G4748" s="2"/>
    </row>
    <row r="4749" spans="1:7">
      <c r="A4749" s="8">
        <v>1</v>
      </c>
      <c r="B4749" s="1" t="s">
        <v>6</v>
      </c>
      <c r="C4749" s="8" t="s">
        <v>7</v>
      </c>
      <c r="D4749" s="9" t="s">
        <v>8</v>
      </c>
      <c r="E4749" s="10" t="s">
        <v>92</v>
      </c>
      <c r="F4749" s="86">
        <f>VLOOKUP(B4749,'HSD UPAH,BAHAN,ALAT'!$C$6:F4325,4,FALSE)</f>
        <v>100000</v>
      </c>
      <c r="G4749" s="87">
        <f t="shared" ref="G4749:G4751" si="598">E4749*F4749</f>
        <v>5000</v>
      </c>
    </row>
    <row r="4750" spans="1:7">
      <c r="A4750" s="8">
        <v>2</v>
      </c>
      <c r="B4750" s="1" t="s">
        <v>10</v>
      </c>
      <c r="C4750" s="8" t="s">
        <v>11</v>
      </c>
      <c r="D4750" s="9" t="s">
        <v>8</v>
      </c>
      <c r="E4750" s="10" t="s">
        <v>93</v>
      </c>
      <c r="F4750" s="86">
        <f>VLOOKUP(B4750,'HSD UPAH,BAHAN,ALAT'!$C$6:F4326,4,FALSE)</f>
        <v>120000</v>
      </c>
      <c r="G4750" s="87">
        <f t="shared" si="598"/>
        <v>1200</v>
      </c>
    </row>
    <row r="4751" spans="1:7">
      <c r="A4751" s="8">
        <v>3</v>
      </c>
      <c r="B4751" s="1" t="s">
        <v>13</v>
      </c>
      <c r="C4751" s="8" t="s">
        <v>14</v>
      </c>
      <c r="D4751" s="9" t="s">
        <v>8</v>
      </c>
      <c r="E4751" s="10" t="s">
        <v>94</v>
      </c>
      <c r="F4751" s="86">
        <f>VLOOKUP(B4751,'HSD UPAH,BAHAN,ALAT'!$C$6:F4327,4,FALSE)</f>
        <v>100000</v>
      </c>
      <c r="G4751" s="87">
        <f t="shared" si="598"/>
        <v>330</v>
      </c>
    </row>
    <row r="4752" spans="1:7">
      <c r="A4752" s="261" t="s">
        <v>420</v>
      </c>
      <c r="B4752" s="261"/>
      <c r="C4752" s="261"/>
      <c r="D4752" s="261"/>
      <c r="E4752" s="261"/>
      <c r="F4752" s="261"/>
      <c r="G4752" s="85">
        <f>SUM(G4748:G4751)</f>
        <v>6530</v>
      </c>
    </row>
    <row r="4753" spans="1:7">
      <c r="A4753" s="8" t="s">
        <v>16</v>
      </c>
      <c r="B4753" s="1" t="s">
        <v>17</v>
      </c>
      <c r="C4753" s="8"/>
      <c r="D4753" s="9"/>
      <c r="E4753" s="19"/>
      <c r="F4753" s="2"/>
      <c r="G4753" s="2"/>
    </row>
    <row r="4754" spans="1:7">
      <c r="A4754" s="8">
        <v>1</v>
      </c>
      <c r="B4754" s="1" t="s">
        <v>376</v>
      </c>
      <c r="C4754" s="8"/>
      <c r="D4754" s="9" t="s">
        <v>86</v>
      </c>
      <c r="E4754" s="10">
        <v>12</v>
      </c>
      <c r="F4754" s="86">
        <f>VLOOKUP(B4754,'HSD UPAH,BAHAN,ALAT'!$C$6:F4330,4,FALSE)</f>
        <v>10000</v>
      </c>
      <c r="G4754" s="87">
        <f t="shared" ref="G4754:G4755" si="599">E4754*F4754</f>
        <v>120000</v>
      </c>
    </row>
    <row r="4755" spans="1:7">
      <c r="A4755" s="8">
        <v>2</v>
      </c>
      <c r="B4755" s="1" t="s">
        <v>18</v>
      </c>
      <c r="C4755" s="8"/>
      <c r="D4755" s="9" t="s">
        <v>19</v>
      </c>
      <c r="E4755" s="10">
        <v>5.0000000000000001E-3</v>
      </c>
      <c r="F4755" s="86">
        <f>VLOOKUP(B4755,'HSD UPAH,BAHAN,ALAT'!$C$6:F4331,4,FALSE)</f>
        <v>10000</v>
      </c>
      <c r="G4755" s="87">
        <f t="shared" si="599"/>
        <v>50</v>
      </c>
    </row>
    <row r="4756" spans="1:7">
      <c r="A4756" s="8">
        <v>3</v>
      </c>
      <c r="B4756" s="1" t="s">
        <v>26</v>
      </c>
      <c r="C4756" s="8"/>
      <c r="D4756" s="9"/>
      <c r="E4756" s="19"/>
      <c r="F4756" s="2"/>
      <c r="G4756" s="2"/>
    </row>
    <row r="4757" spans="1:7">
      <c r="A4757" s="8" t="s">
        <v>22</v>
      </c>
      <c r="B4757" s="1" t="s">
        <v>27</v>
      </c>
      <c r="C4757" s="8"/>
      <c r="D4757" s="9" t="s">
        <v>28</v>
      </c>
      <c r="E4757" s="10" t="s">
        <v>64</v>
      </c>
      <c r="F4757" s="86">
        <f>VLOOKUP(B4757,'HSD UPAH,BAHAN,ALAT'!$C$6:F4333,4,FALSE)</f>
        <v>10000</v>
      </c>
      <c r="G4757" s="87">
        <f t="shared" ref="G4757:G4759" si="600">E4757*F4757</f>
        <v>200</v>
      </c>
    </row>
    <row r="4758" spans="1:7">
      <c r="A4758" s="8" t="s">
        <v>30</v>
      </c>
      <c r="B4758" s="1" t="s">
        <v>31</v>
      </c>
      <c r="C4758" s="8"/>
      <c r="D4758" s="9" t="s">
        <v>28</v>
      </c>
      <c r="E4758" s="10" t="s">
        <v>20</v>
      </c>
      <c r="F4758" s="86">
        <f>VLOOKUP(B4758,'HSD UPAH,BAHAN,ALAT'!$C$6:F4334,4,FALSE)</f>
        <v>10000</v>
      </c>
      <c r="G4758" s="87">
        <f t="shared" si="600"/>
        <v>50</v>
      </c>
    </row>
    <row r="4759" spans="1:7">
      <c r="A4759" s="8" t="s">
        <v>33</v>
      </c>
      <c r="B4759" s="1" t="s">
        <v>34</v>
      </c>
      <c r="C4759" s="8"/>
      <c r="D4759" s="9" t="s">
        <v>28</v>
      </c>
      <c r="E4759" s="10" t="s">
        <v>95</v>
      </c>
      <c r="F4759" s="86">
        <f>VLOOKUP(B4759,'HSD UPAH,BAHAN,ALAT'!$C$6:F4335,4,FALSE)</f>
        <v>10000</v>
      </c>
      <c r="G4759" s="87">
        <f t="shared" si="600"/>
        <v>10</v>
      </c>
    </row>
    <row r="4760" spans="1:7">
      <c r="A4760" s="261" t="s">
        <v>421</v>
      </c>
      <c r="B4760" s="261"/>
      <c r="C4760" s="261"/>
      <c r="D4760" s="261"/>
      <c r="E4760" s="261"/>
      <c r="F4760" s="261"/>
      <c r="G4760" s="85">
        <f>SUM(G4754:G4759)</f>
        <v>120310</v>
      </c>
    </row>
    <row r="4761" spans="1:7">
      <c r="A4761" s="8" t="s">
        <v>36</v>
      </c>
      <c r="B4761" s="1" t="s">
        <v>37</v>
      </c>
      <c r="C4761" s="8"/>
      <c r="D4761" s="9"/>
      <c r="E4761" s="19"/>
      <c r="F4761" s="2"/>
      <c r="G4761" s="2"/>
    </row>
    <row r="4762" spans="1:7">
      <c r="A4762" s="263" t="s">
        <v>419</v>
      </c>
      <c r="B4762" s="263"/>
      <c r="C4762" s="263"/>
      <c r="D4762" s="263"/>
      <c r="E4762" s="263"/>
      <c r="F4762" s="263"/>
      <c r="G4762" s="80">
        <f>SUM(G4761)</f>
        <v>0</v>
      </c>
    </row>
    <row r="4763" spans="1:7">
      <c r="A4763" s="81" t="s">
        <v>38</v>
      </c>
      <c r="B4763" s="262" t="s">
        <v>39</v>
      </c>
      <c r="C4763" s="262"/>
      <c r="D4763" s="262"/>
      <c r="E4763" s="262"/>
      <c r="F4763" s="262"/>
      <c r="G4763" s="118">
        <f>SUM(G4749:G4762)/2</f>
        <v>126840</v>
      </c>
    </row>
    <row r="4764" spans="1:7">
      <c r="A4764" s="81" t="s">
        <v>40</v>
      </c>
      <c r="B4764" s="262" t="s">
        <v>180</v>
      </c>
      <c r="C4764" s="262"/>
      <c r="D4764" s="262"/>
      <c r="E4764" s="262"/>
      <c r="F4764" s="82">
        <v>0.1</v>
      </c>
      <c r="G4764" s="80">
        <f>G4763*F4764</f>
        <v>12684</v>
      </c>
    </row>
    <row r="4765" spans="1:7">
      <c r="A4765" s="81" t="s">
        <v>41</v>
      </c>
      <c r="B4765" s="262" t="s">
        <v>42</v>
      </c>
      <c r="C4765" s="262"/>
      <c r="D4765" s="262"/>
      <c r="E4765" s="262"/>
      <c r="F4765" s="262"/>
      <c r="G4765" s="80">
        <f>G4763+G4764</f>
        <v>139524</v>
      </c>
    </row>
    <row r="4766" spans="1:7">
      <c r="A4766" s="90"/>
      <c r="B4766" s="91"/>
      <c r="C4766" s="91"/>
      <c r="D4766" s="91"/>
      <c r="E4766" s="91"/>
      <c r="F4766" s="91"/>
      <c r="G4766" s="92"/>
    </row>
    <row r="4767" spans="1:7">
      <c r="A4767" s="4" t="s">
        <v>637</v>
      </c>
      <c r="B4767" s="91"/>
      <c r="C4767" s="91"/>
      <c r="D4767" s="91"/>
      <c r="E4767" s="91"/>
      <c r="F4767" s="91"/>
      <c r="G4767" s="92"/>
    </row>
    <row r="4768" spans="1:7" ht="30">
      <c r="A4768" s="79" t="s">
        <v>0</v>
      </c>
      <c r="B4768" s="79" t="s">
        <v>1</v>
      </c>
      <c r="C4768" s="79" t="s">
        <v>207</v>
      </c>
      <c r="D4768" s="79" t="s">
        <v>3</v>
      </c>
      <c r="E4768" s="79" t="s">
        <v>2</v>
      </c>
      <c r="F4768" s="79" t="s">
        <v>417</v>
      </c>
      <c r="G4768" s="79" t="s">
        <v>418</v>
      </c>
    </row>
    <row r="4769" spans="1:7">
      <c r="A4769" s="8" t="s">
        <v>4</v>
      </c>
      <c r="B4769" s="1" t="s">
        <v>5</v>
      </c>
      <c r="C4769" s="8"/>
      <c r="D4769" s="9"/>
      <c r="E4769" s="19"/>
      <c r="F4769" s="2"/>
      <c r="G4769" s="2"/>
    </row>
    <row r="4770" spans="1:7">
      <c r="A4770" s="8">
        <v>1</v>
      </c>
      <c r="B4770" s="1" t="s">
        <v>6</v>
      </c>
      <c r="C4770" s="8" t="s">
        <v>7</v>
      </c>
      <c r="D4770" s="9" t="s">
        <v>8</v>
      </c>
      <c r="E4770" s="10" t="s">
        <v>92</v>
      </c>
      <c r="F4770" s="86">
        <f>VLOOKUP(B4770,'HSD UPAH,BAHAN,ALAT'!$C$6:F4344,4,FALSE)</f>
        <v>100000</v>
      </c>
      <c r="G4770" s="87">
        <f t="shared" ref="G4770:G4772" si="601">E4770*F4770</f>
        <v>5000</v>
      </c>
    </row>
    <row r="4771" spans="1:7">
      <c r="A4771" s="8">
        <v>2</v>
      </c>
      <c r="B4771" s="1" t="s">
        <v>10</v>
      </c>
      <c r="C4771" s="8" t="s">
        <v>11</v>
      </c>
      <c r="D4771" s="9" t="s">
        <v>8</v>
      </c>
      <c r="E4771" s="10" t="s">
        <v>93</v>
      </c>
      <c r="F4771" s="86">
        <f>VLOOKUP(B4771,'HSD UPAH,BAHAN,ALAT'!$C$6:F4345,4,FALSE)</f>
        <v>120000</v>
      </c>
      <c r="G4771" s="87">
        <f t="shared" si="601"/>
        <v>1200</v>
      </c>
    </row>
    <row r="4772" spans="1:7">
      <c r="A4772" s="8">
        <v>3</v>
      </c>
      <c r="B4772" s="1" t="s">
        <v>13</v>
      </c>
      <c r="C4772" s="8" t="s">
        <v>14</v>
      </c>
      <c r="D4772" s="9" t="s">
        <v>8</v>
      </c>
      <c r="E4772" s="10" t="s">
        <v>94</v>
      </c>
      <c r="F4772" s="86">
        <f>VLOOKUP(B4772,'HSD UPAH,BAHAN,ALAT'!$C$6:F4346,4,FALSE)</f>
        <v>100000</v>
      </c>
      <c r="G4772" s="87">
        <f t="shared" si="601"/>
        <v>330</v>
      </c>
    </row>
    <row r="4773" spans="1:7">
      <c r="A4773" s="261" t="s">
        <v>420</v>
      </c>
      <c r="B4773" s="261"/>
      <c r="C4773" s="261"/>
      <c r="D4773" s="261"/>
      <c r="E4773" s="261"/>
      <c r="F4773" s="261"/>
      <c r="G4773" s="85">
        <f>SUM(G4769:G4772)</f>
        <v>6530</v>
      </c>
    </row>
    <row r="4774" spans="1:7">
      <c r="A4774" s="8" t="s">
        <v>16</v>
      </c>
      <c r="B4774" s="1" t="s">
        <v>17</v>
      </c>
      <c r="C4774" s="8"/>
      <c r="D4774" s="9"/>
      <c r="E4774" s="19"/>
      <c r="F4774" s="2"/>
      <c r="G4774" s="2"/>
    </row>
    <row r="4775" spans="1:7" ht="30">
      <c r="A4775" s="17" t="s">
        <v>208</v>
      </c>
      <c r="B4775" s="5" t="s">
        <v>377</v>
      </c>
      <c r="C4775" s="17"/>
      <c r="D4775" s="12" t="s">
        <v>86</v>
      </c>
      <c r="E4775" s="7">
        <v>12</v>
      </c>
      <c r="F4775" s="86">
        <f>VLOOKUP(B4775,'HSD UPAH,BAHAN,ALAT'!$C$6:F4349,4,FALSE)</f>
        <v>10000</v>
      </c>
      <c r="G4775" s="87">
        <f t="shared" ref="G4775:G4776" si="602">E4775*F4775</f>
        <v>120000</v>
      </c>
    </row>
    <row r="4776" spans="1:7">
      <c r="A4776" s="8">
        <v>2</v>
      </c>
      <c r="B4776" s="1" t="s">
        <v>18</v>
      </c>
      <c r="C4776" s="8"/>
      <c r="D4776" s="9" t="s">
        <v>19</v>
      </c>
      <c r="E4776" s="10">
        <v>5.0000000000000001E-3</v>
      </c>
      <c r="F4776" s="86">
        <f>VLOOKUP(B4776,'HSD UPAH,BAHAN,ALAT'!$C$6:F4350,4,FALSE)</f>
        <v>10000</v>
      </c>
      <c r="G4776" s="87">
        <f t="shared" si="602"/>
        <v>50</v>
      </c>
    </row>
    <row r="4777" spans="1:7">
      <c r="A4777" s="8">
        <v>3</v>
      </c>
      <c r="B4777" s="1" t="s">
        <v>26</v>
      </c>
      <c r="C4777" s="8"/>
      <c r="D4777" s="9"/>
      <c r="E4777" s="19"/>
      <c r="F4777" s="2"/>
      <c r="G4777" s="2"/>
    </row>
    <row r="4778" spans="1:7">
      <c r="A4778" s="8" t="s">
        <v>22</v>
      </c>
      <c r="B4778" s="1" t="s">
        <v>27</v>
      </c>
      <c r="C4778" s="8"/>
      <c r="D4778" s="9" t="s">
        <v>28</v>
      </c>
      <c r="E4778" s="10" t="s">
        <v>64</v>
      </c>
      <c r="F4778" s="86">
        <f>VLOOKUP(B4778,'HSD UPAH,BAHAN,ALAT'!$C$6:F4352,4,FALSE)</f>
        <v>10000</v>
      </c>
      <c r="G4778" s="87">
        <f t="shared" ref="G4778:G4780" si="603">E4778*F4778</f>
        <v>200</v>
      </c>
    </row>
    <row r="4779" spans="1:7">
      <c r="A4779" s="8" t="s">
        <v>30</v>
      </c>
      <c r="B4779" s="1" t="s">
        <v>31</v>
      </c>
      <c r="C4779" s="8"/>
      <c r="D4779" s="9" t="s">
        <v>28</v>
      </c>
      <c r="E4779" s="10" t="s">
        <v>20</v>
      </c>
      <c r="F4779" s="86">
        <f>VLOOKUP(B4779,'HSD UPAH,BAHAN,ALAT'!$C$6:F4353,4,FALSE)</f>
        <v>10000</v>
      </c>
      <c r="G4779" s="87">
        <f t="shared" si="603"/>
        <v>50</v>
      </c>
    </row>
    <row r="4780" spans="1:7">
      <c r="A4780" s="8" t="s">
        <v>33</v>
      </c>
      <c r="B4780" s="1" t="s">
        <v>34</v>
      </c>
      <c r="C4780" s="8"/>
      <c r="D4780" s="9" t="s">
        <v>28</v>
      </c>
      <c r="E4780" s="10" t="s">
        <v>95</v>
      </c>
      <c r="F4780" s="86">
        <f>VLOOKUP(B4780,'HSD UPAH,BAHAN,ALAT'!$C$6:F4354,4,FALSE)</f>
        <v>10000</v>
      </c>
      <c r="G4780" s="87">
        <f t="shared" si="603"/>
        <v>10</v>
      </c>
    </row>
    <row r="4781" spans="1:7">
      <c r="A4781" s="261" t="s">
        <v>421</v>
      </c>
      <c r="B4781" s="261"/>
      <c r="C4781" s="261"/>
      <c r="D4781" s="261"/>
      <c r="E4781" s="261"/>
      <c r="F4781" s="261"/>
      <c r="G4781" s="85">
        <f>SUM(G4775:G4780)</f>
        <v>120310</v>
      </c>
    </row>
    <row r="4782" spans="1:7">
      <c r="A4782" s="8" t="s">
        <v>36</v>
      </c>
      <c r="B4782" s="1" t="s">
        <v>37</v>
      </c>
      <c r="C4782" s="8"/>
      <c r="D4782" s="9"/>
      <c r="E4782" s="19"/>
      <c r="F4782" s="2"/>
      <c r="G4782" s="2"/>
    </row>
    <row r="4783" spans="1:7">
      <c r="A4783" s="263" t="s">
        <v>419</v>
      </c>
      <c r="B4783" s="263"/>
      <c r="C4783" s="263"/>
      <c r="D4783" s="263"/>
      <c r="E4783" s="263"/>
      <c r="F4783" s="263"/>
      <c r="G4783" s="80">
        <f>SUM(G4782)</f>
        <v>0</v>
      </c>
    </row>
    <row r="4784" spans="1:7">
      <c r="A4784" s="81" t="s">
        <v>38</v>
      </c>
      <c r="B4784" s="262" t="s">
        <v>39</v>
      </c>
      <c r="C4784" s="262"/>
      <c r="D4784" s="262"/>
      <c r="E4784" s="262"/>
      <c r="F4784" s="262"/>
      <c r="G4784" s="118">
        <f>SUM(G4770:G4783)/2</f>
        <v>126840</v>
      </c>
    </row>
    <row r="4785" spans="1:7">
      <c r="A4785" s="81" t="s">
        <v>40</v>
      </c>
      <c r="B4785" s="262" t="s">
        <v>180</v>
      </c>
      <c r="C4785" s="262"/>
      <c r="D4785" s="262"/>
      <c r="E4785" s="262"/>
      <c r="F4785" s="82">
        <v>0.1</v>
      </c>
      <c r="G4785" s="80">
        <f>G4784*F4785</f>
        <v>12684</v>
      </c>
    </row>
    <row r="4786" spans="1:7">
      <c r="A4786" s="81" t="s">
        <v>41</v>
      </c>
      <c r="B4786" s="262" t="s">
        <v>42</v>
      </c>
      <c r="C4786" s="262"/>
      <c r="D4786" s="262"/>
      <c r="E4786" s="262"/>
      <c r="F4786" s="262"/>
      <c r="G4786" s="80">
        <f>G4784+G4785</f>
        <v>139524</v>
      </c>
    </row>
    <row r="4787" spans="1:7">
      <c r="A4787" s="90"/>
      <c r="B4787" s="91"/>
      <c r="C4787" s="91"/>
      <c r="D4787" s="91"/>
      <c r="E4787" s="91"/>
      <c r="F4787" s="91"/>
      <c r="G4787" s="92"/>
    </row>
    <row r="4788" spans="1:7">
      <c r="A4788" s="4" t="s">
        <v>638</v>
      </c>
      <c r="B4788" s="91"/>
      <c r="C4788" s="91"/>
      <c r="D4788" s="91"/>
      <c r="E4788" s="91"/>
      <c r="F4788" s="91"/>
      <c r="G4788" s="92"/>
    </row>
    <row r="4789" spans="1:7" ht="30">
      <c r="A4789" s="79" t="s">
        <v>0</v>
      </c>
      <c r="B4789" s="79" t="s">
        <v>1</v>
      </c>
      <c r="C4789" s="79" t="s">
        <v>207</v>
      </c>
      <c r="D4789" s="79" t="s">
        <v>3</v>
      </c>
      <c r="E4789" s="79" t="s">
        <v>2</v>
      </c>
      <c r="F4789" s="79" t="s">
        <v>417</v>
      </c>
      <c r="G4789" s="79" t="s">
        <v>418</v>
      </c>
    </row>
    <row r="4790" spans="1:7">
      <c r="A4790" s="8" t="s">
        <v>4</v>
      </c>
      <c r="B4790" s="1" t="s">
        <v>5</v>
      </c>
      <c r="C4790" s="8"/>
      <c r="D4790" s="9"/>
      <c r="E4790" s="19"/>
      <c r="F4790" s="2"/>
      <c r="G4790" s="2"/>
    </row>
    <row r="4791" spans="1:7">
      <c r="A4791" s="8">
        <v>1</v>
      </c>
      <c r="B4791" s="1" t="s">
        <v>6</v>
      </c>
      <c r="C4791" s="8" t="s">
        <v>7</v>
      </c>
      <c r="D4791" s="9" t="s">
        <v>8</v>
      </c>
      <c r="E4791" s="10" t="s">
        <v>92</v>
      </c>
      <c r="F4791" s="86">
        <f>VLOOKUP(B4791,'HSD UPAH,BAHAN,ALAT'!$C$6:F4363,4,FALSE)</f>
        <v>100000</v>
      </c>
      <c r="G4791" s="87">
        <f t="shared" ref="G4791:G4793" si="604">E4791*F4791</f>
        <v>5000</v>
      </c>
    </row>
    <row r="4792" spans="1:7">
      <c r="A4792" s="8">
        <v>2</v>
      </c>
      <c r="B4792" s="1" t="s">
        <v>10</v>
      </c>
      <c r="C4792" s="8" t="s">
        <v>11</v>
      </c>
      <c r="D4792" s="9" t="s">
        <v>8</v>
      </c>
      <c r="E4792" s="10" t="s">
        <v>93</v>
      </c>
      <c r="F4792" s="86">
        <f>VLOOKUP(B4792,'HSD UPAH,BAHAN,ALAT'!$C$6:F4364,4,FALSE)</f>
        <v>120000</v>
      </c>
      <c r="G4792" s="87">
        <f t="shared" si="604"/>
        <v>1200</v>
      </c>
    </row>
    <row r="4793" spans="1:7">
      <c r="A4793" s="8">
        <v>3</v>
      </c>
      <c r="B4793" s="1" t="s">
        <v>13</v>
      </c>
      <c r="C4793" s="8" t="s">
        <v>14</v>
      </c>
      <c r="D4793" s="9" t="s">
        <v>8</v>
      </c>
      <c r="E4793" s="10" t="s">
        <v>94</v>
      </c>
      <c r="F4793" s="86">
        <f>VLOOKUP(B4793,'HSD UPAH,BAHAN,ALAT'!$C$6:F4365,4,FALSE)</f>
        <v>100000</v>
      </c>
      <c r="G4793" s="87">
        <f t="shared" si="604"/>
        <v>330</v>
      </c>
    </row>
    <row r="4794" spans="1:7">
      <c r="A4794" s="261" t="s">
        <v>420</v>
      </c>
      <c r="B4794" s="261"/>
      <c r="C4794" s="261"/>
      <c r="D4794" s="261"/>
      <c r="E4794" s="261"/>
      <c r="F4794" s="261"/>
      <c r="G4794" s="85">
        <f>SUM(G4790:G4793)</f>
        <v>6530</v>
      </c>
    </row>
    <row r="4795" spans="1:7">
      <c r="A4795" s="8" t="s">
        <v>16</v>
      </c>
      <c r="B4795" s="1" t="s">
        <v>17</v>
      </c>
      <c r="C4795" s="8"/>
      <c r="D4795" s="9"/>
      <c r="E4795" s="19"/>
      <c r="F4795" s="2"/>
      <c r="G4795" s="2"/>
    </row>
    <row r="4796" spans="1:7" ht="45">
      <c r="A4796" s="17" t="s">
        <v>208</v>
      </c>
      <c r="B4796" s="5" t="s">
        <v>378</v>
      </c>
      <c r="C4796" s="17"/>
      <c r="D4796" s="12" t="s">
        <v>86</v>
      </c>
      <c r="E4796" s="7">
        <v>12</v>
      </c>
      <c r="F4796" s="86">
        <f>VLOOKUP(B4796,'HSD UPAH,BAHAN,ALAT'!$C$6:F4368,4,FALSE)</f>
        <v>10000</v>
      </c>
      <c r="G4796" s="87">
        <f t="shared" ref="G4796:G4797" si="605">E4796*F4796</f>
        <v>120000</v>
      </c>
    </row>
    <row r="4797" spans="1:7">
      <c r="A4797" s="8">
        <v>2</v>
      </c>
      <c r="B4797" s="1" t="s">
        <v>18</v>
      </c>
      <c r="C4797" s="8"/>
      <c r="D4797" s="9" t="s">
        <v>19</v>
      </c>
      <c r="E4797" s="10">
        <v>5.0000000000000001E-3</v>
      </c>
      <c r="F4797" s="86">
        <f>VLOOKUP(B4797,'HSD UPAH,BAHAN,ALAT'!$C$6:F4369,4,FALSE)</f>
        <v>10000</v>
      </c>
      <c r="G4797" s="87">
        <f t="shared" si="605"/>
        <v>50</v>
      </c>
    </row>
    <row r="4798" spans="1:7">
      <c r="A4798" s="8">
        <v>3</v>
      </c>
      <c r="B4798" s="1" t="s">
        <v>26</v>
      </c>
      <c r="C4798" s="8"/>
      <c r="D4798" s="9"/>
      <c r="E4798" s="19"/>
      <c r="F4798" s="2"/>
      <c r="G4798" s="2"/>
    </row>
    <row r="4799" spans="1:7">
      <c r="A4799" s="8" t="s">
        <v>22</v>
      </c>
      <c r="B4799" s="1" t="s">
        <v>27</v>
      </c>
      <c r="C4799" s="8"/>
      <c r="D4799" s="9" t="s">
        <v>28</v>
      </c>
      <c r="E4799" s="10" t="s">
        <v>64</v>
      </c>
      <c r="F4799" s="86">
        <f>VLOOKUP(B4799,'HSD UPAH,BAHAN,ALAT'!$C$6:F4371,4,FALSE)</f>
        <v>10000</v>
      </c>
      <c r="G4799" s="87">
        <f t="shared" ref="G4799:G4801" si="606">E4799*F4799</f>
        <v>200</v>
      </c>
    </row>
    <row r="4800" spans="1:7">
      <c r="A4800" s="8" t="s">
        <v>30</v>
      </c>
      <c r="B4800" s="1" t="s">
        <v>31</v>
      </c>
      <c r="C4800" s="8"/>
      <c r="D4800" s="9" t="s">
        <v>28</v>
      </c>
      <c r="E4800" s="10" t="s">
        <v>20</v>
      </c>
      <c r="F4800" s="86">
        <f>VLOOKUP(B4800,'HSD UPAH,BAHAN,ALAT'!$C$6:F4372,4,FALSE)</f>
        <v>10000</v>
      </c>
      <c r="G4800" s="87">
        <f t="shared" si="606"/>
        <v>50</v>
      </c>
    </row>
    <row r="4801" spans="1:7">
      <c r="A4801" s="8" t="s">
        <v>33</v>
      </c>
      <c r="B4801" s="1" t="s">
        <v>34</v>
      </c>
      <c r="C4801" s="8"/>
      <c r="D4801" s="9" t="s">
        <v>28</v>
      </c>
      <c r="E4801" s="10" t="s">
        <v>95</v>
      </c>
      <c r="F4801" s="86">
        <f>VLOOKUP(B4801,'HSD UPAH,BAHAN,ALAT'!$C$6:F4373,4,FALSE)</f>
        <v>10000</v>
      </c>
      <c r="G4801" s="87">
        <f t="shared" si="606"/>
        <v>10</v>
      </c>
    </row>
    <row r="4802" spans="1:7">
      <c r="A4802" s="261" t="s">
        <v>421</v>
      </c>
      <c r="B4802" s="261"/>
      <c r="C4802" s="261"/>
      <c r="D4802" s="261"/>
      <c r="E4802" s="261"/>
      <c r="F4802" s="261"/>
      <c r="G4802" s="85">
        <f>SUM(G4796:G4801)</f>
        <v>120310</v>
      </c>
    </row>
    <row r="4803" spans="1:7">
      <c r="A4803" s="8" t="s">
        <v>36</v>
      </c>
      <c r="B4803" s="1" t="s">
        <v>37</v>
      </c>
      <c r="C4803" s="8"/>
      <c r="D4803" s="9"/>
      <c r="E4803" s="19"/>
      <c r="F4803" s="2"/>
      <c r="G4803" s="2"/>
    </row>
    <row r="4804" spans="1:7">
      <c r="A4804" s="263" t="s">
        <v>419</v>
      </c>
      <c r="B4804" s="263"/>
      <c r="C4804" s="263"/>
      <c r="D4804" s="263"/>
      <c r="E4804" s="263"/>
      <c r="F4804" s="263"/>
      <c r="G4804" s="80">
        <f>SUM(G4803)</f>
        <v>0</v>
      </c>
    </row>
    <row r="4805" spans="1:7">
      <c r="A4805" s="81" t="s">
        <v>38</v>
      </c>
      <c r="B4805" s="262" t="s">
        <v>39</v>
      </c>
      <c r="C4805" s="262"/>
      <c r="D4805" s="262"/>
      <c r="E4805" s="262"/>
      <c r="F4805" s="262"/>
      <c r="G4805" s="118">
        <f>SUM(G4791:G4804)/2</f>
        <v>126840</v>
      </c>
    </row>
    <row r="4806" spans="1:7">
      <c r="A4806" s="81" t="s">
        <v>40</v>
      </c>
      <c r="B4806" s="262" t="s">
        <v>180</v>
      </c>
      <c r="C4806" s="262"/>
      <c r="D4806" s="262"/>
      <c r="E4806" s="262"/>
      <c r="F4806" s="82">
        <v>0.1</v>
      </c>
      <c r="G4806" s="80">
        <f>G4805*F4806</f>
        <v>12684</v>
      </c>
    </row>
    <row r="4807" spans="1:7">
      <c r="A4807" s="81" t="s">
        <v>41</v>
      </c>
      <c r="B4807" s="262" t="s">
        <v>42</v>
      </c>
      <c r="C4807" s="262"/>
      <c r="D4807" s="262"/>
      <c r="E4807" s="262"/>
      <c r="F4807" s="262"/>
      <c r="G4807" s="80">
        <f>G4805+G4806</f>
        <v>139524</v>
      </c>
    </row>
    <row r="4808" spans="1:7">
      <c r="A4808" s="90"/>
      <c r="B4808" s="91"/>
      <c r="C4808" s="91"/>
      <c r="D4808" s="91"/>
      <c r="E4808" s="91"/>
      <c r="F4808" s="91"/>
      <c r="G4808" s="92"/>
    </row>
    <row r="4809" spans="1:7" s="183" customFormat="1">
      <c r="A4809" s="187" t="s">
        <v>843</v>
      </c>
      <c r="B4809" s="211"/>
      <c r="C4809" s="211"/>
      <c r="D4809" s="211"/>
      <c r="E4809" s="211"/>
      <c r="F4809" s="211"/>
      <c r="G4809" s="212"/>
    </row>
    <row r="4810" spans="1:7" s="183" customFormat="1" ht="30">
      <c r="A4810" s="193" t="s">
        <v>0</v>
      </c>
      <c r="B4810" s="193" t="s">
        <v>1</v>
      </c>
      <c r="C4810" s="193" t="s">
        <v>207</v>
      </c>
      <c r="D4810" s="193" t="s">
        <v>3</v>
      </c>
      <c r="E4810" s="193" t="s">
        <v>2</v>
      </c>
      <c r="F4810" s="193" t="s">
        <v>417</v>
      </c>
      <c r="G4810" s="193" t="s">
        <v>418</v>
      </c>
    </row>
    <row r="4811" spans="1:7" s="183" customFormat="1">
      <c r="A4811" s="194" t="s">
        <v>4</v>
      </c>
      <c r="B4811" s="195" t="s">
        <v>5</v>
      </c>
      <c r="C4811" s="194"/>
      <c r="D4811" s="196"/>
      <c r="E4811" s="197"/>
      <c r="F4811" s="198"/>
      <c r="G4811" s="198"/>
    </row>
    <row r="4812" spans="1:7" s="183" customFormat="1">
      <c r="A4812" s="194">
        <v>1</v>
      </c>
      <c r="B4812" s="195" t="s">
        <v>6</v>
      </c>
      <c r="C4812" s="194" t="s">
        <v>7</v>
      </c>
      <c r="D4812" s="196" t="s">
        <v>8</v>
      </c>
      <c r="E4812" s="199" t="s">
        <v>92</v>
      </c>
      <c r="F4812" s="200">
        <f>VLOOKUP(B4812,'HSD UPAH,BAHAN,ALAT'!$C$6:F4384,4,FALSE)</f>
        <v>100000</v>
      </c>
      <c r="G4812" s="201">
        <f t="shared" ref="G4812:G4814" si="607">E4812*F4812</f>
        <v>5000</v>
      </c>
    </row>
    <row r="4813" spans="1:7" s="183" customFormat="1">
      <c r="A4813" s="194">
        <v>2</v>
      </c>
      <c r="B4813" s="195" t="s">
        <v>10</v>
      </c>
      <c r="C4813" s="194" t="s">
        <v>11</v>
      </c>
      <c r="D4813" s="196" t="s">
        <v>8</v>
      </c>
      <c r="E4813" s="199" t="s">
        <v>93</v>
      </c>
      <c r="F4813" s="200">
        <f>VLOOKUP(B4813,'HSD UPAH,BAHAN,ALAT'!$C$6:F4385,4,FALSE)</f>
        <v>120000</v>
      </c>
      <c r="G4813" s="201">
        <f t="shared" si="607"/>
        <v>1200</v>
      </c>
    </row>
    <row r="4814" spans="1:7" s="183" customFormat="1">
      <c r="A4814" s="194">
        <v>3</v>
      </c>
      <c r="B4814" s="195" t="s">
        <v>13</v>
      </c>
      <c r="C4814" s="194" t="s">
        <v>14</v>
      </c>
      <c r="D4814" s="196" t="s">
        <v>8</v>
      </c>
      <c r="E4814" s="199" t="s">
        <v>94</v>
      </c>
      <c r="F4814" s="200">
        <f>VLOOKUP(B4814,'HSD UPAH,BAHAN,ALAT'!$C$6:F4386,4,FALSE)</f>
        <v>100000</v>
      </c>
      <c r="G4814" s="201">
        <f t="shared" si="607"/>
        <v>330</v>
      </c>
    </row>
    <row r="4815" spans="1:7" s="183" customFormat="1">
      <c r="A4815" s="260" t="s">
        <v>420</v>
      </c>
      <c r="B4815" s="260"/>
      <c r="C4815" s="260"/>
      <c r="D4815" s="260"/>
      <c r="E4815" s="260"/>
      <c r="F4815" s="260"/>
      <c r="G4815" s="202">
        <f>SUM(G4811:G4814)</f>
        <v>6530</v>
      </c>
    </row>
    <row r="4816" spans="1:7" s="183" customFormat="1">
      <c r="A4816" s="194" t="s">
        <v>16</v>
      </c>
      <c r="B4816" s="195" t="s">
        <v>17</v>
      </c>
      <c r="C4816" s="194"/>
      <c r="D4816" s="196"/>
      <c r="E4816" s="197"/>
      <c r="F4816" s="198"/>
      <c r="G4816" s="198"/>
    </row>
    <row r="4817" spans="1:7" s="183" customFormat="1" ht="45">
      <c r="A4817" s="203" t="s">
        <v>208</v>
      </c>
      <c r="B4817" s="204" t="s">
        <v>378</v>
      </c>
      <c r="C4817" s="203"/>
      <c r="D4817" s="205" t="s">
        <v>86</v>
      </c>
      <c r="E4817" s="206">
        <v>9</v>
      </c>
      <c r="F4817" s="200">
        <f>VLOOKUP(B4817,'HSD UPAH,BAHAN,ALAT'!$C$6:F4389,4,FALSE)</f>
        <v>10000</v>
      </c>
      <c r="G4817" s="201">
        <f t="shared" ref="G4817:G4818" si="608">E4817*F4817</f>
        <v>90000</v>
      </c>
    </row>
    <row r="4818" spans="1:7" s="183" customFormat="1">
      <c r="A4818" s="194">
        <v>2</v>
      </c>
      <c r="B4818" s="195" t="s">
        <v>18</v>
      </c>
      <c r="C4818" s="194"/>
      <c r="D4818" s="196" t="s">
        <v>19</v>
      </c>
      <c r="E4818" s="199">
        <v>5.0000000000000001E-3</v>
      </c>
      <c r="F4818" s="200">
        <f>VLOOKUP(B4818,'HSD UPAH,BAHAN,ALAT'!$C$6:F4390,4,FALSE)</f>
        <v>10000</v>
      </c>
      <c r="G4818" s="201">
        <f t="shared" si="608"/>
        <v>50</v>
      </c>
    </row>
    <row r="4819" spans="1:7" s="183" customFormat="1">
      <c r="A4819" s="194">
        <v>3</v>
      </c>
      <c r="B4819" s="195" t="s">
        <v>26</v>
      </c>
      <c r="C4819" s="194"/>
      <c r="D4819" s="196"/>
      <c r="E4819" s="197"/>
      <c r="F4819" s="198"/>
      <c r="G4819" s="198"/>
    </row>
    <row r="4820" spans="1:7" s="183" customFormat="1">
      <c r="A4820" s="194" t="s">
        <v>22</v>
      </c>
      <c r="B4820" s="195" t="s">
        <v>27</v>
      </c>
      <c r="C4820" s="194"/>
      <c r="D4820" s="196" t="s">
        <v>28</v>
      </c>
      <c r="E4820" s="199" t="s">
        <v>64</v>
      </c>
      <c r="F4820" s="200">
        <f>VLOOKUP(B4820,'HSD UPAH,BAHAN,ALAT'!$C$6:F4392,4,FALSE)</f>
        <v>10000</v>
      </c>
      <c r="G4820" s="201">
        <f t="shared" ref="G4820:G4822" si="609">E4820*F4820</f>
        <v>200</v>
      </c>
    </row>
    <row r="4821" spans="1:7" s="183" customFormat="1">
      <c r="A4821" s="194" t="s">
        <v>30</v>
      </c>
      <c r="B4821" s="195" t="s">
        <v>31</v>
      </c>
      <c r="C4821" s="194"/>
      <c r="D4821" s="196" t="s">
        <v>28</v>
      </c>
      <c r="E4821" s="199" t="s">
        <v>20</v>
      </c>
      <c r="F4821" s="200">
        <f>VLOOKUP(B4821,'HSD UPAH,BAHAN,ALAT'!$C$6:F4393,4,FALSE)</f>
        <v>10000</v>
      </c>
      <c r="G4821" s="201">
        <f t="shared" si="609"/>
        <v>50</v>
      </c>
    </row>
    <row r="4822" spans="1:7" s="183" customFormat="1">
      <c r="A4822" s="194" t="s">
        <v>33</v>
      </c>
      <c r="B4822" s="195" t="s">
        <v>34</v>
      </c>
      <c r="C4822" s="194"/>
      <c r="D4822" s="196" t="s">
        <v>28</v>
      </c>
      <c r="E4822" s="199" t="s">
        <v>95</v>
      </c>
      <c r="F4822" s="200">
        <f>VLOOKUP(B4822,'HSD UPAH,BAHAN,ALAT'!$C$6:F4394,4,FALSE)</f>
        <v>10000</v>
      </c>
      <c r="G4822" s="201">
        <f t="shared" si="609"/>
        <v>10</v>
      </c>
    </row>
    <row r="4823" spans="1:7" s="183" customFormat="1">
      <c r="A4823" s="260" t="s">
        <v>421</v>
      </c>
      <c r="B4823" s="260"/>
      <c r="C4823" s="260"/>
      <c r="D4823" s="260"/>
      <c r="E4823" s="260"/>
      <c r="F4823" s="260"/>
      <c r="G4823" s="202">
        <f>SUM(G4817:G4822)</f>
        <v>90310</v>
      </c>
    </row>
    <row r="4824" spans="1:7" s="183" customFormat="1">
      <c r="A4824" s="194" t="s">
        <v>36</v>
      </c>
      <c r="B4824" s="195" t="s">
        <v>37</v>
      </c>
      <c r="C4824" s="194"/>
      <c r="D4824" s="196"/>
      <c r="E4824" s="197"/>
      <c r="F4824" s="198"/>
      <c r="G4824" s="198"/>
    </row>
    <row r="4825" spans="1:7" s="183" customFormat="1">
      <c r="A4825" s="258" t="s">
        <v>419</v>
      </c>
      <c r="B4825" s="258"/>
      <c r="C4825" s="258"/>
      <c r="D4825" s="258"/>
      <c r="E4825" s="258"/>
      <c r="F4825" s="258"/>
      <c r="G4825" s="207">
        <f>SUM(G4824)</f>
        <v>0</v>
      </c>
    </row>
    <row r="4826" spans="1:7" s="183" customFormat="1">
      <c r="A4826" s="208" t="s">
        <v>38</v>
      </c>
      <c r="B4826" s="259" t="s">
        <v>39</v>
      </c>
      <c r="C4826" s="259"/>
      <c r="D4826" s="259"/>
      <c r="E4826" s="259"/>
      <c r="F4826" s="259"/>
      <c r="G4826" s="218">
        <f>SUM(G4812:G4825)/2</f>
        <v>96840</v>
      </c>
    </row>
    <row r="4827" spans="1:7" s="183" customFormat="1">
      <c r="A4827" s="208" t="s">
        <v>40</v>
      </c>
      <c r="B4827" s="259" t="s">
        <v>180</v>
      </c>
      <c r="C4827" s="259"/>
      <c r="D4827" s="259"/>
      <c r="E4827" s="259"/>
      <c r="F4827" s="209">
        <v>0.1</v>
      </c>
      <c r="G4827" s="207">
        <f>G4826*F4827</f>
        <v>9684</v>
      </c>
    </row>
    <row r="4828" spans="1:7" s="183" customFormat="1">
      <c r="A4828" s="208" t="s">
        <v>41</v>
      </c>
      <c r="B4828" s="259" t="s">
        <v>42</v>
      </c>
      <c r="C4828" s="259"/>
      <c r="D4828" s="259"/>
      <c r="E4828" s="259"/>
      <c r="F4828" s="259"/>
      <c r="G4828" s="207">
        <f>G4826+G4827</f>
        <v>106524</v>
      </c>
    </row>
    <row r="4829" spans="1:7" s="183" customFormat="1">
      <c r="A4829" s="210"/>
      <c r="B4829" s="211"/>
      <c r="C4829" s="211"/>
      <c r="D4829" s="211"/>
      <c r="E4829" s="211"/>
      <c r="F4829" s="211"/>
      <c r="G4829" s="212"/>
    </row>
    <row r="4830" spans="1:7">
      <c r="A4830" s="4" t="s">
        <v>470</v>
      </c>
      <c r="B4830" s="91"/>
      <c r="C4830" s="91"/>
      <c r="D4830" s="91"/>
      <c r="E4830" s="91"/>
      <c r="F4830" s="91"/>
      <c r="G4830" s="92"/>
    </row>
    <row r="4831" spans="1:7">
      <c r="A4831" s="4" t="s">
        <v>844</v>
      </c>
      <c r="B4831" s="91"/>
      <c r="C4831" s="91"/>
      <c r="D4831" s="91"/>
      <c r="E4831" s="91"/>
      <c r="F4831" s="91"/>
      <c r="G4831" s="92"/>
    </row>
    <row r="4832" spans="1:7" ht="30">
      <c r="A4832" s="79" t="s">
        <v>0</v>
      </c>
      <c r="B4832" s="79" t="s">
        <v>1</v>
      </c>
      <c r="C4832" s="79" t="s">
        <v>207</v>
      </c>
      <c r="D4832" s="79" t="s">
        <v>3</v>
      </c>
      <c r="E4832" s="79" t="s">
        <v>2</v>
      </c>
      <c r="F4832" s="79" t="s">
        <v>417</v>
      </c>
      <c r="G4832" s="79" t="s">
        <v>418</v>
      </c>
    </row>
    <row r="4833" spans="1:7">
      <c r="A4833" s="8" t="s">
        <v>4</v>
      </c>
      <c r="B4833" s="1" t="s">
        <v>5</v>
      </c>
      <c r="C4833" s="8"/>
      <c r="D4833" s="9"/>
      <c r="E4833" s="19"/>
      <c r="F4833" s="2"/>
      <c r="G4833" s="2"/>
    </row>
    <row r="4834" spans="1:7">
      <c r="A4834" s="8">
        <v>1</v>
      </c>
      <c r="B4834" s="1" t="s">
        <v>6</v>
      </c>
      <c r="C4834" s="8" t="s">
        <v>7</v>
      </c>
      <c r="D4834" s="9" t="s">
        <v>8</v>
      </c>
      <c r="E4834" s="10" t="s">
        <v>50</v>
      </c>
      <c r="F4834" s="86">
        <f>VLOOKUP(B4834,'HSD UPAH,BAHAN,ALAT'!$C$6:F4382,4,FALSE)</f>
        <v>100000</v>
      </c>
      <c r="G4834" s="87">
        <f t="shared" ref="G4834:G4836" si="610">E4834*F4834</f>
        <v>4000</v>
      </c>
    </row>
    <row r="4835" spans="1:7">
      <c r="A4835" s="8">
        <v>2</v>
      </c>
      <c r="B4835" s="1" t="s">
        <v>10</v>
      </c>
      <c r="C4835" s="8" t="s">
        <v>11</v>
      </c>
      <c r="D4835" s="9" t="s">
        <v>8</v>
      </c>
      <c r="E4835" s="10" t="s">
        <v>93</v>
      </c>
      <c r="F4835" s="86">
        <f>VLOOKUP(B4835,'HSD UPAH,BAHAN,ALAT'!$C$6:F4383,4,FALSE)</f>
        <v>120000</v>
      </c>
      <c r="G4835" s="87">
        <f t="shared" si="610"/>
        <v>1200</v>
      </c>
    </row>
    <row r="4836" spans="1:7">
      <c r="A4836" s="8">
        <v>3</v>
      </c>
      <c r="B4836" s="1" t="s">
        <v>13</v>
      </c>
      <c r="C4836" s="8" t="s">
        <v>14</v>
      </c>
      <c r="D4836" s="9" t="s">
        <v>8</v>
      </c>
      <c r="E4836" s="10" t="s">
        <v>94</v>
      </c>
      <c r="F4836" s="86">
        <f>VLOOKUP(B4836,'HSD UPAH,BAHAN,ALAT'!$C$6:F4384,4,FALSE)</f>
        <v>100000</v>
      </c>
      <c r="G4836" s="87">
        <f t="shared" si="610"/>
        <v>330</v>
      </c>
    </row>
    <row r="4837" spans="1:7">
      <c r="A4837" s="261" t="s">
        <v>420</v>
      </c>
      <c r="B4837" s="261"/>
      <c r="C4837" s="261"/>
      <c r="D4837" s="261"/>
      <c r="E4837" s="261"/>
      <c r="F4837" s="261"/>
      <c r="G4837" s="85">
        <f>SUM(G4833:G4836)</f>
        <v>5530</v>
      </c>
    </row>
    <row r="4838" spans="1:7">
      <c r="A4838" s="8" t="s">
        <v>16</v>
      </c>
      <c r="B4838" s="1" t="s">
        <v>17</v>
      </c>
      <c r="C4838" s="8"/>
      <c r="D4838" s="9"/>
      <c r="E4838" s="19"/>
      <c r="F4838" s="2"/>
      <c r="G4838" s="2"/>
    </row>
    <row r="4839" spans="1:7" ht="30">
      <c r="A4839" s="17" t="s">
        <v>208</v>
      </c>
      <c r="B4839" s="5" t="s">
        <v>379</v>
      </c>
      <c r="C4839" s="8"/>
      <c r="D4839" s="12" t="s">
        <v>104</v>
      </c>
      <c r="E4839" s="7" t="s">
        <v>105</v>
      </c>
      <c r="F4839" s="86">
        <f>VLOOKUP(B4839,'HSD UPAH,BAHAN,ALAT'!$C$6:F4387,4,FALSE)</f>
        <v>10000</v>
      </c>
      <c r="G4839" s="87">
        <f t="shared" ref="G4839:G4840" si="611">E4839*F4839</f>
        <v>10000</v>
      </c>
    </row>
    <row r="4840" spans="1:7">
      <c r="A4840" s="8">
        <v>2</v>
      </c>
      <c r="B4840" s="1" t="s">
        <v>18</v>
      </c>
      <c r="C4840" s="8"/>
      <c r="D4840" s="9" t="s">
        <v>19</v>
      </c>
      <c r="E4840" s="10" t="s">
        <v>53</v>
      </c>
      <c r="F4840" s="86">
        <f>VLOOKUP(B4840,'HSD UPAH,BAHAN,ALAT'!$C$6:F4388,4,FALSE)</f>
        <v>10000</v>
      </c>
      <c r="G4840" s="87">
        <f t="shared" si="611"/>
        <v>100</v>
      </c>
    </row>
    <row r="4841" spans="1:7">
      <c r="A4841" s="8">
        <v>3</v>
      </c>
      <c r="B4841" s="1" t="s">
        <v>26</v>
      </c>
      <c r="C4841" s="8"/>
      <c r="D4841" s="9"/>
      <c r="E4841" s="19"/>
      <c r="F4841" s="2"/>
      <c r="G4841" s="2"/>
    </row>
    <row r="4842" spans="1:7">
      <c r="A4842" s="8" t="s">
        <v>22</v>
      </c>
      <c r="B4842" s="1" t="s">
        <v>27</v>
      </c>
      <c r="C4842" s="8"/>
      <c r="D4842" s="9" t="s">
        <v>28</v>
      </c>
      <c r="E4842" s="10" t="s">
        <v>98</v>
      </c>
      <c r="F4842" s="86">
        <f>VLOOKUP(B4842,'HSD UPAH,BAHAN,ALAT'!$C$6:F4390,4,FALSE)</f>
        <v>10000</v>
      </c>
      <c r="G4842" s="87">
        <f t="shared" ref="G4842:G4844" si="612">E4842*F4842</f>
        <v>5</v>
      </c>
    </row>
    <row r="4843" spans="1:7">
      <c r="A4843" s="8" t="s">
        <v>30</v>
      </c>
      <c r="B4843" s="1" t="s">
        <v>31</v>
      </c>
      <c r="C4843" s="8"/>
      <c r="D4843" s="9" t="s">
        <v>28</v>
      </c>
      <c r="E4843" s="10" t="s">
        <v>99</v>
      </c>
      <c r="F4843" s="86">
        <f>VLOOKUP(B4843,'HSD UPAH,BAHAN,ALAT'!$C$6:F4391,4,FALSE)</f>
        <v>10000</v>
      </c>
      <c r="G4843" s="87">
        <f t="shared" si="612"/>
        <v>1</v>
      </c>
    </row>
    <row r="4844" spans="1:7">
      <c r="A4844" s="8" t="s">
        <v>33</v>
      </c>
      <c r="B4844" s="1" t="s">
        <v>34</v>
      </c>
      <c r="C4844" s="8"/>
      <c r="D4844" s="9" t="s">
        <v>28</v>
      </c>
      <c r="E4844" s="10" t="s">
        <v>100</v>
      </c>
      <c r="F4844" s="86">
        <f>VLOOKUP(B4844,'HSD UPAH,BAHAN,ALAT'!$C$6:F4392,4,FALSE)</f>
        <v>10000</v>
      </c>
      <c r="G4844" s="87">
        <f t="shared" si="612"/>
        <v>0.3</v>
      </c>
    </row>
    <row r="4845" spans="1:7">
      <c r="A4845" s="261" t="s">
        <v>421</v>
      </c>
      <c r="B4845" s="261"/>
      <c r="C4845" s="261"/>
      <c r="D4845" s="261"/>
      <c r="E4845" s="261"/>
      <c r="F4845" s="261"/>
      <c r="G4845" s="85">
        <f>SUM(G4839:G4844)</f>
        <v>10106.299999999999</v>
      </c>
    </row>
    <row r="4846" spans="1:7">
      <c r="A4846" s="8" t="s">
        <v>36</v>
      </c>
      <c r="B4846" s="1" t="s">
        <v>37</v>
      </c>
      <c r="C4846" s="8"/>
      <c r="D4846" s="9"/>
      <c r="E4846" s="19"/>
      <c r="F4846" s="2"/>
      <c r="G4846" s="2"/>
    </row>
    <row r="4847" spans="1:7">
      <c r="A4847" s="263" t="s">
        <v>419</v>
      </c>
      <c r="B4847" s="263"/>
      <c r="C4847" s="263"/>
      <c r="D4847" s="263"/>
      <c r="E4847" s="263"/>
      <c r="F4847" s="263"/>
      <c r="G4847" s="80">
        <f>SUM(G4846)</f>
        <v>0</v>
      </c>
    </row>
    <row r="4848" spans="1:7">
      <c r="A4848" s="81" t="s">
        <v>38</v>
      </c>
      <c r="B4848" s="262" t="s">
        <v>39</v>
      </c>
      <c r="C4848" s="262"/>
      <c r="D4848" s="262"/>
      <c r="E4848" s="262"/>
      <c r="F4848" s="262"/>
      <c r="G4848" s="118">
        <f>SUM(G4834:G4847)/2</f>
        <v>15636.3</v>
      </c>
    </row>
    <row r="4849" spans="1:7">
      <c r="A4849" s="81" t="s">
        <v>40</v>
      </c>
      <c r="B4849" s="262" t="s">
        <v>180</v>
      </c>
      <c r="C4849" s="262"/>
      <c r="D4849" s="262"/>
      <c r="E4849" s="262"/>
      <c r="F4849" s="82">
        <v>0.1</v>
      </c>
      <c r="G4849" s="80">
        <f>G4848*F4849</f>
        <v>1563.63</v>
      </c>
    </row>
    <row r="4850" spans="1:7">
      <c r="A4850" s="81" t="s">
        <v>41</v>
      </c>
      <c r="B4850" s="262" t="s">
        <v>42</v>
      </c>
      <c r="C4850" s="262"/>
      <c r="D4850" s="262"/>
      <c r="E4850" s="262"/>
      <c r="F4850" s="262"/>
      <c r="G4850" s="80">
        <f>G4848+G4849</f>
        <v>17199.93</v>
      </c>
    </row>
    <row r="4851" spans="1:7">
      <c r="A4851" s="90"/>
      <c r="B4851" s="91"/>
      <c r="C4851" s="91"/>
      <c r="D4851" s="91"/>
      <c r="E4851" s="91"/>
      <c r="F4851" s="91"/>
      <c r="G4851" s="92"/>
    </row>
    <row r="4852" spans="1:7" s="183" customFormat="1">
      <c r="A4852" s="187" t="s">
        <v>875</v>
      </c>
      <c r="B4852" s="211"/>
      <c r="C4852" s="211"/>
      <c r="D4852" s="211"/>
      <c r="E4852" s="211"/>
      <c r="F4852" s="211"/>
      <c r="G4852" s="212"/>
    </row>
    <row r="4853" spans="1:7" s="183" customFormat="1" ht="30">
      <c r="A4853" s="193" t="s">
        <v>0</v>
      </c>
      <c r="B4853" s="193" t="s">
        <v>1</v>
      </c>
      <c r="C4853" s="193" t="s">
        <v>207</v>
      </c>
      <c r="D4853" s="193" t="s">
        <v>3</v>
      </c>
      <c r="E4853" s="193" t="s">
        <v>2</v>
      </c>
      <c r="F4853" s="193" t="s">
        <v>417</v>
      </c>
      <c r="G4853" s="193" t="s">
        <v>418</v>
      </c>
    </row>
    <row r="4854" spans="1:7" s="183" customFormat="1">
      <c r="A4854" s="194" t="s">
        <v>4</v>
      </c>
      <c r="B4854" s="195" t="s">
        <v>5</v>
      </c>
      <c r="C4854" s="194"/>
      <c r="D4854" s="196"/>
      <c r="E4854" s="197"/>
      <c r="F4854" s="198"/>
      <c r="G4854" s="198"/>
    </row>
    <row r="4855" spans="1:7" s="183" customFormat="1">
      <c r="A4855" s="194">
        <v>1</v>
      </c>
      <c r="B4855" s="195" t="s">
        <v>6</v>
      </c>
      <c r="C4855" s="194" t="s">
        <v>7</v>
      </c>
      <c r="D4855" s="196" t="s">
        <v>8</v>
      </c>
      <c r="E4855" s="199" t="s">
        <v>50</v>
      </c>
      <c r="F4855" s="200">
        <f>VLOOKUP(B4855,'HSD UPAH,BAHAN,ALAT'!$C$6:F4403,4,FALSE)</f>
        <v>100000</v>
      </c>
      <c r="G4855" s="201">
        <f t="shared" ref="G4855:G4857" si="613">E4855*F4855</f>
        <v>4000</v>
      </c>
    </row>
    <row r="4856" spans="1:7" s="183" customFormat="1">
      <c r="A4856" s="194">
        <v>2</v>
      </c>
      <c r="B4856" s="195" t="s">
        <v>10</v>
      </c>
      <c r="C4856" s="194" t="s">
        <v>11</v>
      </c>
      <c r="D4856" s="196" t="s">
        <v>8</v>
      </c>
      <c r="E4856" s="199" t="s">
        <v>93</v>
      </c>
      <c r="F4856" s="200">
        <f>VLOOKUP(B4856,'HSD UPAH,BAHAN,ALAT'!$C$6:F4404,4,FALSE)</f>
        <v>120000</v>
      </c>
      <c r="G4856" s="201">
        <f t="shared" si="613"/>
        <v>1200</v>
      </c>
    </row>
    <row r="4857" spans="1:7" s="183" customFormat="1">
      <c r="A4857" s="194">
        <v>3</v>
      </c>
      <c r="B4857" s="195" t="s">
        <v>13</v>
      </c>
      <c r="C4857" s="194" t="s">
        <v>14</v>
      </c>
      <c r="D4857" s="196" t="s">
        <v>8</v>
      </c>
      <c r="E4857" s="199" t="s">
        <v>94</v>
      </c>
      <c r="F4857" s="200">
        <f>VLOOKUP(B4857,'HSD UPAH,BAHAN,ALAT'!$C$6:F4405,4,FALSE)</f>
        <v>100000</v>
      </c>
      <c r="G4857" s="201">
        <f t="shared" si="613"/>
        <v>330</v>
      </c>
    </row>
    <row r="4858" spans="1:7" s="183" customFormat="1">
      <c r="A4858" s="260" t="s">
        <v>420</v>
      </c>
      <c r="B4858" s="260"/>
      <c r="C4858" s="260"/>
      <c r="D4858" s="260"/>
      <c r="E4858" s="260"/>
      <c r="F4858" s="260"/>
      <c r="G4858" s="202">
        <f>SUM(G4854:G4857)</f>
        <v>5530</v>
      </c>
    </row>
    <row r="4859" spans="1:7" s="183" customFormat="1">
      <c r="A4859" s="194" t="s">
        <v>16</v>
      </c>
      <c r="B4859" s="195" t="s">
        <v>17</v>
      </c>
      <c r="C4859" s="194"/>
      <c r="D4859" s="196"/>
      <c r="E4859" s="197"/>
      <c r="F4859" s="198"/>
      <c r="G4859" s="198"/>
    </row>
    <row r="4860" spans="1:7" s="183" customFormat="1" ht="30">
      <c r="A4860" s="203" t="s">
        <v>208</v>
      </c>
      <c r="B4860" s="204" t="s">
        <v>379</v>
      </c>
      <c r="C4860" s="194"/>
      <c r="D4860" s="205" t="s">
        <v>104</v>
      </c>
      <c r="E4860" s="206" t="s">
        <v>105</v>
      </c>
      <c r="F4860" s="200">
        <f>VLOOKUP(B4860,'HSD UPAH,BAHAN,ALAT'!$C$6:F4408,4,FALSE)</f>
        <v>10000</v>
      </c>
      <c r="G4860" s="201">
        <f t="shared" ref="G4860:G4861" si="614">E4860*F4860</f>
        <v>10000</v>
      </c>
    </row>
    <row r="4861" spans="1:7" s="183" customFormat="1">
      <c r="A4861" s="194">
        <v>2</v>
      </c>
      <c r="B4861" s="195" t="s">
        <v>18</v>
      </c>
      <c r="C4861" s="194"/>
      <c r="D4861" s="196" t="s">
        <v>19</v>
      </c>
      <c r="E4861" s="199" t="s">
        <v>53</v>
      </c>
      <c r="F4861" s="200">
        <f>VLOOKUP(B4861,'HSD UPAH,BAHAN,ALAT'!$C$6:F4409,4,FALSE)</f>
        <v>10000</v>
      </c>
      <c r="G4861" s="201">
        <f t="shared" si="614"/>
        <v>100</v>
      </c>
    </row>
    <row r="4862" spans="1:7" s="183" customFormat="1">
      <c r="A4862" s="194">
        <v>3</v>
      </c>
      <c r="B4862" s="195" t="s">
        <v>26</v>
      </c>
      <c r="C4862" s="194"/>
      <c r="D4862" s="196"/>
      <c r="E4862" s="197"/>
      <c r="F4862" s="198"/>
      <c r="G4862" s="198"/>
    </row>
    <row r="4863" spans="1:7" s="183" customFormat="1">
      <c r="A4863" s="194" t="s">
        <v>22</v>
      </c>
      <c r="B4863" s="195" t="s">
        <v>27</v>
      </c>
      <c r="C4863" s="194"/>
      <c r="D4863" s="196" t="s">
        <v>28</v>
      </c>
      <c r="E4863" s="199" t="s">
        <v>98</v>
      </c>
      <c r="F4863" s="200">
        <f>VLOOKUP(B4863,'HSD UPAH,BAHAN,ALAT'!$C$6:F4411,4,FALSE)</f>
        <v>10000</v>
      </c>
      <c r="G4863" s="201">
        <f t="shared" ref="G4863:G4865" si="615">E4863*F4863</f>
        <v>5</v>
      </c>
    </row>
    <row r="4864" spans="1:7" s="183" customFormat="1">
      <c r="A4864" s="194" t="s">
        <v>30</v>
      </c>
      <c r="B4864" s="195" t="s">
        <v>31</v>
      </c>
      <c r="C4864" s="194"/>
      <c r="D4864" s="196" t="s">
        <v>28</v>
      </c>
      <c r="E4864" s="199" t="s">
        <v>99</v>
      </c>
      <c r="F4864" s="200">
        <f>VLOOKUP(B4864,'HSD UPAH,BAHAN,ALAT'!$C$6:F4412,4,FALSE)</f>
        <v>10000</v>
      </c>
      <c r="G4864" s="201">
        <f t="shared" si="615"/>
        <v>1</v>
      </c>
    </row>
    <row r="4865" spans="1:7" s="183" customFormat="1">
      <c r="A4865" s="194" t="s">
        <v>33</v>
      </c>
      <c r="B4865" s="195" t="s">
        <v>34</v>
      </c>
      <c r="C4865" s="194"/>
      <c r="D4865" s="196" t="s">
        <v>28</v>
      </c>
      <c r="E4865" s="199" t="s">
        <v>100</v>
      </c>
      <c r="F4865" s="200">
        <f>VLOOKUP(B4865,'HSD UPAH,BAHAN,ALAT'!$C$6:F4413,4,FALSE)</f>
        <v>10000</v>
      </c>
      <c r="G4865" s="201">
        <f t="shared" si="615"/>
        <v>0.3</v>
      </c>
    </row>
    <row r="4866" spans="1:7" s="183" customFormat="1">
      <c r="A4866" s="260" t="s">
        <v>421</v>
      </c>
      <c r="B4866" s="260"/>
      <c r="C4866" s="260"/>
      <c r="D4866" s="260"/>
      <c r="E4866" s="260"/>
      <c r="F4866" s="260"/>
      <c r="G4866" s="202">
        <f>SUM(G4860:G4865)</f>
        <v>10106.299999999999</v>
      </c>
    </row>
    <row r="4867" spans="1:7" s="183" customFormat="1">
      <c r="A4867" s="194" t="s">
        <v>36</v>
      </c>
      <c r="B4867" s="195" t="s">
        <v>37</v>
      </c>
      <c r="C4867" s="194"/>
      <c r="D4867" s="196"/>
      <c r="E4867" s="197"/>
      <c r="F4867" s="198"/>
      <c r="G4867" s="198"/>
    </row>
    <row r="4868" spans="1:7" s="183" customFormat="1">
      <c r="A4868" s="258" t="s">
        <v>419</v>
      </c>
      <c r="B4868" s="258"/>
      <c r="C4868" s="258"/>
      <c r="D4868" s="258"/>
      <c r="E4868" s="258"/>
      <c r="F4868" s="258"/>
      <c r="G4868" s="207">
        <f>SUM(G4867)</f>
        <v>0</v>
      </c>
    </row>
    <row r="4869" spans="1:7" s="183" customFormat="1">
      <c r="A4869" s="208" t="s">
        <v>38</v>
      </c>
      <c r="B4869" s="259" t="s">
        <v>39</v>
      </c>
      <c r="C4869" s="259"/>
      <c r="D4869" s="259"/>
      <c r="E4869" s="259"/>
      <c r="F4869" s="259"/>
      <c r="G4869" s="218">
        <f>SUM(G4855:G4868)/2</f>
        <v>15636.3</v>
      </c>
    </row>
    <row r="4870" spans="1:7" s="183" customFormat="1">
      <c r="A4870" s="208" t="s">
        <v>40</v>
      </c>
      <c r="B4870" s="259" t="s">
        <v>180</v>
      </c>
      <c r="C4870" s="259"/>
      <c r="D4870" s="259"/>
      <c r="E4870" s="259"/>
      <c r="F4870" s="209">
        <v>0.1</v>
      </c>
      <c r="G4870" s="207">
        <f>G4869*F4870</f>
        <v>1563.63</v>
      </c>
    </row>
    <row r="4871" spans="1:7" s="183" customFormat="1">
      <c r="A4871" s="208" t="s">
        <v>41</v>
      </c>
      <c r="B4871" s="259" t="s">
        <v>42</v>
      </c>
      <c r="C4871" s="259"/>
      <c r="D4871" s="259"/>
      <c r="E4871" s="259"/>
      <c r="F4871" s="259"/>
      <c r="G4871" s="207">
        <f>G4869+G4870</f>
        <v>17199.93</v>
      </c>
    </row>
    <row r="4872" spans="1:7" s="183" customFormat="1">
      <c r="A4872" s="210"/>
      <c r="B4872" s="211"/>
      <c r="C4872" s="211"/>
      <c r="D4872" s="211"/>
      <c r="E4872" s="211"/>
      <c r="F4872" s="211"/>
      <c r="G4872" s="212"/>
    </row>
    <row r="4873" spans="1:7">
      <c r="A4873" s="4" t="s">
        <v>845</v>
      </c>
      <c r="B4873" s="91"/>
      <c r="C4873" s="91"/>
      <c r="D4873" s="91"/>
      <c r="E4873" s="91"/>
      <c r="F4873" s="91"/>
      <c r="G4873" s="92"/>
    </row>
    <row r="4874" spans="1:7" ht="30">
      <c r="A4874" s="79" t="s">
        <v>0</v>
      </c>
      <c r="B4874" s="79" t="s">
        <v>1</v>
      </c>
      <c r="C4874" s="79" t="s">
        <v>207</v>
      </c>
      <c r="D4874" s="79" t="s">
        <v>3</v>
      </c>
      <c r="E4874" s="79" t="s">
        <v>2</v>
      </c>
      <c r="F4874" s="79" t="s">
        <v>417</v>
      </c>
      <c r="G4874" s="79" t="s">
        <v>418</v>
      </c>
    </row>
    <row r="4875" spans="1:7">
      <c r="A4875" s="8" t="s">
        <v>4</v>
      </c>
      <c r="B4875" s="1" t="s">
        <v>5</v>
      </c>
      <c r="C4875" s="8"/>
      <c r="D4875" s="9"/>
      <c r="E4875" s="19"/>
      <c r="F4875" s="2"/>
      <c r="G4875" s="2"/>
    </row>
    <row r="4876" spans="1:7">
      <c r="A4876" s="8">
        <v>1</v>
      </c>
      <c r="B4876" s="1" t="s">
        <v>6</v>
      </c>
      <c r="C4876" s="8" t="s">
        <v>7</v>
      </c>
      <c r="D4876" s="9" t="s">
        <v>8</v>
      </c>
      <c r="E4876" s="10" t="s">
        <v>50</v>
      </c>
      <c r="F4876" s="86">
        <f>VLOOKUP(B4876,'HSD UPAH,BAHAN,ALAT'!$C$6:F4401,4,FALSE)</f>
        <v>100000</v>
      </c>
      <c r="G4876" s="87">
        <f t="shared" ref="G4876:G4878" si="616">E4876*F4876</f>
        <v>4000</v>
      </c>
    </row>
    <row r="4877" spans="1:7">
      <c r="A4877" s="8">
        <v>2</v>
      </c>
      <c r="B4877" s="1" t="s">
        <v>10</v>
      </c>
      <c r="C4877" s="8" t="s">
        <v>11</v>
      </c>
      <c r="D4877" s="9" t="s">
        <v>8</v>
      </c>
      <c r="E4877" s="10" t="s">
        <v>93</v>
      </c>
      <c r="F4877" s="86">
        <f>VLOOKUP(B4877,'HSD UPAH,BAHAN,ALAT'!$C$6:F4402,4,FALSE)</f>
        <v>120000</v>
      </c>
      <c r="G4877" s="87">
        <f t="shared" si="616"/>
        <v>1200</v>
      </c>
    </row>
    <row r="4878" spans="1:7">
      <c r="A4878" s="8">
        <v>3</v>
      </c>
      <c r="B4878" s="1" t="s">
        <v>13</v>
      </c>
      <c r="C4878" s="8" t="s">
        <v>14</v>
      </c>
      <c r="D4878" s="9" t="s">
        <v>8</v>
      </c>
      <c r="E4878" s="10" t="s">
        <v>94</v>
      </c>
      <c r="F4878" s="86">
        <f>VLOOKUP(B4878,'HSD UPAH,BAHAN,ALAT'!$C$6:F4403,4,FALSE)</f>
        <v>100000</v>
      </c>
      <c r="G4878" s="87">
        <f t="shared" si="616"/>
        <v>330</v>
      </c>
    </row>
    <row r="4879" spans="1:7">
      <c r="A4879" s="261" t="s">
        <v>420</v>
      </c>
      <c r="B4879" s="261"/>
      <c r="C4879" s="261"/>
      <c r="D4879" s="261"/>
      <c r="E4879" s="261"/>
      <c r="F4879" s="261"/>
      <c r="G4879" s="85">
        <f>SUM(G4875:G4878)</f>
        <v>5530</v>
      </c>
    </row>
    <row r="4880" spans="1:7">
      <c r="A4880" s="8" t="s">
        <v>16</v>
      </c>
      <c r="B4880" s="1" t="s">
        <v>17</v>
      </c>
      <c r="C4880" s="8"/>
      <c r="D4880" s="9"/>
      <c r="E4880" s="19"/>
      <c r="F4880" s="2"/>
      <c r="G4880" s="2"/>
    </row>
    <row r="4881" spans="1:7" ht="30">
      <c r="A4881" s="17" t="s">
        <v>208</v>
      </c>
      <c r="B4881" s="5" t="s">
        <v>380</v>
      </c>
      <c r="C4881" s="8"/>
      <c r="D4881" s="12" t="s">
        <v>104</v>
      </c>
      <c r="E4881" s="7" t="s">
        <v>105</v>
      </c>
      <c r="F4881" s="86">
        <f>VLOOKUP(B4881,'HSD UPAH,BAHAN,ALAT'!$C$6:F4406,4,FALSE)</f>
        <v>10000</v>
      </c>
      <c r="G4881" s="87">
        <f t="shared" ref="G4881:G4882" si="617">E4881*F4881</f>
        <v>10000</v>
      </c>
    </row>
    <row r="4882" spans="1:7">
      <c r="A4882" s="8">
        <v>2</v>
      </c>
      <c r="B4882" s="1" t="s">
        <v>18</v>
      </c>
      <c r="C4882" s="8"/>
      <c r="D4882" s="9" t="s">
        <v>19</v>
      </c>
      <c r="E4882" s="10" t="s">
        <v>53</v>
      </c>
      <c r="F4882" s="86">
        <f>VLOOKUP(B4882,'HSD UPAH,BAHAN,ALAT'!$C$6:F4407,4,FALSE)</f>
        <v>10000</v>
      </c>
      <c r="G4882" s="87">
        <f t="shared" si="617"/>
        <v>100</v>
      </c>
    </row>
    <row r="4883" spans="1:7">
      <c r="A4883" s="8">
        <v>3</v>
      </c>
      <c r="B4883" s="1" t="s">
        <v>26</v>
      </c>
      <c r="C4883" s="8"/>
      <c r="D4883" s="9"/>
      <c r="E4883" s="19"/>
      <c r="F4883" s="2"/>
      <c r="G4883" s="2"/>
    </row>
    <row r="4884" spans="1:7">
      <c r="A4884" s="8" t="s">
        <v>22</v>
      </c>
      <c r="B4884" s="1" t="s">
        <v>27</v>
      </c>
      <c r="C4884" s="8"/>
      <c r="D4884" s="9" t="s">
        <v>28</v>
      </c>
      <c r="E4884" s="10" t="s">
        <v>98</v>
      </c>
      <c r="F4884" s="86">
        <f>VLOOKUP(B4884,'HSD UPAH,BAHAN,ALAT'!$C$6:F4409,4,FALSE)</f>
        <v>10000</v>
      </c>
      <c r="G4884" s="87">
        <f t="shared" ref="G4884:G4886" si="618">E4884*F4884</f>
        <v>5</v>
      </c>
    </row>
    <row r="4885" spans="1:7">
      <c r="A4885" s="8" t="s">
        <v>30</v>
      </c>
      <c r="B4885" s="1" t="s">
        <v>31</v>
      </c>
      <c r="C4885" s="8"/>
      <c r="D4885" s="9" t="s">
        <v>28</v>
      </c>
      <c r="E4885" s="10" t="s">
        <v>99</v>
      </c>
      <c r="F4885" s="86">
        <f>VLOOKUP(B4885,'HSD UPAH,BAHAN,ALAT'!$C$6:F4410,4,FALSE)</f>
        <v>10000</v>
      </c>
      <c r="G4885" s="87">
        <f t="shared" si="618"/>
        <v>1</v>
      </c>
    </row>
    <row r="4886" spans="1:7">
      <c r="A4886" s="8" t="s">
        <v>33</v>
      </c>
      <c r="B4886" s="1" t="s">
        <v>34</v>
      </c>
      <c r="C4886" s="8"/>
      <c r="D4886" s="9" t="s">
        <v>28</v>
      </c>
      <c r="E4886" s="10" t="s">
        <v>100</v>
      </c>
      <c r="F4886" s="86">
        <f>VLOOKUP(B4886,'HSD UPAH,BAHAN,ALAT'!$C$6:F4411,4,FALSE)</f>
        <v>10000</v>
      </c>
      <c r="G4886" s="87">
        <f t="shared" si="618"/>
        <v>0.3</v>
      </c>
    </row>
    <row r="4887" spans="1:7">
      <c r="A4887" s="261" t="s">
        <v>421</v>
      </c>
      <c r="B4887" s="261"/>
      <c r="C4887" s="261"/>
      <c r="D4887" s="261"/>
      <c r="E4887" s="261"/>
      <c r="F4887" s="261"/>
      <c r="G4887" s="85">
        <f>SUM(G4881:G4886)</f>
        <v>10106.299999999999</v>
      </c>
    </row>
    <row r="4888" spans="1:7">
      <c r="A4888" s="8" t="s">
        <v>36</v>
      </c>
      <c r="B4888" s="1" t="s">
        <v>37</v>
      </c>
      <c r="C4888" s="8"/>
      <c r="D4888" s="9"/>
      <c r="E4888" s="19"/>
      <c r="F4888" s="2"/>
      <c r="G4888" s="2"/>
    </row>
    <row r="4889" spans="1:7">
      <c r="A4889" s="263" t="s">
        <v>419</v>
      </c>
      <c r="B4889" s="263"/>
      <c r="C4889" s="263"/>
      <c r="D4889" s="263"/>
      <c r="E4889" s="263"/>
      <c r="F4889" s="263"/>
      <c r="G4889" s="80">
        <f>SUM(G4888)</f>
        <v>0</v>
      </c>
    </row>
    <row r="4890" spans="1:7">
      <c r="A4890" s="81" t="s">
        <v>38</v>
      </c>
      <c r="B4890" s="262" t="s">
        <v>39</v>
      </c>
      <c r="C4890" s="262"/>
      <c r="D4890" s="262"/>
      <c r="E4890" s="262"/>
      <c r="F4890" s="262"/>
      <c r="G4890" s="118">
        <f>SUM(G4876:G4889)/2</f>
        <v>15636.3</v>
      </c>
    </row>
    <row r="4891" spans="1:7">
      <c r="A4891" s="81" t="s">
        <v>40</v>
      </c>
      <c r="B4891" s="262" t="s">
        <v>180</v>
      </c>
      <c r="C4891" s="262"/>
      <c r="D4891" s="262"/>
      <c r="E4891" s="262"/>
      <c r="F4891" s="82">
        <v>0.1</v>
      </c>
      <c r="G4891" s="80">
        <f>G4890*F4891</f>
        <v>1563.63</v>
      </c>
    </row>
    <row r="4892" spans="1:7">
      <c r="A4892" s="81" t="s">
        <v>41</v>
      </c>
      <c r="B4892" s="262" t="s">
        <v>42</v>
      </c>
      <c r="C4892" s="262"/>
      <c r="D4892" s="262"/>
      <c r="E4892" s="262"/>
      <c r="F4892" s="262"/>
      <c r="G4892" s="80">
        <f>G4890+G4891</f>
        <v>17199.93</v>
      </c>
    </row>
    <row r="4893" spans="1:7">
      <c r="A4893" s="90"/>
      <c r="B4893" s="91"/>
      <c r="C4893" s="91"/>
      <c r="D4893" s="91"/>
      <c r="E4893" s="91"/>
      <c r="F4893" s="91"/>
      <c r="G4893" s="92"/>
    </row>
    <row r="4894" spans="1:7">
      <c r="A4894" s="4" t="s">
        <v>846</v>
      </c>
      <c r="B4894" s="91"/>
      <c r="C4894" s="91"/>
      <c r="D4894" s="91"/>
      <c r="E4894" s="91"/>
      <c r="F4894" s="91"/>
      <c r="G4894" s="92"/>
    </row>
    <row r="4895" spans="1:7" ht="30">
      <c r="A4895" s="79" t="s">
        <v>0</v>
      </c>
      <c r="B4895" s="79" t="s">
        <v>1</v>
      </c>
      <c r="C4895" s="79" t="s">
        <v>207</v>
      </c>
      <c r="D4895" s="79" t="s">
        <v>3</v>
      </c>
      <c r="E4895" s="79" t="s">
        <v>2</v>
      </c>
      <c r="F4895" s="79" t="s">
        <v>417</v>
      </c>
      <c r="G4895" s="79" t="s">
        <v>418</v>
      </c>
    </row>
    <row r="4896" spans="1:7">
      <c r="A4896" s="8" t="s">
        <v>4</v>
      </c>
      <c r="B4896" s="1" t="s">
        <v>5</v>
      </c>
      <c r="C4896" s="8"/>
      <c r="D4896" s="9"/>
      <c r="E4896" s="19"/>
      <c r="F4896" s="2"/>
      <c r="G4896" s="2"/>
    </row>
    <row r="4897" spans="1:7">
      <c r="A4897" s="8">
        <v>1</v>
      </c>
      <c r="B4897" s="1" t="s">
        <v>6</v>
      </c>
      <c r="C4897" s="8" t="s">
        <v>7</v>
      </c>
      <c r="D4897" s="9" t="s">
        <v>8</v>
      </c>
      <c r="E4897" s="10" t="s">
        <v>50</v>
      </c>
      <c r="F4897" s="86">
        <f>VLOOKUP(B4897,'HSD UPAH,BAHAN,ALAT'!$C$6:F4420,4,FALSE)</f>
        <v>100000</v>
      </c>
      <c r="G4897" s="87">
        <f t="shared" ref="G4897:G4899" si="619">E4897*F4897</f>
        <v>4000</v>
      </c>
    </row>
    <row r="4898" spans="1:7">
      <c r="A4898" s="8">
        <v>2</v>
      </c>
      <c r="B4898" s="1" t="s">
        <v>10</v>
      </c>
      <c r="C4898" s="8" t="s">
        <v>11</v>
      </c>
      <c r="D4898" s="9" t="s">
        <v>8</v>
      </c>
      <c r="E4898" s="10" t="s">
        <v>93</v>
      </c>
      <c r="F4898" s="86">
        <f>VLOOKUP(B4898,'HSD UPAH,BAHAN,ALAT'!$C$6:F4421,4,FALSE)</f>
        <v>120000</v>
      </c>
      <c r="G4898" s="87">
        <f t="shared" si="619"/>
        <v>1200</v>
      </c>
    </row>
    <row r="4899" spans="1:7">
      <c r="A4899" s="8">
        <v>3</v>
      </c>
      <c r="B4899" s="1" t="s">
        <v>13</v>
      </c>
      <c r="C4899" s="8" t="s">
        <v>14</v>
      </c>
      <c r="D4899" s="9" t="s">
        <v>8</v>
      </c>
      <c r="E4899" s="10" t="s">
        <v>94</v>
      </c>
      <c r="F4899" s="86">
        <f>VLOOKUP(B4899,'HSD UPAH,BAHAN,ALAT'!$C$6:F4422,4,FALSE)</f>
        <v>100000</v>
      </c>
      <c r="G4899" s="87">
        <f t="shared" si="619"/>
        <v>330</v>
      </c>
    </row>
    <row r="4900" spans="1:7">
      <c r="A4900" s="261" t="s">
        <v>420</v>
      </c>
      <c r="B4900" s="261"/>
      <c r="C4900" s="261"/>
      <c r="D4900" s="261"/>
      <c r="E4900" s="261"/>
      <c r="F4900" s="261"/>
      <c r="G4900" s="85">
        <f>SUM(G4896:G4899)</f>
        <v>5530</v>
      </c>
    </row>
    <row r="4901" spans="1:7">
      <c r="A4901" s="8" t="s">
        <v>16</v>
      </c>
      <c r="B4901" s="1" t="s">
        <v>17</v>
      </c>
      <c r="C4901" s="8"/>
      <c r="D4901" s="9"/>
      <c r="E4901" s="19"/>
      <c r="F4901" s="2"/>
      <c r="G4901" s="2"/>
    </row>
    <row r="4902" spans="1:7" ht="30">
      <c r="A4902" s="17" t="s">
        <v>208</v>
      </c>
      <c r="B4902" s="5" t="s">
        <v>381</v>
      </c>
      <c r="C4902" s="8"/>
      <c r="D4902" s="12" t="s">
        <v>104</v>
      </c>
      <c r="E4902" s="7" t="s">
        <v>105</v>
      </c>
      <c r="F4902" s="86">
        <f>VLOOKUP(B4902,'HSD UPAH,BAHAN,ALAT'!$C$6:F4425,4,FALSE)</f>
        <v>10000</v>
      </c>
      <c r="G4902" s="87">
        <f t="shared" ref="G4902:G4903" si="620">E4902*F4902</f>
        <v>10000</v>
      </c>
    </row>
    <row r="4903" spans="1:7">
      <c r="A4903" s="8">
        <v>2</v>
      </c>
      <c r="B4903" s="1" t="s">
        <v>18</v>
      </c>
      <c r="C4903" s="8"/>
      <c r="D4903" s="9" t="s">
        <v>19</v>
      </c>
      <c r="E4903" s="10" t="s">
        <v>53</v>
      </c>
      <c r="F4903" s="86">
        <f>VLOOKUP(B4903,'HSD UPAH,BAHAN,ALAT'!$C$6:F4426,4,FALSE)</f>
        <v>10000</v>
      </c>
      <c r="G4903" s="87">
        <f t="shared" si="620"/>
        <v>100</v>
      </c>
    </row>
    <row r="4904" spans="1:7">
      <c r="A4904" s="8">
        <v>3</v>
      </c>
      <c r="B4904" s="1" t="s">
        <v>26</v>
      </c>
      <c r="C4904" s="8"/>
      <c r="D4904" s="9"/>
      <c r="E4904" s="19"/>
      <c r="F4904" s="2"/>
      <c r="G4904" s="2"/>
    </row>
    <row r="4905" spans="1:7">
      <c r="A4905" s="8" t="s">
        <v>22</v>
      </c>
      <c r="B4905" s="1" t="s">
        <v>27</v>
      </c>
      <c r="C4905" s="8"/>
      <c r="D4905" s="9" t="s">
        <v>28</v>
      </c>
      <c r="E4905" s="10" t="s">
        <v>98</v>
      </c>
      <c r="F4905" s="86">
        <f>VLOOKUP(B4905,'HSD UPAH,BAHAN,ALAT'!$C$6:F4428,4,FALSE)</f>
        <v>10000</v>
      </c>
      <c r="G4905" s="87">
        <f t="shared" ref="G4905:G4907" si="621">E4905*F4905</f>
        <v>5</v>
      </c>
    </row>
    <row r="4906" spans="1:7">
      <c r="A4906" s="8" t="s">
        <v>30</v>
      </c>
      <c r="B4906" s="1" t="s">
        <v>31</v>
      </c>
      <c r="C4906" s="8"/>
      <c r="D4906" s="9" t="s">
        <v>28</v>
      </c>
      <c r="E4906" s="10" t="s">
        <v>99</v>
      </c>
      <c r="F4906" s="86">
        <f>VLOOKUP(B4906,'HSD UPAH,BAHAN,ALAT'!$C$6:F4429,4,FALSE)</f>
        <v>10000</v>
      </c>
      <c r="G4906" s="87">
        <f t="shared" si="621"/>
        <v>1</v>
      </c>
    </row>
    <row r="4907" spans="1:7">
      <c r="A4907" s="8" t="s">
        <v>33</v>
      </c>
      <c r="B4907" s="1" t="s">
        <v>34</v>
      </c>
      <c r="C4907" s="8"/>
      <c r="D4907" s="9" t="s">
        <v>28</v>
      </c>
      <c r="E4907" s="10" t="s">
        <v>100</v>
      </c>
      <c r="F4907" s="86">
        <f>VLOOKUP(B4907,'HSD UPAH,BAHAN,ALAT'!$C$6:F4430,4,FALSE)</f>
        <v>10000</v>
      </c>
      <c r="G4907" s="87">
        <f t="shared" si="621"/>
        <v>0.3</v>
      </c>
    </row>
    <row r="4908" spans="1:7">
      <c r="A4908" s="261" t="s">
        <v>421</v>
      </c>
      <c r="B4908" s="261"/>
      <c r="C4908" s="261"/>
      <c r="D4908" s="261"/>
      <c r="E4908" s="261"/>
      <c r="F4908" s="261"/>
      <c r="G4908" s="85">
        <f>SUM(G4902:G4907)</f>
        <v>10106.299999999999</v>
      </c>
    </row>
    <row r="4909" spans="1:7">
      <c r="A4909" s="8" t="s">
        <v>36</v>
      </c>
      <c r="B4909" s="1" t="s">
        <v>37</v>
      </c>
      <c r="C4909" s="8"/>
      <c r="D4909" s="9"/>
      <c r="E4909" s="19"/>
      <c r="F4909" s="2"/>
      <c r="G4909" s="2"/>
    </row>
    <row r="4910" spans="1:7">
      <c r="A4910" s="263" t="s">
        <v>419</v>
      </c>
      <c r="B4910" s="263"/>
      <c r="C4910" s="263"/>
      <c r="D4910" s="263"/>
      <c r="E4910" s="263"/>
      <c r="F4910" s="263"/>
      <c r="G4910" s="80">
        <f>SUM(G4909)</f>
        <v>0</v>
      </c>
    </row>
    <row r="4911" spans="1:7">
      <c r="A4911" s="81" t="s">
        <v>38</v>
      </c>
      <c r="B4911" s="262" t="s">
        <v>39</v>
      </c>
      <c r="C4911" s="262"/>
      <c r="D4911" s="262"/>
      <c r="E4911" s="262"/>
      <c r="F4911" s="262"/>
      <c r="G4911" s="118">
        <f>SUM(G4897:G4910)/2</f>
        <v>15636.3</v>
      </c>
    </row>
    <row r="4912" spans="1:7">
      <c r="A4912" s="81" t="s">
        <v>40</v>
      </c>
      <c r="B4912" s="262" t="s">
        <v>180</v>
      </c>
      <c r="C4912" s="262"/>
      <c r="D4912" s="262"/>
      <c r="E4912" s="262"/>
      <c r="F4912" s="82">
        <v>0.1</v>
      </c>
      <c r="G4912" s="80">
        <f>G4911*F4912</f>
        <v>1563.63</v>
      </c>
    </row>
    <row r="4913" spans="1:7">
      <c r="A4913" s="81" t="s">
        <v>41</v>
      </c>
      <c r="B4913" s="262" t="s">
        <v>42</v>
      </c>
      <c r="C4913" s="262"/>
      <c r="D4913" s="262"/>
      <c r="E4913" s="262"/>
      <c r="F4913" s="262"/>
      <c r="G4913" s="80">
        <f>G4911+G4912</f>
        <v>17199.93</v>
      </c>
    </row>
    <row r="4914" spans="1:7">
      <c r="A4914" s="90"/>
      <c r="B4914" s="91"/>
      <c r="C4914" s="91"/>
      <c r="D4914" s="91"/>
      <c r="E4914" s="91"/>
      <c r="F4914" s="91"/>
      <c r="G4914" s="92"/>
    </row>
    <row r="4915" spans="1:7">
      <c r="A4915" s="4" t="s">
        <v>847</v>
      </c>
      <c r="B4915" s="91"/>
      <c r="C4915" s="91"/>
      <c r="D4915" s="91"/>
      <c r="E4915" s="91"/>
      <c r="F4915" s="91"/>
      <c r="G4915" s="92"/>
    </row>
    <row r="4916" spans="1:7" ht="30">
      <c r="A4916" s="79" t="s">
        <v>0</v>
      </c>
      <c r="B4916" s="79" t="s">
        <v>1</v>
      </c>
      <c r="C4916" s="79" t="s">
        <v>207</v>
      </c>
      <c r="D4916" s="79" t="s">
        <v>3</v>
      </c>
      <c r="E4916" s="79" t="s">
        <v>2</v>
      </c>
      <c r="F4916" s="79" t="s">
        <v>417</v>
      </c>
      <c r="G4916" s="79" t="s">
        <v>418</v>
      </c>
    </row>
    <row r="4917" spans="1:7">
      <c r="A4917" s="8" t="s">
        <v>4</v>
      </c>
      <c r="B4917" s="1" t="s">
        <v>5</v>
      </c>
      <c r="C4917" s="8"/>
      <c r="D4917" s="9"/>
      <c r="E4917" s="19"/>
      <c r="F4917" s="2"/>
      <c r="G4917" s="2"/>
    </row>
    <row r="4918" spans="1:7">
      <c r="A4918" s="8">
        <v>1</v>
      </c>
      <c r="B4918" s="1" t="s">
        <v>6</v>
      </c>
      <c r="C4918" s="8" t="s">
        <v>7</v>
      </c>
      <c r="D4918" s="9" t="s">
        <v>8</v>
      </c>
      <c r="E4918" s="10" t="s">
        <v>50</v>
      </c>
      <c r="F4918" s="86">
        <f>VLOOKUP(B4918,'HSD UPAH,BAHAN,ALAT'!$C$6:F4439,4,FALSE)</f>
        <v>100000</v>
      </c>
      <c r="G4918" s="87">
        <f t="shared" ref="G4918:G4920" si="622">E4918*F4918</f>
        <v>4000</v>
      </c>
    </row>
    <row r="4919" spans="1:7">
      <c r="A4919" s="8">
        <v>2</v>
      </c>
      <c r="B4919" s="1" t="s">
        <v>10</v>
      </c>
      <c r="C4919" s="8" t="s">
        <v>11</v>
      </c>
      <c r="D4919" s="9" t="s">
        <v>8</v>
      </c>
      <c r="E4919" s="10" t="s">
        <v>93</v>
      </c>
      <c r="F4919" s="86">
        <f>VLOOKUP(B4919,'HSD UPAH,BAHAN,ALAT'!$C$6:F4440,4,FALSE)</f>
        <v>120000</v>
      </c>
      <c r="G4919" s="87">
        <f t="shared" si="622"/>
        <v>1200</v>
      </c>
    </row>
    <row r="4920" spans="1:7">
      <c r="A4920" s="8">
        <v>3</v>
      </c>
      <c r="B4920" s="1" t="s">
        <v>13</v>
      </c>
      <c r="C4920" s="8" t="s">
        <v>14</v>
      </c>
      <c r="D4920" s="9" t="s">
        <v>8</v>
      </c>
      <c r="E4920" s="10" t="s">
        <v>94</v>
      </c>
      <c r="F4920" s="86">
        <f>VLOOKUP(B4920,'HSD UPAH,BAHAN,ALAT'!$C$6:F4441,4,FALSE)</f>
        <v>100000</v>
      </c>
      <c r="G4920" s="87">
        <f t="shared" si="622"/>
        <v>330</v>
      </c>
    </row>
    <row r="4921" spans="1:7">
      <c r="A4921" s="261" t="s">
        <v>420</v>
      </c>
      <c r="B4921" s="261"/>
      <c r="C4921" s="261"/>
      <c r="D4921" s="261"/>
      <c r="E4921" s="261"/>
      <c r="F4921" s="261"/>
      <c r="G4921" s="85">
        <f>SUM(G4917:G4920)</f>
        <v>5530</v>
      </c>
    </row>
    <row r="4922" spans="1:7">
      <c r="A4922" s="8" t="s">
        <v>16</v>
      </c>
      <c r="B4922" s="1" t="s">
        <v>17</v>
      </c>
      <c r="C4922" s="8"/>
      <c r="D4922" s="9"/>
      <c r="E4922" s="19"/>
      <c r="F4922" s="2"/>
      <c r="G4922" s="2"/>
    </row>
    <row r="4923" spans="1:7" ht="30">
      <c r="A4923" s="17" t="s">
        <v>208</v>
      </c>
      <c r="B4923" s="5" t="s">
        <v>382</v>
      </c>
      <c r="C4923" s="8"/>
      <c r="D4923" s="12" t="s">
        <v>104</v>
      </c>
      <c r="E4923" s="7" t="s">
        <v>105</v>
      </c>
      <c r="F4923" s="86">
        <f>VLOOKUP(B4923,'HSD UPAH,BAHAN,ALAT'!$C$6:F4444,4,FALSE)</f>
        <v>10000</v>
      </c>
      <c r="G4923" s="87">
        <f t="shared" ref="G4923:G4924" si="623">E4923*F4923</f>
        <v>10000</v>
      </c>
    </row>
    <row r="4924" spans="1:7">
      <c r="A4924" s="8">
        <v>2</v>
      </c>
      <c r="B4924" s="1" t="s">
        <v>18</v>
      </c>
      <c r="C4924" s="8"/>
      <c r="D4924" s="9" t="s">
        <v>19</v>
      </c>
      <c r="E4924" s="10" t="s">
        <v>53</v>
      </c>
      <c r="F4924" s="86">
        <f>VLOOKUP(B4924,'HSD UPAH,BAHAN,ALAT'!$C$6:F4445,4,FALSE)</f>
        <v>10000</v>
      </c>
      <c r="G4924" s="87">
        <f t="shared" si="623"/>
        <v>100</v>
      </c>
    </row>
    <row r="4925" spans="1:7">
      <c r="A4925" s="8">
        <v>3</v>
      </c>
      <c r="B4925" s="1" t="s">
        <v>26</v>
      </c>
      <c r="C4925" s="8"/>
      <c r="D4925" s="9"/>
      <c r="E4925" s="19"/>
      <c r="F4925" s="2"/>
      <c r="G4925" s="2"/>
    </row>
    <row r="4926" spans="1:7">
      <c r="A4926" s="8" t="s">
        <v>22</v>
      </c>
      <c r="B4926" s="1" t="s">
        <v>27</v>
      </c>
      <c r="C4926" s="8"/>
      <c r="D4926" s="9" t="s">
        <v>28</v>
      </c>
      <c r="E4926" s="10" t="s">
        <v>98</v>
      </c>
      <c r="F4926" s="86">
        <f>VLOOKUP(B4926,'HSD UPAH,BAHAN,ALAT'!$C$6:F4447,4,FALSE)</f>
        <v>10000</v>
      </c>
      <c r="G4926" s="87">
        <f t="shared" ref="G4926:G4928" si="624">E4926*F4926</f>
        <v>5</v>
      </c>
    </row>
    <row r="4927" spans="1:7">
      <c r="A4927" s="8" t="s">
        <v>30</v>
      </c>
      <c r="B4927" s="1" t="s">
        <v>31</v>
      </c>
      <c r="C4927" s="8"/>
      <c r="D4927" s="9" t="s">
        <v>28</v>
      </c>
      <c r="E4927" s="10" t="s">
        <v>99</v>
      </c>
      <c r="F4927" s="86">
        <f>VLOOKUP(B4927,'HSD UPAH,BAHAN,ALAT'!$C$6:F4448,4,FALSE)</f>
        <v>10000</v>
      </c>
      <c r="G4927" s="87">
        <f t="shared" si="624"/>
        <v>1</v>
      </c>
    </row>
    <row r="4928" spans="1:7">
      <c r="A4928" s="8" t="s">
        <v>33</v>
      </c>
      <c r="B4928" s="1" t="s">
        <v>34</v>
      </c>
      <c r="C4928" s="8"/>
      <c r="D4928" s="9" t="s">
        <v>28</v>
      </c>
      <c r="E4928" s="10" t="s">
        <v>100</v>
      </c>
      <c r="F4928" s="86">
        <f>VLOOKUP(B4928,'HSD UPAH,BAHAN,ALAT'!$C$6:F4449,4,FALSE)</f>
        <v>10000</v>
      </c>
      <c r="G4928" s="87">
        <f t="shared" si="624"/>
        <v>0.3</v>
      </c>
    </row>
    <row r="4929" spans="1:7">
      <c r="A4929" s="261" t="s">
        <v>421</v>
      </c>
      <c r="B4929" s="261"/>
      <c r="C4929" s="261"/>
      <c r="D4929" s="261"/>
      <c r="E4929" s="261"/>
      <c r="F4929" s="261"/>
      <c r="G4929" s="85">
        <f>SUM(G4923:G4928)</f>
        <v>10106.299999999999</v>
      </c>
    </row>
    <row r="4930" spans="1:7">
      <c r="A4930" s="8" t="s">
        <v>36</v>
      </c>
      <c r="B4930" s="1" t="s">
        <v>37</v>
      </c>
      <c r="C4930" s="8"/>
      <c r="D4930" s="9"/>
      <c r="E4930" s="19"/>
      <c r="F4930" s="2"/>
      <c r="G4930" s="2"/>
    </row>
    <row r="4931" spans="1:7">
      <c r="A4931" s="263" t="s">
        <v>419</v>
      </c>
      <c r="B4931" s="263"/>
      <c r="C4931" s="263"/>
      <c r="D4931" s="263"/>
      <c r="E4931" s="263"/>
      <c r="F4931" s="263"/>
      <c r="G4931" s="80">
        <f>SUM(G4930)</f>
        <v>0</v>
      </c>
    </row>
    <row r="4932" spans="1:7">
      <c r="A4932" s="81" t="s">
        <v>38</v>
      </c>
      <c r="B4932" s="262" t="s">
        <v>39</v>
      </c>
      <c r="C4932" s="262"/>
      <c r="D4932" s="262"/>
      <c r="E4932" s="262"/>
      <c r="F4932" s="262"/>
      <c r="G4932" s="118">
        <f>SUM(G4918:G4931)/2</f>
        <v>15636.3</v>
      </c>
    </row>
    <row r="4933" spans="1:7">
      <c r="A4933" s="81" t="s">
        <v>40</v>
      </c>
      <c r="B4933" s="262" t="s">
        <v>180</v>
      </c>
      <c r="C4933" s="262"/>
      <c r="D4933" s="262"/>
      <c r="E4933" s="262"/>
      <c r="F4933" s="82">
        <v>0.1</v>
      </c>
      <c r="G4933" s="80">
        <f>G4932*F4933</f>
        <v>1563.63</v>
      </c>
    </row>
    <row r="4934" spans="1:7">
      <c r="A4934" s="81" t="s">
        <v>41</v>
      </c>
      <c r="B4934" s="262" t="s">
        <v>42</v>
      </c>
      <c r="C4934" s="262"/>
      <c r="D4934" s="262"/>
      <c r="E4934" s="262"/>
      <c r="F4934" s="262"/>
      <c r="G4934" s="80">
        <f>G4932+G4933</f>
        <v>17199.93</v>
      </c>
    </row>
    <row r="4935" spans="1:7">
      <c r="A4935" s="90"/>
      <c r="B4935" s="91"/>
      <c r="C4935" s="91"/>
      <c r="D4935" s="91"/>
      <c r="E4935" s="91"/>
      <c r="F4935" s="91"/>
      <c r="G4935" s="92"/>
    </row>
    <row r="4936" spans="1:7">
      <c r="A4936" s="4" t="s">
        <v>848</v>
      </c>
      <c r="B4936" s="91"/>
      <c r="C4936" s="91"/>
      <c r="D4936" s="91"/>
      <c r="E4936" s="91"/>
      <c r="F4936" s="91"/>
      <c r="G4936" s="92"/>
    </row>
    <row r="4937" spans="1:7" ht="30">
      <c r="A4937" s="79" t="s">
        <v>0</v>
      </c>
      <c r="B4937" s="79" t="s">
        <v>1</v>
      </c>
      <c r="C4937" s="79" t="s">
        <v>207</v>
      </c>
      <c r="D4937" s="79" t="s">
        <v>3</v>
      </c>
      <c r="E4937" s="79" t="s">
        <v>2</v>
      </c>
      <c r="F4937" s="79" t="s">
        <v>417</v>
      </c>
      <c r="G4937" s="79" t="s">
        <v>418</v>
      </c>
    </row>
    <row r="4938" spans="1:7">
      <c r="A4938" s="8" t="s">
        <v>4</v>
      </c>
      <c r="B4938" s="1" t="s">
        <v>5</v>
      </c>
      <c r="C4938" s="8"/>
      <c r="D4938" s="9"/>
      <c r="E4938" s="19"/>
      <c r="F4938" s="2"/>
      <c r="G4938" s="2"/>
    </row>
    <row r="4939" spans="1:7">
      <c r="A4939" s="8">
        <v>1</v>
      </c>
      <c r="B4939" s="1" t="s">
        <v>6</v>
      </c>
      <c r="C4939" s="8" t="s">
        <v>7</v>
      </c>
      <c r="D4939" s="9" t="s">
        <v>8</v>
      </c>
      <c r="E4939" s="10" t="s">
        <v>50</v>
      </c>
      <c r="F4939" s="86">
        <f>VLOOKUP(B4939,'HSD UPAH,BAHAN,ALAT'!$C$6:F4458,4,FALSE)</f>
        <v>100000</v>
      </c>
      <c r="G4939" s="87">
        <f t="shared" ref="G4939:G4941" si="625">E4939*F4939</f>
        <v>4000</v>
      </c>
    </row>
    <row r="4940" spans="1:7">
      <c r="A4940" s="8">
        <v>2</v>
      </c>
      <c r="B4940" s="1" t="s">
        <v>10</v>
      </c>
      <c r="C4940" s="8" t="s">
        <v>11</v>
      </c>
      <c r="D4940" s="9" t="s">
        <v>8</v>
      </c>
      <c r="E4940" s="10" t="s">
        <v>93</v>
      </c>
      <c r="F4940" s="86">
        <f>VLOOKUP(B4940,'HSD UPAH,BAHAN,ALAT'!$C$6:F4459,4,FALSE)</f>
        <v>120000</v>
      </c>
      <c r="G4940" s="87">
        <f t="shared" si="625"/>
        <v>1200</v>
      </c>
    </row>
    <row r="4941" spans="1:7">
      <c r="A4941" s="8">
        <v>3</v>
      </c>
      <c r="B4941" s="1" t="s">
        <v>13</v>
      </c>
      <c r="C4941" s="8" t="s">
        <v>14</v>
      </c>
      <c r="D4941" s="9" t="s">
        <v>8</v>
      </c>
      <c r="E4941" s="10" t="s">
        <v>94</v>
      </c>
      <c r="F4941" s="86">
        <f>VLOOKUP(B4941,'HSD UPAH,BAHAN,ALAT'!$C$6:F4460,4,FALSE)</f>
        <v>100000</v>
      </c>
      <c r="G4941" s="87">
        <f t="shared" si="625"/>
        <v>330</v>
      </c>
    </row>
    <row r="4942" spans="1:7">
      <c r="A4942" s="261" t="s">
        <v>420</v>
      </c>
      <c r="B4942" s="261"/>
      <c r="C4942" s="261"/>
      <c r="D4942" s="261"/>
      <c r="E4942" s="261"/>
      <c r="F4942" s="261"/>
      <c r="G4942" s="85">
        <f>SUM(G4938:G4941)</f>
        <v>5530</v>
      </c>
    </row>
    <row r="4943" spans="1:7">
      <c r="A4943" s="8" t="s">
        <v>16</v>
      </c>
      <c r="B4943" s="1" t="s">
        <v>17</v>
      </c>
      <c r="C4943" s="8"/>
      <c r="D4943" s="9"/>
      <c r="E4943" s="19"/>
      <c r="F4943" s="2"/>
      <c r="G4943" s="2"/>
    </row>
    <row r="4944" spans="1:7" ht="30">
      <c r="A4944" s="17" t="s">
        <v>208</v>
      </c>
      <c r="B4944" s="5" t="s">
        <v>383</v>
      </c>
      <c r="C4944" s="8"/>
      <c r="D4944" s="12" t="s">
        <v>104</v>
      </c>
      <c r="E4944" s="7" t="s">
        <v>105</v>
      </c>
      <c r="F4944" s="86">
        <f>VLOOKUP(B4944,'HSD UPAH,BAHAN,ALAT'!$C$6:F4463,4,FALSE)</f>
        <v>10000</v>
      </c>
      <c r="G4944" s="87">
        <f t="shared" ref="G4944:G4945" si="626">E4944*F4944</f>
        <v>10000</v>
      </c>
    </row>
    <row r="4945" spans="1:7">
      <c r="A4945" s="8">
        <v>2</v>
      </c>
      <c r="B4945" s="1" t="s">
        <v>18</v>
      </c>
      <c r="C4945" s="8"/>
      <c r="D4945" s="9" t="s">
        <v>19</v>
      </c>
      <c r="E4945" s="10" t="s">
        <v>53</v>
      </c>
      <c r="F4945" s="86">
        <f>VLOOKUP(B4945,'HSD UPAH,BAHAN,ALAT'!$C$6:F4464,4,FALSE)</f>
        <v>10000</v>
      </c>
      <c r="G4945" s="87">
        <f t="shared" si="626"/>
        <v>100</v>
      </c>
    </row>
    <row r="4946" spans="1:7">
      <c r="A4946" s="8">
        <v>3</v>
      </c>
      <c r="B4946" s="1" t="s">
        <v>26</v>
      </c>
      <c r="C4946" s="8"/>
      <c r="D4946" s="9"/>
      <c r="E4946" s="19"/>
      <c r="F4946" s="2"/>
      <c r="G4946" s="2"/>
    </row>
    <row r="4947" spans="1:7">
      <c r="A4947" s="8" t="s">
        <v>22</v>
      </c>
      <c r="B4947" s="1" t="s">
        <v>27</v>
      </c>
      <c r="C4947" s="8"/>
      <c r="D4947" s="9" t="s">
        <v>28</v>
      </c>
      <c r="E4947" s="10" t="s">
        <v>98</v>
      </c>
      <c r="F4947" s="86">
        <f>VLOOKUP(B4947,'HSD UPAH,BAHAN,ALAT'!$C$6:F4466,4,FALSE)</f>
        <v>10000</v>
      </c>
      <c r="G4947" s="87">
        <f t="shared" ref="G4947:G4949" si="627">E4947*F4947</f>
        <v>5</v>
      </c>
    </row>
    <row r="4948" spans="1:7">
      <c r="A4948" s="8" t="s">
        <v>30</v>
      </c>
      <c r="B4948" s="1" t="s">
        <v>31</v>
      </c>
      <c r="C4948" s="8"/>
      <c r="D4948" s="9" t="s">
        <v>28</v>
      </c>
      <c r="E4948" s="10" t="s">
        <v>99</v>
      </c>
      <c r="F4948" s="86">
        <f>VLOOKUP(B4948,'HSD UPAH,BAHAN,ALAT'!$C$6:F4467,4,FALSE)</f>
        <v>10000</v>
      </c>
      <c r="G4948" s="87">
        <f t="shared" si="627"/>
        <v>1</v>
      </c>
    </row>
    <row r="4949" spans="1:7">
      <c r="A4949" s="8" t="s">
        <v>33</v>
      </c>
      <c r="B4949" s="1" t="s">
        <v>34</v>
      </c>
      <c r="C4949" s="8"/>
      <c r="D4949" s="9" t="s">
        <v>28</v>
      </c>
      <c r="E4949" s="10" t="s">
        <v>100</v>
      </c>
      <c r="F4949" s="86">
        <f>VLOOKUP(B4949,'HSD UPAH,BAHAN,ALAT'!$C$6:F4468,4,FALSE)</f>
        <v>10000</v>
      </c>
      <c r="G4949" s="87">
        <f t="shared" si="627"/>
        <v>0.3</v>
      </c>
    </row>
    <row r="4950" spans="1:7">
      <c r="A4950" s="261" t="s">
        <v>421</v>
      </c>
      <c r="B4950" s="261"/>
      <c r="C4950" s="261"/>
      <c r="D4950" s="261"/>
      <c r="E4950" s="261"/>
      <c r="F4950" s="261"/>
      <c r="G4950" s="85">
        <f>SUM(G4944:G4949)</f>
        <v>10106.299999999999</v>
      </c>
    </row>
    <row r="4951" spans="1:7">
      <c r="A4951" s="8" t="s">
        <v>36</v>
      </c>
      <c r="B4951" s="1" t="s">
        <v>37</v>
      </c>
      <c r="C4951" s="8"/>
      <c r="D4951" s="9"/>
      <c r="E4951" s="19"/>
      <c r="F4951" s="2"/>
      <c r="G4951" s="2"/>
    </row>
    <row r="4952" spans="1:7">
      <c r="A4952" s="263" t="s">
        <v>419</v>
      </c>
      <c r="B4952" s="263"/>
      <c r="C4952" s="263"/>
      <c r="D4952" s="263"/>
      <c r="E4952" s="263"/>
      <c r="F4952" s="263"/>
      <c r="G4952" s="80">
        <f>SUM(G4951)</f>
        <v>0</v>
      </c>
    </row>
    <row r="4953" spans="1:7">
      <c r="A4953" s="81" t="s">
        <v>38</v>
      </c>
      <c r="B4953" s="262" t="s">
        <v>39</v>
      </c>
      <c r="C4953" s="262"/>
      <c r="D4953" s="262"/>
      <c r="E4953" s="262"/>
      <c r="F4953" s="262"/>
      <c r="G4953" s="118">
        <f>SUM(G4939:G4952)/2</f>
        <v>15636.3</v>
      </c>
    </row>
    <row r="4954" spans="1:7">
      <c r="A4954" s="81" t="s">
        <v>40</v>
      </c>
      <c r="B4954" s="262" t="s">
        <v>180</v>
      </c>
      <c r="C4954" s="262"/>
      <c r="D4954" s="262"/>
      <c r="E4954" s="262"/>
      <c r="F4954" s="82">
        <v>0.1</v>
      </c>
      <c r="G4954" s="80">
        <f>G4953*F4954</f>
        <v>1563.63</v>
      </c>
    </row>
    <row r="4955" spans="1:7">
      <c r="A4955" s="81" t="s">
        <v>41</v>
      </c>
      <c r="B4955" s="262" t="s">
        <v>42</v>
      </c>
      <c r="C4955" s="262"/>
      <c r="D4955" s="262"/>
      <c r="E4955" s="262"/>
      <c r="F4955" s="262"/>
      <c r="G4955" s="80">
        <f>G4953+G4954</f>
        <v>17199.93</v>
      </c>
    </row>
    <row r="4956" spans="1:7">
      <c r="A4956" s="90"/>
      <c r="B4956" s="91"/>
      <c r="C4956" s="91"/>
      <c r="D4956" s="91"/>
      <c r="E4956" s="91"/>
      <c r="F4956" s="91"/>
      <c r="G4956" s="92"/>
    </row>
    <row r="4957" spans="1:7">
      <c r="A4957" s="4" t="s">
        <v>430</v>
      </c>
      <c r="B4957" s="91"/>
      <c r="C4957" s="91"/>
      <c r="D4957" s="91"/>
      <c r="E4957" s="91"/>
      <c r="F4957" s="91"/>
      <c r="G4957" s="92"/>
    </row>
    <row r="4958" spans="1:7">
      <c r="A4958" s="4" t="s">
        <v>639</v>
      </c>
      <c r="B4958" s="91"/>
      <c r="C4958" s="91"/>
      <c r="D4958" s="91"/>
      <c r="E4958" s="91"/>
      <c r="F4958" s="91"/>
      <c r="G4958" s="92"/>
    </row>
    <row r="4959" spans="1:7" ht="30">
      <c r="A4959" s="79" t="s">
        <v>0</v>
      </c>
      <c r="B4959" s="79" t="s">
        <v>1</v>
      </c>
      <c r="C4959" s="79" t="s">
        <v>207</v>
      </c>
      <c r="D4959" s="79" t="s">
        <v>3</v>
      </c>
      <c r="E4959" s="79" t="s">
        <v>2</v>
      </c>
      <c r="F4959" s="79" t="s">
        <v>417</v>
      </c>
      <c r="G4959" s="79" t="s">
        <v>418</v>
      </c>
    </row>
    <row r="4960" spans="1:7">
      <c r="A4960" s="8" t="s">
        <v>4</v>
      </c>
      <c r="B4960" s="1" t="s">
        <v>5</v>
      </c>
      <c r="C4960" s="8"/>
      <c r="D4960" s="9"/>
      <c r="E4960" s="19"/>
      <c r="F4960" s="2"/>
      <c r="G4960" s="2"/>
    </row>
    <row r="4961" spans="1:7">
      <c r="A4961" s="8">
        <v>1</v>
      </c>
      <c r="B4961" s="1" t="s">
        <v>48</v>
      </c>
      <c r="C4961" s="8" t="s">
        <v>49</v>
      </c>
      <c r="D4961" s="9" t="s">
        <v>8</v>
      </c>
      <c r="E4961" s="10" t="s">
        <v>65</v>
      </c>
      <c r="F4961" s="86">
        <f>VLOOKUP(B4961,'HSD UPAH,BAHAN,ALAT'!$C$6:F4477,4,FALSE)</f>
        <v>100000</v>
      </c>
      <c r="G4961" s="87">
        <f t="shared" ref="G4961:G4964" si="628">E4961*F4961</f>
        <v>2000</v>
      </c>
    </row>
    <row r="4962" spans="1:7">
      <c r="A4962" s="8">
        <v>2</v>
      </c>
      <c r="B4962" s="1" t="s">
        <v>6</v>
      </c>
      <c r="C4962" s="8" t="s">
        <v>7</v>
      </c>
      <c r="D4962" s="9" t="s">
        <v>8</v>
      </c>
      <c r="E4962" s="10" t="s">
        <v>65</v>
      </c>
      <c r="F4962" s="86">
        <f>VLOOKUP(B4962,'HSD UPAH,BAHAN,ALAT'!$C$6:F4478,4,FALSE)</f>
        <v>100000</v>
      </c>
      <c r="G4962" s="87">
        <f t="shared" si="628"/>
        <v>2000</v>
      </c>
    </row>
    <row r="4963" spans="1:7">
      <c r="A4963" s="8">
        <v>3</v>
      </c>
      <c r="B4963" s="1" t="s">
        <v>10</v>
      </c>
      <c r="C4963" s="8" t="s">
        <v>11</v>
      </c>
      <c r="D4963" s="9" t="s">
        <v>8</v>
      </c>
      <c r="E4963" s="10" t="s">
        <v>101</v>
      </c>
      <c r="F4963" s="86">
        <f>VLOOKUP(B4963,'HSD UPAH,BAHAN,ALAT'!$C$6:F4479,4,FALSE)</f>
        <v>120000</v>
      </c>
      <c r="G4963" s="87">
        <f t="shared" si="628"/>
        <v>480</v>
      </c>
    </row>
    <row r="4964" spans="1:7">
      <c r="A4964" s="8">
        <v>4</v>
      </c>
      <c r="B4964" s="1" t="s">
        <v>13</v>
      </c>
      <c r="C4964" s="8" t="s">
        <v>14</v>
      </c>
      <c r="D4964" s="9" t="s">
        <v>8</v>
      </c>
      <c r="E4964" s="10" t="s">
        <v>102</v>
      </c>
      <c r="F4964" s="86">
        <f>VLOOKUP(B4964,'HSD UPAH,BAHAN,ALAT'!$C$6:F4480,4,FALSE)</f>
        <v>100000</v>
      </c>
      <c r="G4964" s="87">
        <f t="shared" si="628"/>
        <v>130</v>
      </c>
    </row>
    <row r="4965" spans="1:7">
      <c r="A4965" s="261" t="s">
        <v>420</v>
      </c>
      <c r="B4965" s="261"/>
      <c r="C4965" s="261"/>
      <c r="D4965" s="261"/>
      <c r="E4965" s="261"/>
      <c r="F4965" s="261"/>
      <c r="G4965" s="85">
        <f>SUM(G4961:G4964)</f>
        <v>4610</v>
      </c>
    </row>
    <row r="4966" spans="1:7">
      <c r="A4966" s="8" t="s">
        <v>16</v>
      </c>
      <c r="B4966" s="1" t="s">
        <v>17</v>
      </c>
      <c r="C4966" s="8"/>
      <c r="D4966" s="9"/>
      <c r="E4966" s="19"/>
      <c r="F4966" s="2"/>
      <c r="G4966" s="2"/>
    </row>
    <row r="4967" spans="1:7">
      <c r="A4967" s="8">
        <v>1</v>
      </c>
      <c r="B4967" s="1" t="s">
        <v>103</v>
      </c>
      <c r="C4967" s="8"/>
      <c r="D4967" s="9" t="s">
        <v>104</v>
      </c>
      <c r="E4967" s="10" t="s">
        <v>105</v>
      </c>
      <c r="F4967" s="86">
        <f>VLOOKUP(B4967,'HSD UPAH,BAHAN,ALAT'!$C$6:F4483,4,FALSE)</f>
        <v>10000</v>
      </c>
      <c r="G4967" s="87">
        <f t="shared" ref="G4967" si="629">E4967*F4967</f>
        <v>10000</v>
      </c>
    </row>
    <row r="4968" spans="1:7">
      <c r="A4968" s="8">
        <v>2</v>
      </c>
      <c r="B4968" s="1" t="s">
        <v>26</v>
      </c>
      <c r="C4968" s="8"/>
      <c r="D4968" s="9"/>
      <c r="E4968" s="19"/>
      <c r="F4968" s="2"/>
      <c r="G4968" s="2"/>
    </row>
    <row r="4969" spans="1:7">
      <c r="A4969" s="8" t="s">
        <v>22</v>
      </c>
      <c r="B4969" s="1" t="s">
        <v>106</v>
      </c>
      <c r="C4969" s="8"/>
      <c r="D4969" s="9" t="s">
        <v>28</v>
      </c>
      <c r="E4969" s="10" t="s">
        <v>107</v>
      </c>
      <c r="F4969" s="86">
        <f>VLOOKUP(B4969,'HSD UPAH,BAHAN,ALAT'!$C$6:F4485,4,FALSE)</f>
        <v>10000</v>
      </c>
      <c r="G4969" s="87">
        <f t="shared" ref="G4969:G4970" si="630">E4969*F4969</f>
        <v>900</v>
      </c>
    </row>
    <row r="4970" spans="1:7">
      <c r="A4970" s="8" t="s">
        <v>30</v>
      </c>
      <c r="B4970" s="1" t="s">
        <v>108</v>
      </c>
      <c r="C4970" s="8"/>
      <c r="D4970" s="9" t="s">
        <v>28</v>
      </c>
      <c r="E4970" s="10" t="s">
        <v>93</v>
      </c>
      <c r="F4970" s="86">
        <f>VLOOKUP(B4970,'HSD UPAH,BAHAN,ALAT'!$C$6:F4486,4,FALSE)</f>
        <v>10000</v>
      </c>
      <c r="G4970" s="87">
        <f t="shared" si="630"/>
        <v>100</v>
      </c>
    </row>
    <row r="4971" spans="1:7">
      <c r="A4971" s="261" t="s">
        <v>421</v>
      </c>
      <c r="B4971" s="261"/>
      <c r="C4971" s="261"/>
      <c r="D4971" s="261"/>
      <c r="E4971" s="261"/>
      <c r="F4971" s="261"/>
      <c r="G4971" s="85">
        <f>SUM(G4967:G4970)</f>
        <v>11000</v>
      </c>
    </row>
    <row r="4972" spans="1:7">
      <c r="A4972" s="8" t="s">
        <v>36</v>
      </c>
      <c r="B4972" s="1" t="s">
        <v>37</v>
      </c>
      <c r="C4972" s="8"/>
      <c r="D4972" s="9"/>
      <c r="E4972" s="19"/>
      <c r="F4972" s="2"/>
      <c r="G4972" s="2"/>
    </row>
    <row r="4973" spans="1:7">
      <c r="A4973" s="263" t="s">
        <v>419</v>
      </c>
      <c r="B4973" s="263"/>
      <c r="C4973" s="263"/>
      <c r="D4973" s="263"/>
      <c r="E4973" s="263"/>
      <c r="F4973" s="263"/>
      <c r="G4973" s="80">
        <f>SUM(G4972)</f>
        <v>0</v>
      </c>
    </row>
    <row r="4974" spans="1:7">
      <c r="A4974" s="81" t="s">
        <v>38</v>
      </c>
      <c r="B4974" s="262" t="s">
        <v>39</v>
      </c>
      <c r="C4974" s="262"/>
      <c r="D4974" s="262"/>
      <c r="E4974" s="262"/>
      <c r="F4974" s="262"/>
      <c r="G4974" s="118">
        <f>SUM(G4961:G4973)/2</f>
        <v>15610</v>
      </c>
    </row>
    <row r="4975" spans="1:7">
      <c r="A4975" s="81" t="s">
        <v>40</v>
      </c>
      <c r="B4975" s="262" t="s">
        <v>180</v>
      </c>
      <c r="C4975" s="262"/>
      <c r="D4975" s="262"/>
      <c r="E4975" s="262"/>
      <c r="F4975" s="82">
        <v>0.1</v>
      </c>
      <c r="G4975" s="80">
        <f>G4974*F4975</f>
        <v>1561</v>
      </c>
    </row>
    <row r="4976" spans="1:7">
      <c r="A4976" s="81" t="s">
        <v>41</v>
      </c>
      <c r="B4976" s="262" t="s">
        <v>42</v>
      </c>
      <c r="C4976" s="262"/>
      <c r="D4976" s="262"/>
      <c r="E4976" s="262"/>
      <c r="F4976" s="262"/>
      <c r="G4976" s="80">
        <f>G4974+G4975</f>
        <v>17171</v>
      </c>
    </row>
    <row r="4977" spans="1:7">
      <c r="A4977" s="90"/>
      <c r="B4977" s="91"/>
      <c r="C4977" s="91"/>
      <c r="D4977" s="91"/>
      <c r="E4977" s="91"/>
      <c r="F4977" s="91"/>
      <c r="G4977" s="92"/>
    </row>
    <row r="4978" spans="1:7">
      <c r="A4978" s="4" t="s">
        <v>640</v>
      </c>
      <c r="B4978" s="91"/>
      <c r="C4978" s="91"/>
      <c r="D4978" s="91"/>
      <c r="E4978" s="91"/>
      <c r="F4978" s="91"/>
      <c r="G4978" s="92"/>
    </row>
    <row r="4979" spans="1:7" ht="30">
      <c r="A4979" s="79" t="s">
        <v>0</v>
      </c>
      <c r="B4979" s="79" t="s">
        <v>1</v>
      </c>
      <c r="C4979" s="79" t="s">
        <v>207</v>
      </c>
      <c r="D4979" s="79" t="s">
        <v>3</v>
      </c>
      <c r="E4979" s="79" t="s">
        <v>2</v>
      </c>
      <c r="F4979" s="79" t="s">
        <v>417</v>
      </c>
      <c r="G4979" s="79" t="s">
        <v>418</v>
      </c>
    </row>
    <row r="4980" spans="1:7">
      <c r="A4980" s="8" t="s">
        <v>4</v>
      </c>
      <c r="B4980" s="1" t="s">
        <v>5</v>
      </c>
      <c r="C4980" s="8"/>
      <c r="D4980" s="9"/>
      <c r="E4980" s="19"/>
      <c r="F4980" s="2"/>
      <c r="G4980" s="2"/>
    </row>
    <row r="4981" spans="1:7">
      <c r="A4981" s="8">
        <v>1</v>
      </c>
      <c r="B4981" s="1" t="s">
        <v>48</v>
      </c>
      <c r="C4981" s="8" t="s">
        <v>49</v>
      </c>
      <c r="D4981" s="9" t="s">
        <v>8</v>
      </c>
      <c r="E4981" s="10" t="s">
        <v>65</v>
      </c>
      <c r="F4981" s="86">
        <f>VLOOKUP(B4981,'HSD UPAH,BAHAN,ALAT'!$C$6:F4495,4,FALSE)</f>
        <v>100000</v>
      </c>
      <c r="G4981" s="87">
        <f t="shared" ref="G4981:G4984" si="631">E4981*F4981</f>
        <v>2000</v>
      </c>
    </row>
    <row r="4982" spans="1:7">
      <c r="A4982" s="8">
        <v>2</v>
      </c>
      <c r="B4982" s="1" t="s">
        <v>6</v>
      </c>
      <c r="C4982" s="8" t="s">
        <v>7</v>
      </c>
      <c r="D4982" s="9" t="s">
        <v>8</v>
      </c>
      <c r="E4982" s="10" t="s">
        <v>65</v>
      </c>
      <c r="F4982" s="86">
        <f>VLOOKUP(B4982,'HSD UPAH,BAHAN,ALAT'!$C$6:F4496,4,FALSE)</f>
        <v>100000</v>
      </c>
      <c r="G4982" s="87">
        <f t="shared" si="631"/>
        <v>2000</v>
      </c>
    </row>
    <row r="4983" spans="1:7">
      <c r="A4983" s="8">
        <v>3</v>
      </c>
      <c r="B4983" s="1" t="s">
        <v>10</v>
      </c>
      <c r="C4983" s="8" t="s">
        <v>11</v>
      </c>
      <c r="D4983" s="9" t="s">
        <v>8</v>
      </c>
      <c r="E4983" s="10" t="s">
        <v>101</v>
      </c>
      <c r="F4983" s="86">
        <f>VLOOKUP(B4983,'HSD UPAH,BAHAN,ALAT'!$C$6:F4497,4,FALSE)</f>
        <v>120000</v>
      </c>
      <c r="G4983" s="87">
        <f t="shared" si="631"/>
        <v>480</v>
      </c>
    </row>
    <row r="4984" spans="1:7">
      <c r="A4984" s="8">
        <v>4</v>
      </c>
      <c r="B4984" s="1" t="s">
        <v>13</v>
      </c>
      <c r="C4984" s="8" t="s">
        <v>14</v>
      </c>
      <c r="D4984" s="9" t="s">
        <v>8</v>
      </c>
      <c r="E4984" s="10" t="s">
        <v>102</v>
      </c>
      <c r="F4984" s="86">
        <f>VLOOKUP(B4984,'HSD UPAH,BAHAN,ALAT'!$C$6:F4498,4,FALSE)</f>
        <v>100000</v>
      </c>
      <c r="G4984" s="87">
        <f t="shared" si="631"/>
        <v>130</v>
      </c>
    </row>
    <row r="4985" spans="1:7">
      <c r="A4985" s="261" t="s">
        <v>420</v>
      </c>
      <c r="B4985" s="261"/>
      <c r="C4985" s="261"/>
      <c r="D4985" s="261"/>
      <c r="E4985" s="261"/>
      <c r="F4985" s="261"/>
      <c r="G4985" s="85">
        <f>SUM(G4981:G4984)</f>
        <v>4610</v>
      </c>
    </row>
    <row r="4986" spans="1:7">
      <c r="A4986" s="8" t="s">
        <v>16</v>
      </c>
      <c r="B4986" s="1" t="s">
        <v>17</v>
      </c>
      <c r="C4986" s="8"/>
      <c r="D4986" s="9"/>
      <c r="E4986" s="19"/>
      <c r="F4986" s="2"/>
      <c r="G4986" s="2"/>
    </row>
    <row r="4987" spans="1:7">
      <c r="A4987" s="8">
        <v>1</v>
      </c>
      <c r="B4987" s="1" t="s">
        <v>109</v>
      </c>
      <c r="C4987" s="8"/>
      <c r="D4987" s="9" t="s">
        <v>104</v>
      </c>
      <c r="E4987" s="10" t="s">
        <v>105</v>
      </c>
      <c r="F4987" s="86">
        <f>VLOOKUP(B4987,'HSD UPAH,BAHAN,ALAT'!$C$6:F4501,4,FALSE)</f>
        <v>10000</v>
      </c>
      <c r="G4987" s="87">
        <f t="shared" ref="G4987" si="632">E4987*F4987</f>
        <v>10000</v>
      </c>
    </row>
    <row r="4988" spans="1:7">
      <c r="A4988" s="8">
        <v>2</v>
      </c>
      <c r="B4988" s="1" t="s">
        <v>26</v>
      </c>
      <c r="C4988" s="8"/>
      <c r="D4988" s="9"/>
      <c r="E4988" s="19"/>
      <c r="F4988" s="2"/>
      <c r="G4988" s="2"/>
    </row>
    <row r="4989" spans="1:7">
      <c r="A4989" s="8" t="s">
        <v>22</v>
      </c>
      <c r="B4989" s="1" t="s">
        <v>106</v>
      </c>
      <c r="C4989" s="8"/>
      <c r="D4989" s="9" t="s">
        <v>28</v>
      </c>
      <c r="E4989" s="10" t="s">
        <v>107</v>
      </c>
      <c r="F4989" s="86">
        <f>VLOOKUP(B4989,'HSD UPAH,BAHAN,ALAT'!$C$6:F4503,4,FALSE)</f>
        <v>10000</v>
      </c>
      <c r="G4989" s="87">
        <f t="shared" ref="G4989:G4990" si="633">E4989*F4989</f>
        <v>900</v>
      </c>
    </row>
    <row r="4990" spans="1:7">
      <c r="A4990" s="8" t="s">
        <v>30</v>
      </c>
      <c r="B4990" s="1" t="s">
        <v>108</v>
      </c>
      <c r="C4990" s="8"/>
      <c r="D4990" s="9" t="s">
        <v>28</v>
      </c>
      <c r="E4990" s="10" t="s">
        <v>93</v>
      </c>
      <c r="F4990" s="86">
        <f>VLOOKUP(B4990,'HSD UPAH,BAHAN,ALAT'!$C$6:F4504,4,FALSE)</f>
        <v>10000</v>
      </c>
      <c r="G4990" s="87">
        <f t="shared" si="633"/>
        <v>100</v>
      </c>
    </row>
    <row r="4991" spans="1:7">
      <c r="A4991" s="261" t="s">
        <v>421</v>
      </c>
      <c r="B4991" s="261"/>
      <c r="C4991" s="261"/>
      <c r="D4991" s="261"/>
      <c r="E4991" s="261"/>
      <c r="F4991" s="261"/>
      <c r="G4991" s="85">
        <f>SUM(G4987:G4990)</f>
        <v>11000</v>
      </c>
    </row>
    <row r="4992" spans="1:7">
      <c r="A4992" s="8" t="s">
        <v>36</v>
      </c>
      <c r="B4992" s="1" t="s">
        <v>37</v>
      </c>
      <c r="C4992" s="8"/>
      <c r="D4992" s="9"/>
      <c r="E4992" s="19"/>
      <c r="F4992" s="2"/>
      <c r="G4992" s="2"/>
    </row>
    <row r="4993" spans="1:7">
      <c r="A4993" s="263" t="s">
        <v>419</v>
      </c>
      <c r="B4993" s="263"/>
      <c r="C4993" s="263"/>
      <c r="D4993" s="263"/>
      <c r="E4993" s="263"/>
      <c r="F4993" s="263"/>
      <c r="G4993" s="80">
        <f>SUM(G4992)</f>
        <v>0</v>
      </c>
    </row>
    <row r="4994" spans="1:7">
      <c r="A4994" s="81" t="s">
        <v>38</v>
      </c>
      <c r="B4994" s="262" t="s">
        <v>39</v>
      </c>
      <c r="C4994" s="262"/>
      <c r="D4994" s="262"/>
      <c r="E4994" s="262"/>
      <c r="F4994" s="262"/>
      <c r="G4994" s="118">
        <f>SUM(G4981:G4993)/2</f>
        <v>15610</v>
      </c>
    </row>
    <row r="4995" spans="1:7">
      <c r="A4995" s="81" t="s">
        <v>40</v>
      </c>
      <c r="B4995" s="262" t="s">
        <v>180</v>
      </c>
      <c r="C4995" s="262"/>
      <c r="D4995" s="262"/>
      <c r="E4995" s="262"/>
      <c r="F4995" s="82">
        <v>0.1</v>
      </c>
      <c r="G4995" s="80">
        <f>G4994*F4995</f>
        <v>1561</v>
      </c>
    </row>
    <row r="4996" spans="1:7">
      <c r="A4996" s="81" t="s">
        <v>41</v>
      </c>
      <c r="B4996" s="262" t="s">
        <v>42</v>
      </c>
      <c r="C4996" s="262"/>
      <c r="D4996" s="262"/>
      <c r="E4996" s="262"/>
      <c r="F4996" s="262"/>
      <c r="G4996" s="80">
        <f>G4994+G4995</f>
        <v>17171</v>
      </c>
    </row>
    <row r="4997" spans="1:7">
      <c r="A4997" s="90"/>
      <c r="B4997" s="91"/>
      <c r="C4997" s="91"/>
      <c r="D4997" s="91"/>
      <c r="E4997" s="91"/>
      <c r="F4997" s="91"/>
      <c r="G4997" s="92"/>
    </row>
    <row r="4998" spans="1:7">
      <c r="A4998" s="4" t="s">
        <v>471</v>
      </c>
      <c r="B4998" s="91"/>
      <c r="C4998" s="91"/>
      <c r="D4998" s="91"/>
      <c r="E4998" s="91"/>
      <c r="F4998" s="91"/>
      <c r="G4998" s="92"/>
    </row>
    <row r="4999" spans="1:7" ht="30">
      <c r="A4999" s="79" t="s">
        <v>0</v>
      </c>
      <c r="B4999" s="79" t="s">
        <v>1</v>
      </c>
      <c r="C4999" s="79" t="s">
        <v>207</v>
      </c>
      <c r="D4999" s="79" t="s">
        <v>3</v>
      </c>
      <c r="E4999" s="79" t="s">
        <v>2</v>
      </c>
      <c r="F4999" s="79" t="s">
        <v>417</v>
      </c>
      <c r="G4999" s="79" t="s">
        <v>418</v>
      </c>
    </row>
    <row r="5000" spans="1:7">
      <c r="A5000" s="8" t="s">
        <v>4</v>
      </c>
      <c r="B5000" s="1" t="s">
        <v>5</v>
      </c>
      <c r="C5000" s="8"/>
      <c r="D5000" s="9"/>
      <c r="E5000" s="19"/>
      <c r="F5000" s="2"/>
      <c r="G5000" s="2"/>
    </row>
    <row r="5001" spans="1:7">
      <c r="A5001" s="8">
        <v>1</v>
      </c>
      <c r="B5001" s="1" t="s">
        <v>48</v>
      </c>
      <c r="C5001" s="8" t="s">
        <v>49</v>
      </c>
      <c r="D5001" s="9" t="s">
        <v>8</v>
      </c>
      <c r="E5001" s="10" t="s">
        <v>65</v>
      </c>
      <c r="F5001" s="86">
        <f>VLOOKUP(B5001,'HSD UPAH,BAHAN,ALAT'!$C$6:F4513,4,FALSE)</f>
        <v>100000</v>
      </c>
      <c r="G5001" s="87">
        <f t="shared" ref="G5001:G5004" si="634">E5001*F5001</f>
        <v>2000</v>
      </c>
    </row>
    <row r="5002" spans="1:7">
      <c r="A5002" s="8">
        <v>2</v>
      </c>
      <c r="B5002" s="1" t="s">
        <v>6</v>
      </c>
      <c r="C5002" s="8" t="s">
        <v>7</v>
      </c>
      <c r="D5002" s="9" t="s">
        <v>8</v>
      </c>
      <c r="E5002" s="10" t="s">
        <v>65</v>
      </c>
      <c r="F5002" s="86">
        <f>VLOOKUP(B5002,'HSD UPAH,BAHAN,ALAT'!$C$6:F4514,4,FALSE)</f>
        <v>100000</v>
      </c>
      <c r="G5002" s="87">
        <f t="shared" si="634"/>
        <v>2000</v>
      </c>
    </row>
    <row r="5003" spans="1:7">
      <c r="A5003" s="8">
        <v>3</v>
      </c>
      <c r="B5003" s="1" t="s">
        <v>10</v>
      </c>
      <c r="C5003" s="8" t="s">
        <v>11</v>
      </c>
      <c r="D5003" s="9" t="s">
        <v>8</v>
      </c>
      <c r="E5003" s="10" t="s">
        <v>101</v>
      </c>
      <c r="F5003" s="86">
        <f>VLOOKUP(B5003,'HSD UPAH,BAHAN,ALAT'!$C$6:F4515,4,FALSE)</f>
        <v>120000</v>
      </c>
      <c r="G5003" s="87">
        <f t="shared" si="634"/>
        <v>480</v>
      </c>
    </row>
    <row r="5004" spans="1:7">
      <c r="A5004" s="8">
        <v>4</v>
      </c>
      <c r="B5004" s="1" t="s">
        <v>13</v>
      </c>
      <c r="C5004" s="8" t="s">
        <v>14</v>
      </c>
      <c r="D5004" s="9" t="s">
        <v>8</v>
      </c>
      <c r="E5004" s="10" t="s">
        <v>102</v>
      </c>
      <c r="F5004" s="86">
        <f>VLOOKUP(B5004,'HSD UPAH,BAHAN,ALAT'!$C$6:F4516,4,FALSE)</f>
        <v>100000</v>
      </c>
      <c r="G5004" s="87">
        <f t="shared" si="634"/>
        <v>130</v>
      </c>
    </row>
    <row r="5005" spans="1:7">
      <c r="A5005" s="261" t="s">
        <v>420</v>
      </c>
      <c r="B5005" s="261"/>
      <c r="C5005" s="261"/>
      <c r="D5005" s="261"/>
      <c r="E5005" s="261"/>
      <c r="F5005" s="261"/>
      <c r="G5005" s="85">
        <f>SUM(G5001:G5004)</f>
        <v>4610</v>
      </c>
    </row>
    <row r="5006" spans="1:7">
      <c r="A5006" s="8" t="s">
        <v>16</v>
      </c>
      <c r="B5006" s="1" t="s">
        <v>17</v>
      </c>
      <c r="C5006" s="8"/>
      <c r="D5006" s="9"/>
      <c r="E5006" s="19"/>
      <c r="F5006" s="2"/>
      <c r="G5006" s="2"/>
    </row>
    <row r="5007" spans="1:7">
      <c r="A5007" s="8">
        <v>1</v>
      </c>
      <c r="B5007" s="1" t="s">
        <v>110</v>
      </c>
      <c r="C5007" s="8"/>
      <c r="D5007" s="9" t="s">
        <v>104</v>
      </c>
      <c r="E5007" s="10" t="s">
        <v>105</v>
      </c>
      <c r="F5007" s="86">
        <f>VLOOKUP(B5007,'HSD UPAH,BAHAN,ALAT'!$C$6:F4519,4,FALSE)</f>
        <v>10000</v>
      </c>
      <c r="G5007" s="87">
        <f t="shared" ref="G5007" si="635">E5007*F5007</f>
        <v>10000</v>
      </c>
    </row>
    <row r="5008" spans="1:7">
      <c r="A5008" s="8">
        <v>2</v>
      </c>
      <c r="B5008" s="1" t="s">
        <v>26</v>
      </c>
      <c r="C5008" s="8"/>
      <c r="D5008" s="9"/>
      <c r="E5008" s="19"/>
      <c r="F5008" s="2"/>
      <c r="G5008" s="2"/>
    </row>
    <row r="5009" spans="1:7">
      <c r="A5009" s="8" t="s">
        <v>22</v>
      </c>
      <c r="B5009" s="1" t="s">
        <v>106</v>
      </c>
      <c r="C5009" s="8"/>
      <c r="D5009" s="9" t="s">
        <v>28</v>
      </c>
      <c r="E5009" s="10" t="s">
        <v>107</v>
      </c>
      <c r="F5009" s="86">
        <f>VLOOKUP(B5009,'HSD UPAH,BAHAN,ALAT'!$C$6:F4521,4,FALSE)</f>
        <v>10000</v>
      </c>
      <c r="G5009" s="87">
        <f t="shared" ref="G5009" si="636">E5009*F5009</f>
        <v>900</v>
      </c>
    </row>
    <row r="5010" spans="1:7">
      <c r="A5010" s="8" t="s">
        <v>30</v>
      </c>
      <c r="B5010" s="1" t="s">
        <v>108</v>
      </c>
      <c r="C5010" s="8"/>
      <c r="D5010" s="9" t="s">
        <v>28</v>
      </c>
      <c r="E5010" s="10" t="s">
        <v>93</v>
      </c>
      <c r="F5010" s="86">
        <f>VLOOKUP(B5010,'HSD UPAH,BAHAN,ALAT'!$C$6:F4522,4,FALSE)</f>
        <v>10000</v>
      </c>
      <c r="G5010" s="87">
        <f t="shared" ref="G5010" si="637">E5010*F5010</f>
        <v>100</v>
      </c>
    </row>
    <row r="5011" spans="1:7">
      <c r="A5011" s="261" t="s">
        <v>421</v>
      </c>
      <c r="B5011" s="261"/>
      <c r="C5011" s="261"/>
      <c r="D5011" s="261"/>
      <c r="E5011" s="261"/>
      <c r="F5011" s="261"/>
      <c r="G5011" s="85">
        <f>SUM(G5007:G5010)</f>
        <v>11000</v>
      </c>
    </row>
    <row r="5012" spans="1:7">
      <c r="A5012" s="8" t="s">
        <v>36</v>
      </c>
      <c r="B5012" s="1" t="s">
        <v>37</v>
      </c>
      <c r="C5012" s="8"/>
      <c r="D5012" s="9"/>
      <c r="E5012" s="19"/>
      <c r="F5012" s="2"/>
      <c r="G5012" s="2"/>
    </row>
    <row r="5013" spans="1:7">
      <c r="A5013" s="263" t="s">
        <v>419</v>
      </c>
      <c r="B5013" s="263"/>
      <c r="C5013" s="263"/>
      <c r="D5013" s="263"/>
      <c r="E5013" s="263"/>
      <c r="F5013" s="263"/>
      <c r="G5013" s="80">
        <f>SUM(G5012)</f>
        <v>0</v>
      </c>
    </row>
    <row r="5014" spans="1:7">
      <c r="A5014" s="81" t="s">
        <v>38</v>
      </c>
      <c r="B5014" s="262" t="s">
        <v>39</v>
      </c>
      <c r="C5014" s="262"/>
      <c r="D5014" s="262"/>
      <c r="E5014" s="262"/>
      <c r="F5014" s="262"/>
      <c r="G5014" s="118">
        <f>SUM(G5001:G5013)/2</f>
        <v>15610</v>
      </c>
    </row>
    <row r="5015" spans="1:7">
      <c r="A5015" s="81" t="s">
        <v>40</v>
      </c>
      <c r="B5015" s="262" t="s">
        <v>180</v>
      </c>
      <c r="C5015" s="262"/>
      <c r="D5015" s="262"/>
      <c r="E5015" s="262"/>
      <c r="F5015" s="82">
        <v>0.1</v>
      </c>
      <c r="G5015" s="80">
        <f>G5014*F5015</f>
        <v>1561</v>
      </c>
    </row>
    <row r="5016" spans="1:7">
      <c r="A5016" s="81" t="s">
        <v>41</v>
      </c>
      <c r="B5016" s="262" t="s">
        <v>42</v>
      </c>
      <c r="C5016" s="262"/>
      <c r="D5016" s="262"/>
      <c r="E5016" s="262"/>
      <c r="F5016" s="262"/>
      <c r="G5016" s="80">
        <f>G5014+G5015</f>
        <v>17171</v>
      </c>
    </row>
    <row r="5017" spans="1:7">
      <c r="A5017" s="90"/>
      <c r="B5017" s="91"/>
      <c r="C5017" s="91"/>
      <c r="D5017" s="91"/>
      <c r="E5017" s="91"/>
      <c r="F5017" s="91"/>
      <c r="G5017" s="92"/>
    </row>
    <row r="5018" spans="1:7">
      <c r="A5018" s="4" t="s">
        <v>472</v>
      </c>
      <c r="B5018" s="91"/>
      <c r="C5018" s="91"/>
      <c r="D5018" s="91"/>
      <c r="E5018" s="91"/>
      <c r="F5018" s="91"/>
      <c r="G5018" s="92"/>
    </row>
    <row r="5019" spans="1:7" ht="30">
      <c r="A5019" s="79" t="s">
        <v>0</v>
      </c>
      <c r="B5019" s="79" t="s">
        <v>1</v>
      </c>
      <c r="C5019" s="79" t="s">
        <v>207</v>
      </c>
      <c r="D5019" s="79" t="s">
        <v>3</v>
      </c>
      <c r="E5019" s="79" t="s">
        <v>2</v>
      </c>
      <c r="F5019" s="79" t="s">
        <v>417</v>
      </c>
      <c r="G5019" s="79" t="s">
        <v>418</v>
      </c>
    </row>
    <row r="5020" spans="1:7">
      <c r="A5020" s="8" t="s">
        <v>4</v>
      </c>
      <c r="B5020" s="1" t="s">
        <v>5</v>
      </c>
      <c r="C5020" s="8"/>
      <c r="D5020" s="9"/>
      <c r="E5020" s="19"/>
      <c r="F5020" s="2"/>
      <c r="G5020" s="2"/>
    </row>
    <row r="5021" spans="1:7">
      <c r="A5021" s="8">
        <v>1</v>
      </c>
      <c r="B5021" s="1" t="s">
        <v>48</v>
      </c>
      <c r="C5021" s="8" t="s">
        <v>49</v>
      </c>
      <c r="D5021" s="9" t="s">
        <v>8</v>
      </c>
      <c r="E5021" s="10" t="s">
        <v>65</v>
      </c>
      <c r="F5021" s="86">
        <f>VLOOKUP(B5021,'HSD UPAH,BAHAN,ALAT'!$C$6:F4531,4,FALSE)</f>
        <v>100000</v>
      </c>
      <c r="G5021" s="87">
        <f t="shared" ref="G5021:G5024" si="638">E5021*F5021</f>
        <v>2000</v>
      </c>
    </row>
    <row r="5022" spans="1:7">
      <c r="A5022" s="8">
        <v>2</v>
      </c>
      <c r="B5022" s="1" t="s">
        <v>6</v>
      </c>
      <c r="C5022" s="8" t="s">
        <v>7</v>
      </c>
      <c r="D5022" s="9" t="s">
        <v>8</v>
      </c>
      <c r="E5022" s="10" t="s">
        <v>65</v>
      </c>
      <c r="F5022" s="86">
        <f>VLOOKUP(B5022,'HSD UPAH,BAHAN,ALAT'!$C$6:F4532,4,FALSE)</f>
        <v>100000</v>
      </c>
      <c r="G5022" s="87">
        <f t="shared" si="638"/>
        <v>2000</v>
      </c>
    </row>
    <row r="5023" spans="1:7">
      <c r="A5023" s="8">
        <v>3</v>
      </c>
      <c r="B5023" s="1" t="s">
        <v>10</v>
      </c>
      <c r="C5023" s="8" t="s">
        <v>11</v>
      </c>
      <c r="D5023" s="9" t="s">
        <v>8</v>
      </c>
      <c r="E5023" s="10" t="s">
        <v>101</v>
      </c>
      <c r="F5023" s="86">
        <f>VLOOKUP(B5023,'HSD UPAH,BAHAN,ALAT'!$C$6:F4533,4,FALSE)</f>
        <v>120000</v>
      </c>
      <c r="G5023" s="87">
        <f t="shared" si="638"/>
        <v>480</v>
      </c>
    </row>
    <row r="5024" spans="1:7">
      <c r="A5024" s="8">
        <v>4</v>
      </c>
      <c r="B5024" s="1" t="s">
        <v>13</v>
      </c>
      <c r="C5024" s="8" t="s">
        <v>14</v>
      </c>
      <c r="D5024" s="9" t="s">
        <v>8</v>
      </c>
      <c r="E5024" s="10" t="s">
        <v>102</v>
      </c>
      <c r="F5024" s="86">
        <f>VLOOKUP(B5024,'HSD UPAH,BAHAN,ALAT'!$C$6:F4534,4,FALSE)</f>
        <v>100000</v>
      </c>
      <c r="G5024" s="87">
        <f t="shared" si="638"/>
        <v>130</v>
      </c>
    </row>
    <row r="5025" spans="1:7">
      <c r="A5025" s="261" t="s">
        <v>420</v>
      </c>
      <c r="B5025" s="261"/>
      <c r="C5025" s="261"/>
      <c r="D5025" s="261"/>
      <c r="E5025" s="261"/>
      <c r="F5025" s="261"/>
      <c r="G5025" s="85">
        <f>SUM(G5021:G5024)</f>
        <v>4610</v>
      </c>
    </row>
    <row r="5026" spans="1:7">
      <c r="A5026" s="8" t="s">
        <v>16</v>
      </c>
      <c r="B5026" s="1" t="s">
        <v>17</v>
      </c>
      <c r="C5026" s="8"/>
      <c r="D5026" s="9"/>
      <c r="E5026" s="19"/>
      <c r="F5026" s="2"/>
      <c r="G5026" s="2"/>
    </row>
    <row r="5027" spans="1:7">
      <c r="A5027" s="8">
        <v>1</v>
      </c>
      <c r="B5027" s="1" t="s">
        <v>111</v>
      </c>
      <c r="C5027" s="8"/>
      <c r="D5027" s="9" t="s">
        <v>104</v>
      </c>
      <c r="E5027" s="10" t="s">
        <v>105</v>
      </c>
      <c r="F5027" s="86">
        <f>VLOOKUP(B5027,'HSD UPAH,BAHAN,ALAT'!$C$6:F4537,4,FALSE)</f>
        <v>10000</v>
      </c>
      <c r="G5027" s="87">
        <f t="shared" ref="G5027" si="639">E5027*F5027</f>
        <v>10000</v>
      </c>
    </row>
    <row r="5028" spans="1:7">
      <c r="A5028" s="8">
        <v>2</v>
      </c>
      <c r="B5028" s="1" t="s">
        <v>26</v>
      </c>
      <c r="C5028" s="8"/>
      <c r="D5028" s="9"/>
      <c r="E5028" s="19"/>
      <c r="F5028" s="2"/>
      <c r="G5028" s="2"/>
    </row>
    <row r="5029" spans="1:7">
      <c r="A5029" s="8" t="s">
        <v>22</v>
      </c>
      <c r="B5029" s="1" t="s">
        <v>106</v>
      </c>
      <c r="C5029" s="8"/>
      <c r="D5029" s="9" t="s">
        <v>28</v>
      </c>
      <c r="E5029" s="10" t="s">
        <v>107</v>
      </c>
      <c r="F5029" s="86">
        <f>VLOOKUP(B5029,'HSD UPAH,BAHAN,ALAT'!$C$6:F4539,4,FALSE)</f>
        <v>10000</v>
      </c>
      <c r="G5029" s="87">
        <f t="shared" ref="G5029:G5030" si="640">E5029*F5029</f>
        <v>900</v>
      </c>
    </row>
    <row r="5030" spans="1:7">
      <c r="A5030" s="8" t="s">
        <v>30</v>
      </c>
      <c r="B5030" s="1" t="s">
        <v>108</v>
      </c>
      <c r="C5030" s="8"/>
      <c r="D5030" s="9" t="s">
        <v>28</v>
      </c>
      <c r="E5030" s="10" t="s">
        <v>93</v>
      </c>
      <c r="F5030" s="86">
        <f>VLOOKUP(B5030,'HSD UPAH,BAHAN,ALAT'!$C$6:F4540,4,FALSE)</f>
        <v>10000</v>
      </c>
      <c r="G5030" s="87">
        <f t="shared" si="640"/>
        <v>100</v>
      </c>
    </row>
    <row r="5031" spans="1:7">
      <c r="A5031" s="261" t="s">
        <v>421</v>
      </c>
      <c r="B5031" s="261"/>
      <c r="C5031" s="261"/>
      <c r="D5031" s="261"/>
      <c r="E5031" s="261"/>
      <c r="F5031" s="261"/>
      <c r="G5031" s="85">
        <f>SUM(G5027:G5030)</f>
        <v>11000</v>
      </c>
    </row>
    <row r="5032" spans="1:7">
      <c r="A5032" s="8" t="s">
        <v>36</v>
      </c>
      <c r="B5032" s="1" t="s">
        <v>37</v>
      </c>
      <c r="C5032" s="8"/>
      <c r="D5032" s="9"/>
      <c r="E5032" s="19"/>
      <c r="F5032" s="2"/>
      <c r="G5032" s="2"/>
    </row>
    <row r="5033" spans="1:7">
      <c r="A5033" s="263" t="s">
        <v>419</v>
      </c>
      <c r="B5033" s="263"/>
      <c r="C5033" s="263"/>
      <c r="D5033" s="263"/>
      <c r="E5033" s="263"/>
      <c r="F5033" s="263"/>
      <c r="G5033" s="80">
        <f>SUM(G5032)</f>
        <v>0</v>
      </c>
    </row>
    <row r="5034" spans="1:7">
      <c r="A5034" s="81" t="s">
        <v>38</v>
      </c>
      <c r="B5034" s="262" t="s">
        <v>39</v>
      </c>
      <c r="C5034" s="262"/>
      <c r="D5034" s="262"/>
      <c r="E5034" s="262"/>
      <c r="F5034" s="262"/>
      <c r="G5034" s="118">
        <f>SUM(G5021:G5033)/2</f>
        <v>15610</v>
      </c>
    </row>
    <row r="5035" spans="1:7">
      <c r="A5035" s="81" t="s">
        <v>40</v>
      </c>
      <c r="B5035" s="262" t="s">
        <v>180</v>
      </c>
      <c r="C5035" s="262"/>
      <c r="D5035" s="262"/>
      <c r="E5035" s="262"/>
      <c r="F5035" s="82">
        <v>0.1</v>
      </c>
      <c r="G5035" s="80">
        <f>G5034*F5035</f>
        <v>1561</v>
      </c>
    </row>
    <row r="5036" spans="1:7">
      <c r="A5036" s="81" t="s">
        <v>41</v>
      </c>
      <c r="B5036" s="262" t="s">
        <v>42</v>
      </c>
      <c r="C5036" s="262"/>
      <c r="D5036" s="262"/>
      <c r="E5036" s="262"/>
      <c r="F5036" s="262"/>
      <c r="G5036" s="80">
        <f>G5034+G5035</f>
        <v>17171</v>
      </c>
    </row>
    <row r="5037" spans="1:7">
      <c r="A5037" s="90"/>
      <c r="B5037" s="91"/>
      <c r="C5037" s="91"/>
      <c r="D5037" s="91"/>
      <c r="E5037" s="91"/>
      <c r="F5037" s="91"/>
      <c r="G5037" s="92"/>
    </row>
    <row r="5038" spans="1:7">
      <c r="A5038" s="95" t="s">
        <v>112</v>
      </c>
      <c r="B5038" s="99" t="s">
        <v>113</v>
      </c>
      <c r="C5038" s="14"/>
      <c r="D5038" s="14"/>
      <c r="E5038" s="13"/>
      <c r="F5038" s="110"/>
      <c r="G5038" s="110"/>
    </row>
    <row r="5039" spans="1:7">
      <c r="A5039" s="95" t="s">
        <v>114</v>
      </c>
      <c r="B5039" s="99" t="s">
        <v>641</v>
      </c>
      <c r="C5039" s="14"/>
      <c r="D5039" s="14"/>
      <c r="E5039" s="111"/>
      <c r="F5039" s="112"/>
      <c r="G5039" s="112"/>
    </row>
    <row r="5040" spans="1:7" ht="30">
      <c r="A5040" s="79" t="s">
        <v>0</v>
      </c>
      <c r="B5040" s="79" t="s">
        <v>1</v>
      </c>
      <c r="C5040" s="79" t="s">
        <v>207</v>
      </c>
      <c r="D5040" s="79" t="s">
        <v>3</v>
      </c>
      <c r="E5040" s="79" t="s">
        <v>2</v>
      </c>
      <c r="F5040" s="79" t="s">
        <v>417</v>
      </c>
      <c r="G5040" s="79" t="s">
        <v>418</v>
      </c>
    </row>
    <row r="5041" spans="1:7">
      <c r="A5041" s="8" t="s">
        <v>4</v>
      </c>
      <c r="B5041" s="1" t="s">
        <v>5</v>
      </c>
      <c r="C5041" s="8"/>
      <c r="D5041" s="9"/>
      <c r="E5041" s="19"/>
      <c r="F5041" s="2"/>
      <c r="G5041" s="2"/>
    </row>
    <row r="5042" spans="1:7">
      <c r="A5042" s="8">
        <v>1</v>
      </c>
      <c r="B5042" s="1" t="s">
        <v>48</v>
      </c>
      <c r="C5042" s="8" t="s">
        <v>49</v>
      </c>
      <c r="D5042" s="9" t="s">
        <v>8</v>
      </c>
      <c r="E5042" s="10" t="s">
        <v>98</v>
      </c>
      <c r="F5042" s="86">
        <f>VLOOKUP(B5042,'HSD UPAH,BAHAN,ALAT'!$C$6:F4551,4,FALSE)</f>
        <v>100000</v>
      </c>
      <c r="G5042" s="87">
        <f t="shared" ref="G5042:G5045" si="641">E5042*F5042</f>
        <v>50</v>
      </c>
    </row>
    <row r="5043" spans="1:7">
      <c r="A5043" s="8">
        <v>2</v>
      </c>
      <c r="B5043" s="1" t="s">
        <v>6</v>
      </c>
      <c r="C5043" s="8" t="s">
        <v>7</v>
      </c>
      <c r="D5043" s="9" t="s">
        <v>8</v>
      </c>
      <c r="E5043" s="10" t="s">
        <v>35</v>
      </c>
      <c r="F5043" s="86">
        <f>VLOOKUP(B5043,'HSD UPAH,BAHAN,ALAT'!$C$6:F4552,4,FALSE)</f>
        <v>100000</v>
      </c>
      <c r="G5043" s="87">
        <f t="shared" si="641"/>
        <v>100</v>
      </c>
    </row>
    <row r="5044" spans="1:7">
      <c r="A5044" s="8">
        <v>3</v>
      </c>
      <c r="B5044" s="1" t="s">
        <v>10</v>
      </c>
      <c r="C5044" s="8" t="s">
        <v>11</v>
      </c>
      <c r="D5044" s="9" t="s">
        <v>8</v>
      </c>
      <c r="E5044" s="10" t="s">
        <v>99</v>
      </c>
      <c r="F5044" s="86">
        <f>VLOOKUP(B5044,'HSD UPAH,BAHAN,ALAT'!$C$6:F4553,4,FALSE)</f>
        <v>120000</v>
      </c>
      <c r="G5044" s="87">
        <f t="shared" si="641"/>
        <v>12</v>
      </c>
    </row>
    <row r="5045" spans="1:7">
      <c r="A5045" s="8">
        <v>4</v>
      </c>
      <c r="B5045" s="1" t="s">
        <v>13</v>
      </c>
      <c r="C5045" s="8" t="s">
        <v>14</v>
      </c>
      <c r="D5045" s="9" t="s">
        <v>8</v>
      </c>
      <c r="E5045" s="10" t="s">
        <v>100</v>
      </c>
      <c r="F5045" s="86">
        <f>VLOOKUP(B5045,'HSD UPAH,BAHAN,ALAT'!$C$6:F4554,4,FALSE)</f>
        <v>100000</v>
      </c>
      <c r="G5045" s="87">
        <f t="shared" si="641"/>
        <v>3</v>
      </c>
    </row>
    <row r="5046" spans="1:7">
      <c r="A5046" s="261" t="s">
        <v>420</v>
      </c>
      <c r="B5046" s="261"/>
      <c r="C5046" s="261"/>
      <c r="D5046" s="261"/>
      <c r="E5046" s="261"/>
      <c r="F5046" s="261"/>
      <c r="G5046" s="85">
        <f>SUM(G5042:G5045)</f>
        <v>165</v>
      </c>
    </row>
    <row r="5047" spans="1:7">
      <c r="A5047" s="8" t="s">
        <v>16</v>
      </c>
      <c r="B5047" s="1" t="s">
        <v>17</v>
      </c>
      <c r="C5047" s="8"/>
      <c r="D5047" s="9"/>
      <c r="E5047" s="19"/>
      <c r="F5047" s="2"/>
      <c r="G5047" s="2"/>
    </row>
    <row r="5048" spans="1:7" ht="45">
      <c r="A5048" s="8">
        <v>1</v>
      </c>
      <c r="B5048" s="5" t="s">
        <v>213</v>
      </c>
      <c r="C5048" s="8"/>
      <c r="D5048" s="12" t="s">
        <v>104</v>
      </c>
      <c r="E5048" s="7" t="s">
        <v>105</v>
      </c>
      <c r="F5048" s="86">
        <f>VLOOKUP(B5048,'HSD UPAH,BAHAN,ALAT'!$C$6:F4557,4,FALSE)</f>
        <v>10000</v>
      </c>
      <c r="G5048" s="87">
        <f t="shared" ref="G5048:G5054" si="642">E5048*F5048</f>
        <v>10000</v>
      </c>
    </row>
    <row r="5049" spans="1:7" ht="30">
      <c r="A5049" s="8">
        <v>2</v>
      </c>
      <c r="B5049" s="5" t="s">
        <v>214</v>
      </c>
      <c r="C5049" s="8"/>
      <c r="D5049" s="12" t="s">
        <v>19</v>
      </c>
      <c r="E5049" s="7" t="s">
        <v>59</v>
      </c>
      <c r="F5049" s="86">
        <f>VLOOKUP(B5049,'HSD UPAH,BAHAN,ALAT'!$C$6:F4558,4,FALSE)</f>
        <v>10000</v>
      </c>
      <c r="G5049" s="87">
        <f t="shared" si="642"/>
        <v>30</v>
      </c>
    </row>
    <row r="5050" spans="1:7" ht="30">
      <c r="A5050" s="8">
        <v>3</v>
      </c>
      <c r="B5050" s="5" t="s">
        <v>215</v>
      </c>
      <c r="C5050" s="8"/>
      <c r="D5050" s="12" t="s">
        <v>19</v>
      </c>
      <c r="E5050" s="7" t="s">
        <v>53</v>
      </c>
      <c r="F5050" s="86">
        <f>VLOOKUP(B5050,'HSD UPAH,BAHAN,ALAT'!$C$6:F4559,4,FALSE)</f>
        <v>10000</v>
      </c>
      <c r="G5050" s="87">
        <f t="shared" si="642"/>
        <v>100</v>
      </c>
    </row>
    <row r="5051" spans="1:7">
      <c r="A5051" s="8">
        <v>4</v>
      </c>
      <c r="B5051" s="1" t="s">
        <v>115</v>
      </c>
      <c r="C5051" s="8"/>
      <c r="D5051" s="9" t="s">
        <v>19</v>
      </c>
      <c r="E5051" s="10" t="s">
        <v>116</v>
      </c>
      <c r="F5051" s="86">
        <f>VLOOKUP(B5051,'HSD UPAH,BAHAN,ALAT'!$C$6:F4560,4,FALSE)</f>
        <v>10000</v>
      </c>
      <c r="G5051" s="87">
        <f t="shared" si="642"/>
        <v>3000</v>
      </c>
    </row>
    <row r="5052" spans="1:7">
      <c r="A5052" s="8">
        <v>5</v>
      </c>
      <c r="B5052" s="1" t="s">
        <v>117</v>
      </c>
      <c r="C5052" s="8"/>
      <c r="D5052" s="9" t="s">
        <v>19</v>
      </c>
      <c r="E5052" s="10" t="s">
        <v>118</v>
      </c>
      <c r="F5052" s="86">
        <f>VLOOKUP(B5052,'HSD UPAH,BAHAN,ALAT'!$C$6:F4561,4,FALSE)</f>
        <v>10000</v>
      </c>
      <c r="G5052" s="87">
        <f t="shared" si="642"/>
        <v>6000</v>
      </c>
    </row>
    <row r="5053" spans="1:7" ht="30">
      <c r="A5053" s="8">
        <v>6</v>
      </c>
      <c r="B5053" s="5" t="s">
        <v>216</v>
      </c>
      <c r="C5053" s="8"/>
      <c r="D5053" s="12" t="s">
        <v>19</v>
      </c>
      <c r="E5053" s="7" t="s">
        <v>101</v>
      </c>
      <c r="F5053" s="86">
        <f>VLOOKUP(B5053,'HSD UPAH,BAHAN,ALAT'!$C$6:F4562,4,FALSE)</f>
        <v>10000</v>
      </c>
      <c r="G5053" s="87">
        <f t="shared" si="642"/>
        <v>40</v>
      </c>
    </row>
    <row r="5054" spans="1:7">
      <c r="A5054" s="8">
        <v>7</v>
      </c>
      <c r="B5054" s="1" t="s">
        <v>119</v>
      </c>
      <c r="C5054" s="8"/>
      <c r="D5054" s="9" t="s">
        <v>120</v>
      </c>
      <c r="E5054" s="10" t="s">
        <v>121</v>
      </c>
      <c r="F5054" s="86">
        <f>VLOOKUP(B5054,'HSD UPAH,BAHAN,ALAT'!$C$6:F4563,4,FALSE)</f>
        <v>10000</v>
      </c>
      <c r="G5054" s="87">
        <f t="shared" si="642"/>
        <v>56000</v>
      </c>
    </row>
    <row r="5055" spans="1:7">
      <c r="A5055" s="261" t="s">
        <v>421</v>
      </c>
      <c r="B5055" s="261"/>
      <c r="C5055" s="261"/>
      <c r="D5055" s="261"/>
      <c r="E5055" s="261"/>
      <c r="F5055" s="261"/>
      <c r="G5055" s="85">
        <f>SUM(G5048:G5054)</f>
        <v>75170</v>
      </c>
    </row>
    <row r="5056" spans="1:7">
      <c r="A5056" s="8" t="s">
        <v>36</v>
      </c>
      <c r="B5056" s="1" t="s">
        <v>37</v>
      </c>
      <c r="C5056" s="8"/>
      <c r="D5056" s="9"/>
      <c r="E5056" s="19"/>
      <c r="F5056" s="2"/>
      <c r="G5056" s="2"/>
    </row>
    <row r="5057" spans="1:7" ht="45">
      <c r="A5057" s="8">
        <v>1</v>
      </c>
      <c r="B5057" s="5" t="s">
        <v>217</v>
      </c>
      <c r="C5057" s="8"/>
      <c r="D5057" s="9" t="s">
        <v>122</v>
      </c>
      <c r="E5057" s="10" t="s">
        <v>98</v>
      </c>
      <c r="F5057" s="86">
        <f>VLOOKUP(B5057,'HSD UPAH,BAHAN,ALAT'!$C$6:F4566,4,FALSE)</f>
        <v>10000</v>
      </c>
      <c r="G5057" s="87">
        <f t="shared" ref="G5057" si="643">E5057*F5057</f>
        <v>5</v>
      </c>
    </row>
    <row r="5058" spans="1:7">
      <c r="A5058" s="263" t="s">
        <v>419</v>
      </c>
      <c r="B5058" s="263"/>
      <c r="C5058" s="263"/>
      <c r="D5058" s="263"/>
      <c r="E5058" s="263"/>
      <c r="F5058" s="263"/>
      <c r="G5058" s="80">
        <f>SUM(G5057)</f>
        <v>5</v>
      </c>
    </row>
    <row r="5059" spans="1:7">
      <c r="A5059" s="81" t="s">
        <v>38</v>
      </c>
      <c r="B5059" s="262" t="s">
        <v>39</v>
      </c>
      <c r="C5059" s="262"/>
      <c r="D5059" s="262"/>
      <c r="E5059" s="262"/>
      <c r="F5059" s="262"/>
      <c r="G5059" s="118">
        <f>SUM(G5042:G5058)/2</f>
        <v>75340</v>
      </c>
    </row>
    <row r="5060" spans="1:7">
      <c r="A5060" s="81" t="s">
        <v>40</v>
      </c>
      <c r="B5060" s="262" t="s">
        <v>180</v>
      </c>
      <c r="C5060" s="262"/>
      <c r="D5060" s="262"/>
      <c r="E5060" s="262"/>
      <c r="F5060" s="82">
        <v>0.1</v>
      </c>
      <c r="G5060" s="80">
        <f>G5059*F5060</f>
        <v>7534</v>
      </c>
    </row>
    <row r="5061" spans="1:7">
      <c r="A5061" s="81" t="s">
        <v>41</v>
      </c>
      <c r="B5061" s="262" t="s">
        <v>42</v>
      </c>
      <c r="C5061" s="262"/>
      <c r="D5061" s="262"/>
      <c r="E5061" s="262"/>
      <c r="F5061" s="262"/>
      <c r="G5061" s="80">
        <f>G5059+G5060</f>
        <v>82874</v>
      </c>
    </row>
    <row r="5062" spans="1:7">
      <c r="A5062" s="90"/>
      <c r="B5062" s="91"/>
      <c r="C5062" s="91"/>
      <c r="D5062" s="91"/>
      <c r="E5062" s="91"/>
      <c r="F5062" s="91"/>
      <c r="G5062" s="92"/>
    </row>
    <row r="5063" spans="1:7">
      <c r="A5063" s="97" t="s">
        <v>431</v>
      </c>
      <c r="B5063" s="97" t="s">
        <v>473</v>
      </c>
      <c r="C5063" s="91"/>
      <c r="D5063" s="91"/>
      <c r="E5063" s="91"/>
      <c r="F5063" s="91"/>
      <c r="G5063" s="92"/>
    </row>
    <row r="5064" spans="1:7" ht="30">
      <c r="A5064" s="79" t="s">
        <v>0</v>
      </c>
      <c r="B5064" s="79" t="s">
        <v>1</v>
      </c>
      <c r="C5064" s="79" t="s">
        <v>207</v>
      </c>
      <c r="D5064" s="79" t="s">
        <v>3</v>
      </c>
      <c r="E5064" s="79" t="s">
        <v>2</v>
      </c>
      <c r="F5064" s="79" t="s">
        <v>417</v>
      </c>
      <c r="G5064" s="79" t="s">
        <v>418</v>
      </c>
    </row>
    <row r="5065" spans="1:7">
      <c r="A5065" s="8" t="s">
        <v>4</v>
      </c>
      <c r="B5065" s="1" t="s">
        <v>5</v>
      </c>
      <c r="C5065" s="8"/>
      <c r="D5065" s="9"/>
      <c r="E5065" s="19"/>
      <c r="F5065" s="2"/>
      <c r="G5065" s="2"/>
    </row>
    <row r="5066" spans="1:7">
      <c r="A5066" s="8">
        <v>1</v>
      </c>
      <c r="B5066" s="1" t="s">
        <v>48</v>
      </c>
      <c r="C5066" s="8" t="s">
        <v>49</v>
      </c>
      <c r="D5066" s="9" t="s">
        <v>8</v>
      </c>
      <c r="E5066" s="10" t="s">
        <v>123</v>
      </c>
      <c r="F5066" s="86">
        <f>VLOOKUP(B5066,'HSD UPAH,BAHAN,ALAT'!$C$6:F4573,4,FALSE)</f>
        <v>100000</v>
      </c>
      <c r="G5066" s="87">
        <f t="shared" ref="G5066:G5069" si="644">E5066*F5066</f>
        <v>2500</v>
      </c>
    </row>
    <row r="5067" spans="1:7">
      <c r="A5067" s="8">
        <v>2</v>
      </c>
      <c r="B5067" s="1" t="s">
        <v>124</v>
      </c>
      <c r="C5067" s="8" t="s">
        <v>7</v>
      </c>
      <c r="D5067" s="9" t="s">
        <v>8</v>
      </c>
      <c r="E5067" s="10" t="s">
        <v>80</v>
      </c>
      <c r="F5067" s="86">
        <f>VLOOKUP(B5067,'HSD UPAH,BAHAN,ALAT'!$C$6:F4574,4,FALSE)</f>
        <v>100000</v>
      </c>
      <c r="G5067" s="87">
        <f t="shared" si="644"/>
        <v>5000</v>
      </c>
    </row>
    <row r="5068" spans="1:7">
      <c r="A5068" s="8">
        <v>3</v>
      </c>
      <c r="B5068" s="1" t="s">
        <v>10</v>
      </c>
      <c r="C5068" s="8" t="s">
        <v>11</v>
      </c>
      <c r="D5068" s="9" t="s">
        <v>8</v>
      </c>
      <c r="E5068" s="10" t="s">
        <v>53</v>
      </c>
      <c r="F5068" s="86">
        <f>VLOOKUP(B5068,'HSD UPAH,BAHAN,ALAT'!$C$6:F4575,4,FALSE)</f>
        <v>120000</v>
      </c>
      <c r="G5068" s="87">
        <f t="shared" si="644"/>
        <v>1200</v>
      </c>
    </row>
    <row r="5069" spans="1:7">
      <c r="A5069" s="8">
        <v>4</v>
      </c>
      <c r="B5069" s="1" t="s">
        <v>13</v>
      </c>
      <c r="C5069" s="8" t="s">
        <v>14</v>
      </c>
      <c r="D5069" s="9" t="s">
        <v>8</v>
      </c>
      <c r="E5069" s="10" t="s">
        <v>94</v>
      </c>
      <c r="F5069" s="86">
        <f>VLOOKUP(B5069,'HSD UPAH,BAHAN,ALAT'!$C$6:F4576,4,FALSE)</f>
        <v>100000</v>
      </c>
      <c r="G5069" s="87">
        <f t="shared" si="644"/>
        <v>330</v>
      </c>
    </row>
    <row r="5070" spans="1:7">
      <c r="A5070" s="261" t="s">
        <v>420</v>
      </c>
      <c r="B5070" s="261"/>
      <c r="C5070" s="261"/>
      <c r="D5070" s="261"/>
      <c r="E5070" s="261"/>
      <c r="F5070" s="261"/>
      <c r="G5070" s="85">
        <f>SUM(G5066:G5069)</f>
        <v>9030</v>
      </c>
    </row>
    <row r="5071" spans="1:7">
      <c r="A5071" s="8" t="s">
        <v>16</v>
      </c>
      <c r="B5071" s="1" t="s">
        <v>17</v>
      </c>
      <c r="C5071" s="8"/>
      <c r="D5071" s="9"/>
      <c r="E5071" s="19"/>
      <c r="F5071" s="2"/>
      <c r="G5071" s="2"/>
    </row>
    <row r="5072" spans="1:7" ht="45">
      <c r="A5072" s="8">
        <v>1</v>
      </c>
      <c r="B5072" s="5" t="s">
        <v>218</v>
      </c>
      <c r="C5072" s="8"/>
      <c r="D5072" s="12" t="s">
        <v>104</v>
      </c>
      <c r="E5072" s="7" t="s">
        <v>131</v>
      </c>
      <c r="F5072" s="86">
        <f>VLOOKUP(B5072,'HSD UPAH,BAHAN,ALAT'!$C$6:F4579,4,FALSE)</f>
        <v>10000</v>
      </c>
      <c r="G5072" s="87">
        <f t="shared" ref="G5072:G5078" si="645">E5072*F5072</f>
        <v>10000</v>
      </c>
    </row>
    <row r="5073" spans="1:7" ht="30">
      <c r="A5073" s="8">
        <v>2</v>
      </c>
      <c r="B5073" s="5" t="s">
        <v>219</v>
      </c>
      <c r="C5073" s="8"/>
      <c r="D5073" s="12" t="s">
        <v>19</v>
      </c>
      <c r="E5073" s="7" t="s">
        <v>59</v>
      </c>
      <c r="F5073" s="86">
        <f>VLOOKUP(B5073,'HSD UPAH,BAHAN,ALAT'!$C$6:F4580,4,FALSE)</f>
        <v>10000</v>
      </c>
      <c r="G5073" s="87">
        <f t="shared" si="645"/>
        <v>30</v>
      </c>
    </row>
    <row r="5074" spans="1:7" ht="30">
      <c r="A5074" s="8">
        <v>3</v>
      </c>
      <c r="B5074" s="5" t="s">
        <v>215</v>
      </c>
      <c r="C5074" s="8"/>
      <c r="D5074" s="12" t="s">
        <v>19</v>
      </c>
      <c r="E5074" s="7" t="s">
        <v>53</v>
      </c>
      <c r="F5074" s="86">
        <f>VLOOKUP(B5074,'HSD UPAH,BAHAN,ALAT'!$C$6:F4581,4,FALSE)</f>
        <v>10000</v>
      </c>
      <c r="G5074" s="87">
        <f t="shared" si="645"/>
        <v>100</v>
      </c>
    </row>
    <row r="5075" spans="1:7">
      <c r="A5075" s="8">
        <v>4</v>
      </c>
      <c r="B5075" s="1" t="s">
        <v>115</v>
      </c>
      <c r="C5075" s="8"/>
      <c r="D5075" s="9" t="s">
        <v>19</v>
      </c>
      <c r="E5075" s="10" t="s">
        <v>116</v>
      </c>
      <c r="F5075" s="86">
        <f>VLOOKUP(B5075,'HSD UPAH,BAHAN,ALAT'!$C$6:F4582,4,FALSE)</f>
        <v>10000</v>
      </c>
      <c r="G5075" s="87">
        <f t="shared" si="645"/>
        <v>3000</v>
      </c>
    </row>
    <row r="5076" spans="1:7">
      <c r="A5076" s="8">
        <v>5</v>
      </c>
      <c r="B5076" s="1" t="s">
        <v>117</v>
      </c>
      <c r="C5076" s="8"/>
      <c r="D5076" s="9" t="s">
        <v>19</v>
      </c>
      <c r="E5076" s="10" t="s">
        <v>118</v>
      </c>
      <c r="F5076" s="86">
        <f>VLOOKUP(B5076,'HSD UPAH,BAHAN,ALAT'!$C$6:F4583,4,FALSE)</f>
        <v>10000</v>
      </c>
      <c r="G5076" s="87">
        <f t="shared" si="645"/>
        <v>6000</v>
      </c>
    </row>
    <row r="5077" spans="1:7" ht="30">
      <c r="A5077" s="8">
        <v>6</v>
      </c>
      <c r="B5077" s="5" t="s">
        <v>216</v>
      </c>
      <c r="C5077" s="8"/>
      <c r="D5077" s="12" t="s">
        <v>19</v>
      </c>
      <c r="E5077" s="7" t="s">
        <v>101</v>
      </c>
      <c r="F5077" s="86">
        <f>VLOOKUP(B5077,'HSD UPAH,BAHAN,ALAT'!$C$6:F4584,4,FALSE)</f>
        <v>10000</v>
      </c>
      <c r="G5077" s="87">
        <f t="shared" si="645"/>
        <v>40</v>
      </c>
    </row>
    <row r="5078" spans="1:7">
      <c r="A5078" s="8">
        <v>7</v>
      </c>
      <c r="B5078" s="1" t="s">
        <v>119</v>
      </c>
      <c r="C5078" s="8"/>
      <c r="D5078" s="9" t="s">
        <v>120</v>
      </c>
      <c r="E5078" s="10" t="s">
        <v>121</v>
      </c>
      <c r="F5078" s="86">
        <f>VLOOKUP(B5078,'HSD UPAH,BAHAN,ALAT'!$C$6:F4585,4,FALSE)</f>
        <v>10000</v>
      </c>
      <c r="G5078" s="87">
        <f t="shared" si="645"/>
        <v>56000</v>
      </c>
    </row>
    <row r="5079" spans="1:7">
      <c r="A5079" s="261" t="s">
        <v>421</v>
      </c>
      <c r="B5079" s="261"/>
      <c r="C5079" s="261"/>
      <c r="D5079" s="261"/>
      <c r="E5079" s="261"/>
      <c r="F5079" s="261"/>
      <c r="G5079" s="85">
        <f>SUM(G5072:G5078)</f>
        <v>75170</v>
      </c>
    </row>
    <row r="5080" spans="1:7">
      <c r="A5080" s="8" t="s">
        <v>36</v>
      </c>
      <c r="B5080" s="1" t="s">
        <v>37</v>
      </c>
      <c r="C5080" s="8"/>
      <c r="D5080" s="9"/>
      <c r="E5080" s="19"/>
      <c r="F5080" s="2"/>
      <c r="G5080" s="2"/>
    </row>
    <row r="5081" spans="1:7">
      <c r="A5081" s="8"/>
      <c r="B5081" s="1"/>
      <c r="C5081" s="8"/>
      <c r="D5081" s="9"/>
      <c r="E5081" s="19"/>
      <c r="F5081" s="2"/>
      <c r="G5081" s="2"/>
    </row>
    <row r="5082" spans="1:7">
      <c r="A5082" s="263" t="s">
        <v>419</v>
      </c>
      <c r="B5082" s="263"/>
      <c r="C5082" s="263"/>
      <c r="D5082" s="263"/>
      <c r="E5082" s="263"/>
      <c r="F5082" s="263"/>
      <c r="G5082" s="80">
        <f>SUM(G5081)</f>
        <v>0</v>
      </c>
    </row>
    <row r="5083" spans="1:7">
      <c r="A5083" s="81" t="s">
        <v>38</v>
      </c>
      <c r="B5083" s="262" t="s">
        <v>39</v>
      </c>
      <c r="C5083" s="262"/>
      <c r="D5083" s="262"/>
      <c r="E5083" s="262"/>
      <c r="F5083" s="262"/>
      <c r="G5083" s="118">
        <f>SUM(G5066:G5082)/2</f>
        <v>84200</v>
      </c>
    </row>
    <row r="5084" spans="1:7">
      <c r="A5084" s="81" t="s">
        <v>40</v>
      </c>
      <c r="B5084" s="262" t="s">
        <v>180</v>
      </c>
      <c r="C5084" s="262"/>
      <c r="D5084" s="262"/>
      <c r="E5084" s="262"/>
      <c r="F5084" s="82">
        <v>0.1</v>
      </c>
      <c r="G5084" s="80">
        <f>G5083*F5084</f>
        <v>8420</v>
      </c>
    </row>
    <row r="5085" spans="1:7">
      <c r="A5085" s="81" t="s">
        <v>41</v>
      </c>
      <c r="B5085" s="262" t="s">
        <v>42</v>
      </c>
      <c r="C5085" s="262"/>
      <c r="D5085" s="262"/>
      <c r="E5085" s="262"/>
      <c r="F5085" s="262"/>
      <c r="G5085" s="80">
        <f>G5083+G5084</f>
        <v>92620</v>
      </c>
    </row>
    <row r="5086" spans="1:7">
      <c r="A5086" s="90"/>
      <c r="B5086" s="91"/>
      <c r="C5086" s="91"/>
      <c r="D5086" s="91"/>
      <c r="E5086" s="91"/>
      <c r="F5086" s="91"/>
      <c r="G5086" s="92"/>
    </row>
    <row r="5087" spans="1:7">
      <c r="A5087" s="96" t="s">
        <v>432</v>
      </c>
      <c r="B5087" s="96" t="s">
        <v>678</v>
      </c>
      <c r="C5087" s="91"/>
      <c r="D5087" s="91"/>
      <c r="E5087" s="91"/>
      <c r="F5087" s="91"/>
      <c r="G5087" s="92"/>
    </row>
    <row r="5088" spans="1:7" ht="30">
      <c r="A5088" s="79" t="s">
        <v>0</v>
      </c>
      <c r="B5088" s="79" t="s">
        <v>1</v>
      </c>
      <c r="C5088" s="79" t="s">
        <v>207</v>
      </c>
      <c r="D5088" s="79" t="s">
        <v>3</v>
      </c>
      <c r="E5088" s="79" t="s">
        <v>2</v>
      </c>
      <c r="F5088" s="79" t="s">
        <v>417</v>
      </c>
      <c r="G5088" s="79" t="s">
        <v>418</v>
      </c>
    </row>
    <row r="5089" spans="1:7">
      <c r="A5089" s="8" t="s">
        <v>4</v>
      </c>
      <c r="B5089" s="1" t="s">
        <v>5</v>
      </c>
      <c r="C5089" s="8"/>
      <c r="D5089" s="9"/>
      <c r="E5089" s="19"/>
      <c r="F5089" s="2"/>
      <c r="G5089" s="2"/>
    </row>
    <row r="5090" spans="1:7">
      <c r="A5090" s="8">
        <v>1</v>
      </c>
      <c r="B5090" s="1" t="s">
        <v>48</v>
      </c>
      <c r="C5090" s="8" t="s">
        <v>49</v>
      </c>
      <c r="D5090" s="9" t="s">
        <v>8</v>
      </c>
      <c r="E5090" s="10" t="s">
        <v>95</v>
      </c>
      <c r="F5090" s="86">
        <f>VLOOKUP(B5090,'HSD UPAH,BAHAN,ALAT'!$C$6:F4595,4,FALSE)</f>
        <v>100000</v>
      </c>
      <c r="G5090" s="87">
        <f t="shared" ref="G5090:G5093" si="646">E5090*F5090</f>
        <v>100</v>
      </c>
    </row>
    <row r="5091" spans="1:7">
      <c r="A5091" s="8">
        <v>2</v>
      </c>
      <c r="B5091" s="1" t="s">
        <v>124</v>
      </c>
      <c r="C5091" s="8" t="s">
        <v>7</v>
      </c>
      <c r="D5091" s="9" t="s">
        <v>8</v>
      </c>
      <c r="E5091" s="10" t="s">
        <v>125</v>
      </c>
      <c r="F5091" s="86">
        <f>VLOOKUP(B5091,'HSD UPAH,BAHAN,ALAT'!$C$6:F4596,4,FALSE)</f>
        <v>100000</v>
      </c>
      <c r="G5091" s="87">
        <f t="shared" si="646"/>
        <v>200</v>
      </c>
    </row>
    <row r="5092" spans="1:7">
      <c r="A5092" s="8">
        <v>3</v>
      </c>
      <c r="B5092" s="1" t="s">
        <v>10</v>
      </c>
      <c r="C5092" s="8" t="s">
        <v>11</v>
      </c>
      <c r="D5092" s="9" t="s">
        <v>8</v>
      </c>
      <c r="E5092" s="10" t="s">
        <v>126</v>
      </c>
      <c r="F5092" s="86">
        <f>VLOOKUP(B5092,'HSD UPAH,BAHAN,ALAT'!$C$6:F4597,4,FALSE)</f>
        <v>120000</v>
      </c>
      <c r="G5092" s="87">
        <f t="shared" si="646"/>
        <v>24</v>
      </c>
    </row>
    <row r="5093" spans="1:7">
      <c r="A5093" s="8">
        <v>4</v>
      </c>
      <c r="B5093" s="1" t="s">
        <v>13</v>
      </c>
      <c r="C5093" s="8" t="s">
        <v>14</v>
      </c>
      <c r="D5093" s="9" t="s">
        <v>8</v>
      </c>
      <c r="E5093" s="10" t="s">
        <v>127</v>
      </c>
      <c r="F5093" s="86">
        <f>VLOOKUP(B5093,'HSD UPAH,BAHAN,ALAT'!$C$6:F4598,4,FALSE)</f>
        <v>100000</v>
      </c>
      <c r="G5093" s="87">
        <f t="shared" si="646"/>
        <v>6.7</v>
      </c>
    </row>
    <row r="5094" spans="1:7">
      <c r="A5094" s="261" t="s">
        <v>420</v>
      </c>
      <c r="B5094" s="261"/>
      <c r="C5094" s="261"/>
      <c r="D5094" s="261"/>
      <c r="E5094" s="261"/>
      <c r="F5094" s="261"/>
      <c r="G5094" s="85">
        <f>SUM(G5090:G5093)</f>
        <v>330.7</v>
      </c>
    </row>
    <row r="5095" spans="1:7">
      <c r="A5095" s="8" t="s">
        <v>16</v>
      </c>
      <c r="B5095" s="1" t="s">
        <v>17</v>
      </c>
      <c r="C5095" s="8"/>
      <c r="D5095" s="9"/>
      <c r="E5095" s="19"/>
      <c r="F5095" s="2"/>
      <c r="G5095" s="2"/>
    </row>
    <row r="5096" spans="1:7" ht="45">
      <c r="A5096" s="8">
        <v>1</v>
      </c>
      <c r="B5096" s="5" t="s">
        <v>220</v>
      </c>
      <c r="C5096" s="8"/>
      <c r="D5096" s="12" t="s">
        <v>104</v>
      </c>
      <c r="E5096" s="7" t="s">
        <v>131</v>
      </c>
      <c r="F5096" s="86">
        <f>VLOOKUP(B5096,'HSD UPAH,BAHAN,ALAT'!$C$6:F4601,4,FALSE)</f>
        <v>10000</v>
      </c>
      <c r="G5096" s="87">
        <f t="shared" ref="G5096:G5102" si="647">E5096*F5096</f>
        <v>10000</v>
      </c>
    </row>
    <row r="5097" spans="1:7" ht="30">
      <c r="A5097" s="8">
        <v>2</v>
      </c>
      <c r="B5097" s="5" t="s">
        <v>214</v>
      </c>
      <c r="C5097" s="8"/>
      <c r="D5097" s="12" t="s">
        <v>19</v>
      </c>
      <c r="E5097" s="7" t="s">
        <v>59</v>
      </c>
      <c r="F5097" s="86">
        <f>VLOOKUP(B5097,'HSD UPAH,BAHAN,ALAT'!$C$6:F4602,4,FALSE)</f>
        <v>10000</v>
      </c>
      <c r="G5097" s="87">
        <f t="shared" si="647"/>
        <v>30</v>
      </c>
    </row>
    <row r="5098" spans="1:7" ht="30">
      <c r="A5098" s="8">
        <v>3</v>
      </c>
      <c r="B5098" s="5" t="s">
        <v>215</v>
      </c>
      <c r="C5098" s="8"/>
      <c r="D5098" s="12" t="s">
        <v>19</v>
      </c>
      <c r="E5098" s="7" t="s">
        <v>53</v>
      </c>
      <c r="F5098" s="86">
        <f>VLOOKUP(B5098,'HSD UPAH,BAHAN,ALAT'!$C$6:F4603,4,FALSE)</f>
        <v>10000</v>
      </c>
      <c r="G5098" s="87">
        <f t="shared" si="647"/>
        <v>100</v>
      </c>
    </row>
    <row r="5099" spans="1:7">
      <c r="A5099" s="8">
        <v>4</v>
      </c>
      <c r="B5099" s="1" t="s">
        <v>115</v>
      </c>
      <c r="C5099" s="8"/>
      <c r="D5099" s="9" t="s">
        <v>19</v>
      </c>
      <c r="E5099" s="10" t="s">
        <v>116</v>
      </c>
      <c r="F5099" s="86">
        <f>VLOOKUP(B5099,'HSD UPAH,BAHAN,ALAT'!$C$6:F4604,4,FALSE)</f>
        <v>10000</v>
      </c>
      <c r="G5099" s="87">
        <f t="shared" si="647"/>
        <v>3000</v>
      </c>
    </row>
    <row r="5100" spans="1:7">
      <c r="A5100" s="8">
        <v>5</v>
      </c>
      <c r="B5100" s="1" t="s">
        <v>117</v>
      </c>
      <c r="C5100" s="8"/>
      <c r="D5100" s="9" t="s">
        <v>19</v>
      </c>
      <c r="E5100" s="10" t="s">
        <v>128</v>
      </c>
      <c r="F5100" s="86">
        <f>VLOOKUP(B5100,'HSD UPAH,BAHAN,ALAT'!$C$6:F4605,4,FALSE)</f>
        <v>10000</v>
      </c>
      <c r="G5100" s="87">
        <f t="shared" si="647"/>
        <v>8000</v>
      </c>
    </row>
    <row r="5101" spans="1:7" ht="30">
      <c r="A5101" s="8">
        <v>6</v>
      </c>
      <c r="B5101" s="5" t="s">
        <v>216</v>
      </c>
      <c r="C5101" s="8"/>
      <c r="D5101" s="12" t="s">
        <v>19</v>
      </c>
      <c r="E5101" s="7" t="s">
        <v>101</v>
      </c>
      <c r="F5101" s="86">
        <f>VLOOKUP(B5101,'HSD UPAH,BAHAN,ALAT'!$C$6:F4606,4,FALSE)</f>
        <v>10000</v>
      </c>
      <c r="G5101" s="87">
        <f t="shared" si="647"/>
        <v>40</v>
      </c>
    </row>
    <row r="5102" spans="1:7">
      <c r="A5102" s="8">
        <v>7</v>
      </c>
      <c r="B5102" s="1" t="s">
        <v>119</v>
      </c>
      <c r="C5102" s="8"/>
      <c r="D5102" s="9" t="s">
        <v>120</v>
      </c>
      <c r="E5102" s="10" t="s">
        <v>121</v>
      </c>
      <c r="F5102" s="86">
        <f>VLOOKUP(B5102,'HSD UPAH,BAHAN,ALAT'!$C$6:F4607,4,FALSE)</f>
        <v>10000</v>
      </c>
      <c r="G5102" s="87">
        <f t="shared" si="647"/>
        <v>56000</v>
      </c>
    </row>
    <row r="5103" spans="1:7">
      <c r="A5103" s="261" t="s">
        <v>421</v>
      </c>
      <c r="B5103" s="261"/>
      <c r="C5103" s="261"/>
      <c r="D5103" s="261"/>
      <c r="E5103" s="261"/>
      <c r="F5103" s="261"/>
      <c r="G5103" s="85">
        <f>SUM(G5096:G5102)</f>
        <v>77170</v>
      </c>
    </row>
    <row r="5104" spans="1:7">
      <c r="A5104" s="8" t="s">
        <v>36</v>
      </c>
      <c r="B5104" s="1" t="s">
        <v>37</v>
      </c>
      <c r="C5104" s="8"/>
      <c r="D5104" s="9"/>
      <c r="E5104" s="19"/>
      <c r="F5104" s="2"/>
      <c r="G5104" s="2"/>
    </row>
    <row r="5105" spans="1:7" ht="45">
      <c r="A5105" s="8">
        <v>1</v>
      </c>
      <c r="B5105" s="5" t="s">
        <v>217</v>
      </c>
      <c r="C5105" s="8"/>
      <c r="D5105" s="12" t="s">
        <v>122</v>
      </c>
      <c r="E5105" s="7" t="s">
        <v>98</v>
      </c>
      <c r="F5105" s="86">
        <f>VLOOKUP(B5105,'HSD UPAH,BAHAN,ALAT'!$C$6:F4610,4,FALSE)</f>
        <v>10000</v>
      </c>
      <c r="G5105" s="87">
        <f t="shared" ref="G5105" si="648">E5105*F5105</f>
        <v>5</v>
      </c>
    </row>
    <row r="5106" spans="1:7">
      <c r="A5106" s="263" t="s">
        <v>419</v>
      </c>
      <c r="B5106" s="263"/>
      <c r="C5106" s="263"/>
      <c r="D5106" s="263"/>
      <c r="E5106" s="263"/>
      <c r="F5106" s="263"/>
      <c r="G5106" s="80">
        <f>SUM(G5105)</f>
        <v>5</v>
      </c>
    </row>
    <row r="5107" spans="1:7">
      <c r="A5107" s="81" t="s">
        <v>38</v>
      </c>
      <c r="B5107" s="262" t="s">
        <v>39</v>
      </c>
      <c r="C5107" s="262"/>
      <c r="D5107" s="262"/>
      <c r="E5107" s="262"/>
      <c r="F5107" s="262"/>
      <c r="G5107" s="118">
        <f>SUM(G5090:G5106)/2</f>
        <v>77505.7</v>
      </c>
    </row>
    <row r="5108" spans="1:7">
      <c r="A5108" s="81" t="s">
        <v>40</v>
      </c>
      <c r="B5108" s="262" t="s">
        <v>180</v>
      </c>
      <c r="C5108" s="262"/>
      <c r="D5108" s="262"/>
      <c r="E5108" s="262"/>
      <c r="F5108" s="82">
        <v>0.1</v>
      </c>
      <c r="G5108" s="80">
        <f>G5107*F5108</f>
        <v>7750.57</v>
      </c>
    </row>
    <row r="5109" spans="1:7">
      <c r="A5109" s="81" t="s">
        <v>41</v>
      </c>
      <c r="B5109" s="262" t="s">
        <v>42</v>
      </c>
      <c r="C5109" s="262"/>
      <c r="D5109" s="262"/>
      <c r="E5109" s="262"/>
      <c r="F5109" s="262"/>
      <c r="G5109" s="80">
        <f>G5107+G5108</f>
        <v>85256.26999999999</v>
      </c>
    </row>
    <row r="5110" spans="1:7">
      <c r="A5110" s="90"/>
      <c r="B5110" s="91"/>
      <c r="C5110" s="91"/>
      <c r="D5110" s="91"/>
      <c r="E5110" s="91"/>
      <c r="F5110" s="91"/>
      <c r="G5110" s="92"/>
    </row>
    <row r="5111" spans="1:7">
      <c r="A5111" s="97" t="s">
        <v>433</v>
      </c>
      <c r="B5111" s="97" t="s">
        <v>474</v>
      </c>
      <c r="C5111" s="91"/>
      <c r="D5111" s="91"/>
      <c r="E5111" s="91"/>
      <c r="F5111" s="91"/>
      <c r="G5111" s="92"/>
    </row>
    <row r="5112" spans="1:7" ht="30">
      <c r="A5112" s="79" t="s">
        <v>0</v>
      </c>
      <c r="B5112" s="79" t="s">
        <v>1</v>
      </c>
      <c r="C5112" s="79" t="s">
        <v>207</v>
      </c>
      <c r="D5112" s="79" t="s">
        <v>3</v>
      </c>
      <c r="E5112" s="79" t="s">
        <v>2</v>
      </c>
      <c r="F5112" s="79" t="s">
        <v>417</v>
      </c>
      <c r="G5112" s="79" t="s">
        <v>418</v>
      </c>
    </row>
    <row r="5113" spans="1:7">
      <c r="A5113" s="8" t="s">
        <v>4</v>
      </c>
      <c r="B5113" s="1" t="s">
        <v>5</v>
      </c>
      <c r="C5113" s="8"/>
      <c r="D5113" s="9"/>
      <c r="E5113" s="19"/>
      <c r="F5113" s="2"/>
      <c r="G5113" s="2"/>
    </row>
    <row r="5114" spans="1:7">
      <c r="A5114" s="8">
        <v>1</v>
      </c>
      <c r="B5114" s="1" t="s">
        <v>48</v>
      </c>
      <c r="C5114" s="8" t="s">
        <v>49</v>
      </c>
      <c r="D5114" s="9" t="s">
        <v>8</v>
      </c>
      <c r="E5114" s="10" t="s">
        <v>80</v>
      </c>
      <c r="F5114" s="86">
        <f>VLOOKUP(B5114,'HSD UPAH,BAHAN,ALAT'!$C$6:F4617,4,FALSE)</f>
        <v>100000</v>
      </c>
      <c r="G5114" s="87">
        <f t="shared" ref="G5114:G5117" si="649">E5114*F5114</f>
        <v>5000</v>
      </c>
    </row>
    <row r="5115" spans="1:7">
      <c r="A5115" s="8">
        <v>2</v>
      </c>
      <c r="B5115" s="1" t="s">
        <v>124</v>
      </c>
      <c r="C5115" s="8" t="s">
        <v>7</v>
      </c>
      <c r="D5115" s="9" t="s">
        <v>8</v>
      </c>
      <c r="E5115" s="10" t="s">
        <v>53</v>
      </c>
      <c r="F5115" s="86">
        <f>VLOOKUP(B5115,'HSD UPAH,BAHAN,ALAT'!$C$6:F4618,4,FALSE)</f>
        <v>100000</v>
      </c>
      <c r="G5115" s="87">
        <f t="shared" si="649"/>
        <v>1000</v>
      </c>
    </row>
    <row r="5116" spans="1:7">
      <c r="A5116" s="8">
        <v>3</v>
      </c>
      <c r="B5116" s="1" t="s">
        <v>10</v>
      </c>
      <c r="C5116" s="8" t="s">
        <v>11</v>
      </c>
      <c r="D5116" s="9" t="s">
        <v>8</v>
      </c>
      <c r="E5116" s="10" t="s">
        <v>64</v>
      </c>
      <c r="F5116" s="86">
        <f>VLOOKUP(B5116,'HSD UPAH,BAHAN,ALAT'!$C$6:F4619,4,FALSE)</f>
        <v>120000</v>
      </c>
      <c r="G5116" s="87">
        <f t="shared" si="649"/>
        <v>2400</v>
      </c>
    </row>
    <row r="5117" spans="1:7">
      <c r="A5117" s="8">
        <v>4</v>
      </c>
      <c r="B5117" s="1" t="s">
        <v>13</v>
      </c>
      <c r="C5117" s="8" t="s">
        <v>14</v>
      </c>
      <c r="D5117" s="9" t="s">
        <v>8</v>
      </c>
      <c r="E5117" s="10" t="s">
        <v>44</v>
      </c>
      <c r="F5117" s="86">
        <f>VLOOKUP(B5117,'HSD UPAH,BAHAN,ALAT'!$C$6:F4620,4,FALSE)</f>
        <v>100000</v>
      </c>
      <c r="G5117" s="87">
        <f t="shared" si="649"/>
        <v>670</v>
      </c>
    </row>
    <row r="5118" spans="1:7">
      <c r="A5118" s="261" t="s">
        <v>420</v>
      </c>
      <c r="B5118" s="261"/>
      <c r="C5118" s="261"/>
      <c r="D5118" s="261"/>
      <c r="E5118" s="261"/>
      <c r="F5118" s="261"/>
      <c r="G5118" s="85">
        <f>SUM(G5114:G5117)</f>
        <v>9070</v>
      </c>
    </row>
    <row r="5119" spans="1:7">
      <c r="A5119" s="8" t="s">
        <v>16</v>
      </c>
      <c r="B5119" s="1" t="s">
        <v>17</v>
      </c>
      <c r="C5119" s="8"/>
      <c r="D5119" s="9"/>
      <c r="E5119" s="19"/>
      <c r="F5119" s="2"/>
      <c r="G5119" s="2"/>
    </row>
    <row r="5120" spans="1:7" ht="45">
      <c r="A5120" s="8">
        <v>1</v>
      </c>
      <c r="B5120" s="5" t="s">
        <v>220</v>
      </c>
      <c r="C5120" s="8"/>
      <c r="D5120" s="12" t="s">
        <v>104</v>
      </c>
      <c r="E5120" s="7" t="s">
        <v>131</v>
      </c>
      <c r="F5120" s="86">
        <f>VLOOKUP(B5120,'HSD UPAH,BAHAN,ALAT'!$C$6:F4623,4,FALSE)</f>
        <v>10000</v>
      </c>
      <c r="G5120" s="87">
        <f t="shared" ref="G5120:G5126" si="650">E5120*F5120</f>
        <v>10000</v>
      </c>
    </row>
    <row r="5121" spans="1:7" ht="30">
      <c r="A5121" s="8">
        <v>2</v>
      </c>
      <c r="B5121" s="5" t="s">
        <v>214</v>
      </c>
      <c r="C5121" s="8"/>
      <c r="D5121" s="9" t="s">
        <v>19</v>
      </c>
      <c r="E5121" s="10" t="s">
        <v>59</v>
      </c>
      <c r="F5121" s="86">
        <f>VLOOKUP(B5121,'HSD UPAH,BAHAN,ALAT'!$C$6:F4624,4,FALSE)</f>
        <v>10000</v>
      </c>
      <c r="G5121" s="87">
        <f t="shared" si="650"/>
        <v>30</v>
      </c>
    </row>
    <row r="5122" spans="1:7" ht="30">
      <c r="A5122" s="8">
        <v>3</v>
      </c>
      <c r="B5122" s="5" t="s">
        <v>215</v>
      </c>
      <c r="C5122" s="8"/>
      <c r="D5122" s="9" t="s">
        <v>19</v>
      </c>
      <c r="E5122" s="10" t="s">
        <v>53</v>
      </c>
      <c r="F5122" s="86">
        <f>VLOOKUP(B5122,'HSD UPAH,BAHAN,ALAT'!$C$6:F4625,4,FALSE)</f>
        <v>10000</v>
      </c>
      <c r="G5122" s="87">
        <f t="shared" si="650"/>
        <v>100</v>
      </c>
    </row>
    <row r="5123" spans="1:7">
      <c r="A5123" s="8">
        <v>4</v>
      </c>
      <c r="B5123" s="1" t="s">
        <v>115</v>
      </c>
      <c r="C5123" s="8"/>
      <c r="D5123" s="9" t="s">
        <v>19</v>
      </c>
      <c r="E5123" s="10" t="s">
        <v>116</v>
      </c>
      <c r="F5123" s="86">
        <f>VLOOKUP(B5123,'HSD UPAH,BAHAN,ALAT'!$C$6:F4626,4,FALSE)</f>
        <v>10000</v>
      </c>
      <c r="G5123" s="87">
        <f t="shared" si="650"/>
        <v>3000</v>
      </c>
    </row>
    <row r="5124" spans="1:7">
      <c r="A5124" s="8">
        <v>5</v>
      </c>
      <c r="B5124" s="1" t="s">
        <v>117</v>
      </c>
      <c r="C5124" s="8"/>
      <c r="D5124" s="9" t="s">
        <v>19</v>
      </c>
      <c r="E5124" s="10" t="s">
        <v>128</v>
      </c>
      <c r="F5124" s="86">
        <f>VLOOKUP(B5124,'HSD UPAH,BAHAN,ALAT'!$C$6:F4627,4,FALSE)</f>
        <v>10000</v>
      </c>
      <c r="G5124" s="87">
        <f t="shared" si="650"/>
        <v>8000</v>
      </c>
    </row>
    <row r="5125" spans="1:7" ht="30">
      <c r="A5125" s="8">
        <v>6</v>
      </c>
      <c r="B5125" s="5" t="s">
        <v>216</v>
      </c>
      <c r="C5125" s="8"/>
      <c r="D5125" s="9" t="s">
        <v>19</v>
      </c>
      <c r="E5125" s="10" t="s">
        <v>101</v>
      </c>
      <c r="F5125" s="86">
        <f>VLOOKUP(B5125,'HSD UPAH,BAHAN,ALAT'!$C$6:F4628,4,FALSE)</f>
        <v>10000</v>
      </c>
      <c r="G5125" s="87">
        <f t="shared" si="650"/>
        <v>40</v>
      </c>
    </row>
    <row r="5126" spans="1:7">
      <c r="A5126" s="8">
        <v>7</v>
      </c>
      <c r="B5126" s="1" t="s">
        <v>119</v>
      </c>
      <c r="C5126" s="8"/>
      <c r="D5126" s="9" t="s">
        <v>120</v>
      </c>
      <c r="E5126" s="10" t="s">
        <v>121</v>
      </c>
      <c r="F5126" s="86">
        <f>VLOOKUP(B5126,'HSD UPAH,BAHAN,ALAT'!$C$6:F4629,4,FALSE)</f>
        <v>10000</v>
      </c>
      <c r="G5126" s="87">
        <f t="shared" si="650"/>
        <v>56000</v>
      </c>
    </row>
    <row r="5127" spans="1:7">
      <c r="A5127" s="261" t="s">
        <v>421</v>
      </c>
      <c r="B5127" s="261"/>
      <c r="C5127" s="261"/>
      <c r="D5127" s="261"/>
      <c r="E5127" s="261"/>
      <c r="F5127" s="261"/>
      <c r="G5127" s="85">
        <f>SUM(G5120:G5126)</f>
        <v>77170</v>
      </c>
    </row>
    <row r="5128" spans="1:7">
      <c r="A5128" s="8" t="s">
        <v>36</v>
      </c>
      <c r="B5128" s="1" t="s">
        <v>37</v>
      </c>
      <c r="C5128" s="8"/>
      <c r="D5128" s="9"/>
      <c r="E5128" s="19"/>
      <c r="F5128" s="2"/>
      <c r="G5128" s="2"/>
    </row>
    <row r="5129" spans="1:7">
      <c r="A5129" s="8"/>
      <c r="B5129" s="1"/>
      <c r="C5129" s="8"/>
      <c r="D5129" s="9"/>
      <c r="E5129" s="19"/>
      <c r="F5129" s="2"/>
      <c r="G5129" s="2"/>
    </row>
    <row r="5130" spans="1:7">
      <c r="A5130" s="263" t="s">
        <v>419</v>
      </c>
      <c r="B5130" s="263"/>
      <c r="C5130" s="263"/>
      <c r="D5130" s="263"/>
      <c r="E5130" s="263"/>
      <c r="F5130" s="263"/>
      <c r="G5130" s="80">
        <f>SUM(G5129)</f>
        <v>0</v>
      </c>
    </row>
    <row r="5131" spans="1:7">
      <c r="A5131" s="81" t="s">
        <v>38</v>
      </c>
      <c r="B5131" s="262" t="s">
        <v>39</v>
      </c>
      <c r="C5131" s="262"/>
      <c r="D5131" s="262"/>
      <c r="E5131" s="262"/>
      <c r="F5131" s="262"/>
      <c r="G5131" s="118">
        <f>SUM(G5114:G5130)/2</f>
        <v>86240</v>
      </c>
    </row>
    <row r="5132" spans="1:7">
      <c r="A5132" s="81" t="s">
        <v>40</v>
      </c>
      <c r="B5132" s="262" t="s">
        <v>180</v>
      </c>
      <c r="C5132" s="262"/>
      <c r="D5132" s="262"/>
      <c r="E5132" s="262"/>
      <c r="F5132" s="82">
        <v>0.1</v>
      </c>
      <c r="G5132" s="80">
        <f>G5131*F5132</f>
        <v>8624</v>
      </c>
    </row>
    <row r="5133" spans="1:7">
      <c r="A5133" s="81" t="s">
        <v>41</v>
      </c>
      <c r="B5133" s="262" t="s">
        <v>42</v>
      </c>
      <c r="C5133" s="262"/>
      <c r="D5133" s="262"/>
      <c r="E5133" s="262"/>
      <c r="F5133" s="262"/>
      <c r="G5133" s="80">
        <f>G5131+G5132</f>
        <v>94864</v>
      </c>
    </row>
    <row r="5134" spans="1:7">
      <c r="A5134" s="90"/>
      <c r="B5134" s="91"/>
      <c r="C5134" s="91"/>
      <c r="D5134" s="91"/>
      <c r="E5134" s="91"/>
      <c r="F5134" s="91"/>
      <c r="G5134" s="92"/>
    </row>
    <row r="5135" spans="1:7">
      <c r="A5135" s="96" t="s">
        <v>434</v>
      </c>
      <c r="B5135" s="96" t="s">
        <v>475</v>
      </c>
      <c r="C5135" s="91"/>
      <c r="D5135" s="91"/>
      <c r="E5135" s="91"/>
      <c r="F5135" s="91"/>
      <c r="G5135" s="92"/>
    </row>
    <row r="5136" spans="1:7" ht="30">
      <c r="A5136" s="79" t="s">
        <v>0</v>
      </c>
      <c r="B5136" s="79" t="s">
        <v>1</v>
      </c>
      <c r="C5136" s="79" t="s">
        <v>207</v>
      </c>
      <c r="D5136" s="79" t="s">
        <v>3</v>
      </c>
      <c r="E5136" s="79" t="s">
        <v>2</v>
      </c>
      <c r="F5136" s="79" t="s">
        <v>417</v>
      </c>
      <c r="G5136" s="79" t="s">
        <v>418</v>
      </c>
    </row>
    <row r="5137" spans="1:7">
      <c r="A5137" s="8" t="s">
        <v>4</v>
      </c>
      <c r="B5137" s="1" t="s">
        <v>5</v>
      </c>
      <c r="C5137" s="8"/>
      <c r="D5137" s="9"/>
      <c r="E5137" s="19"/>
      <c r="F5137" s="2"/>
      <c r="G5137" s="2"/>
    </row>
    <row r="5138" spans="1:7">
      <c r="A5138" s="8">
        <v>1</v>
      </c>
      <c r="B5138" s="1" t="s">
        <v>48</v>
      </c>
      <c r="C5138" s="8" t="s">
        <v>49</v>
      </c>
      <c r="D5138" s="9" t="s">
        <v>8</v>
      </c>
      <c r="E5138" s="10" t="s">
        <v>125</v>
      </c>
      <c r="F5138" s="86">
        <f>VLOOKUP(B5138,'HSD UPAH,BAHAN,ALAT'!$C$6:F4639,4,FALSE)</f>
        <v>100000</v>
      </c>
      <c r="G5138" s="87">
        <f t="shared" ref="G5138:G5141" si="651">E5138*F5138</f>
        <v>200</v>
      </c>
    </row>
    <row r="5139" spans="1:7">
      <c r="A5139" s="8">
        <v>2</v>
      </c>
      <c r="B5139" s="1" t="s">
        <v>124</v>
      </c>
      <c r="C5139" s="8" t="s">
        <v>7</v>
      </c>
      <c r="D5139" s="9" t="s">
        <v>8</v>
      </c>
      <c r="E5139" s="10" t="s">
        <v>101</v>
      </c>
      <c r="F5139" s="86">
        <f>VLOOKUP(B5139,'HSD UPAH,BAHAN,ALAT'!$C$6:F4640,4,FALSE)</f>
        <v>100000</v>
      </c>
      <c r="G5139" s="87">
        <f t="shared" si="651"/>
        <v>400</v>
      </c>
    </row>
    <row r="5140" spans="1:7">
      <c r="A5140" s="8">
        <v>3</v>
      </c>
      <c r="B5140" s="1" t="s">
        <v>10</v>
      </c>
      <c r="C5140" s="8" t="s">
        <v>11</v>
      </c>
      <c r="D5140" s="9" t="s">
        <v>8</v>
      </c>
      <c r="E5140" s="10" t="s">
        <v>129</v>
      </c>
      <c r="F5140" s="86">
        <f>VLOOKUP(B5140,'HSD UPAH,BAHAN,ALAT'!$C$6:F4641,4,FALSE)</f>
        <v>120000</v>
      </c>
      <c r="G5140" s="87">
        <f t="shared" si="651"/>
        <v>48</v>
      </c>
    </row>
    <row r="5141" spans="1:7">
      <c r="A5141" s="8">
        <v>4</v>
      </c>
      <c r="B5141" s="1" t="s">
        <v>13</v>
      </c>
      <c r="C5141" s="8" t="s">
        <v>14</v>
      </c>
      <c r="D5141" s="9" t="s">
        <v>8</v>
      </c>
      <c r="E5141" s="10" t="s">
        <v>130</v>
      </c>
      <c r="F5141" s="86">
        <f>VLOOKUP(B5141,'HSD UPAH,BAHAN,ALAT'!$C$6:F4642,4,FALSE)</f>
        <v>100000</v>
      </c>
      <c r="G5141" s="87">
        <f t="shared" si="651"/>
        <v>12.999999999999998</v>
      </c>
    </row>
    <row r="5142" spans="1:7">
      <c r="A5142" s="261" t="s">
        <v>420</v>
      </c>
      <c r="B5142" s="261"/>
      <c r="C5142" s="261"/>
      <c r="D5142" s="261"/>
      <c r="E5142" s="261"/>
      <c r="F5142" s="261"/>
      <c r="G5142" s="85">
        <f>SUM(G5138:G5141)</f>
        <v>661</v>
      </c>
    </row>
    <row r="5143" spans="1:7">
      <c r="A5143" s="8" t="s">
        <v>16</v>
      </c>
      <c r="B5143" s="1" t="s">
        <v>17</v>
      </c>
      <c r="C5143" s="8"/>
      <c r="D5143" s="9"/>
      <c r="E5143" s="19"/>
      <c r="F5143" s="2"/>
      <c r="G5143" s="2"/>
    </row>
    <row r="5144" spans="1:7">
      <c r="A5144" s="8">
        <v>1</v>
      </c>
      <c r="B5144" s="1" t="s">
        <v>221</v>
      </c>
      <c r="C5144" s="8"/>
      <c r="D5144" s="12" t="s">
        <v>104</v>
      </c>
      <c r="E5144" s="7" t="s">
        <v>131</v>
      </c>
      <c r="F5144" s="86">
        <f>VLOOKUP(B5144,'HSD UPAH,BAHAN,ALAT'!$C$6:F4645,4,FALSE)</f>
        <v>10000</v>
      </c>
      <c r="G5144" s="87">
        <f t="shared" ref="G5144:G5150" si="652">E5144*F5144</f>
        <v>10000</v>
      </c>
    </row>
    <row r="5145" spans="1:7" ht="30">
      <c r="A5145" s="8">
        <v>2</v>
      </c>
      <c r="B5145" s="5" t="s">
        <v>214</v>
      </c>
      <c r="C5145" s="8"/>
      <c r="D5145" s="12" t="s">
        <v>19</v>
      </c>
      <c r="E5145" s="7" t="s">
        <v>59</v>
      </c>
      <c r="F5145" s="86">
        <f>VLOOKUP(B5145,'HSD UPAH,BAHAN,ALAT'!$C$6:F4646,4,FALSE)</f>
        <v>10000</v>
      </c>
      <c r="G5145" s="87">
        <f t="shared" si="652"/>
        <v>30</v>
      </c>
    </row>
    <row r="5146" spans="1:7" ht="30">
      <c r="A5146" s="8">
        <v>3</v>
      </c>
      <c r="B5146" s="5" t="s">
        <v>215</v>
      </c>
      <c r="C5146" s="8"/>
      <c r="D5146" s="12" t="s">
        <v>19</v>
      </c>
      <c r="E5146" s="7" t="s">
        <v>53</v>
      </c>
      <c r="F5146" s="86">
        <f>VLOOKUP(B5146,'HSD UPAH,BAHAN,ALAT'!$C$6:F4647,4,FALSE)</f>
        <v>10000</v>
      </c>
      <c r="G5146" s="87">
        <f t="shared" si="652"/>
        <v>100</v>
      </c>
    </row>
    <row r="5147" spans="1:7">
      <c r="A5147" s="8">
        <v>4</v>
      </c>
      <c r="B5147" s="1" t="s">
        <v>115</v>
      </c>
      <c r="C5147" s="8"/>
      <c r="D5147" s="9" t="s">
        <v>19</v>
      </c>
      <c r="E5147" s="10" t="s">
        <v>116</v>
      </c>
      <c r="F5147" s="86">
        <f>VLOOKUP(B5147,'HSD UPAH,BAHAN,ALAT'!$C$6:F4648,4,FALSE)</f>
        <v>10000</v>
      </c>
      <c r="G5147" s="87">
        <f t="shared" si="652"/>
        <v>3000</v>
      </c>
    </row>
    <row r="5148" spans="1:7">
      <c r="A5148" s="8">
        <v>5</v>
      </c>
      <c r="B5148" s="1" t="s">
        <v>117</v>
      </c>
      <c r="C5148" s="8"/>
      <c r="D5148" s="9" t="s">
        <v>19</v>
      </c>
      <c r="E5148" s="10" t="s">
        <v>131</v>
      </c>
      <c r="F5148" s="86">
        <f>VLOOKUP(B5148,'HSD UPAH,BAHAN,ALAT'!$C$6:F4649,4,FALSE)</f>
        <v>10000</v>
      </c>
      <c r="G5148" s="87">
        <f t="shared" si="652"/>
        <v>10000</v>
      </c>
    </row>
    <row r="5149" spans="1:7" ht="30">
      <c r="A5149" s="8">
        <v>6</v>
      </c>
      <c r="B5149" s="5" t="s">
        <v>216</v>
      </c>
      <c r="C5149" s="8"/>
      <c r="D5149" s="12" t="s">
        <v>19</v>
      </c>
      <c r="E5149" s="7" t="s">
        <v>101</v>
      </c>
      <c r="F5149" s="86">
        <f>VLOOKUP(B5149,'HSD UPAH,BAHAN,ALAT'!$C$6:F4650,4,FALSE)</f>
        <v>10000</v>
      </c>
      <c r="G5149" s="87">
        <f t="shared" si="652"/>
        <v>40</v>
      </c>
    </row>
    <row r="5150" spans="1:7">
      <c r="A5150" s="8">
        <v>7</v>
      </c>
      <c r="B5150" s="1" t="s">
        <v>119</v>
      </c>
      <c r="C5150" s="8"/>
      <c r="D5150" s="9" t="s">
        <v>120</v>
      </c>
      <c r="E5150" s="10" t="s">
        <v>121</v>
      </c>
      <c r="F5150" s="86">
        <f>VLOOKUP(B5150,'HSD UPAH,BAHAN,ALAT'!$C$6:F4651,4,FALSE)</f>
        <v>10000</v>
      </c>
      <c r="G5150" s="87">
        <f t="shared" si="652"/>
        <v>56000</v>
      </c>
    </row>
    <row r="5151" spans="1:7">
      <c r="A5151" s="261" t="s">
        <v>421</v>
      </c>
      <c r="B5151" s="261"/>
      <c r="C5151" s="261"/>
      <c r="D5151" s="261"/>
      <c r="E5151" s="261"/>
      <c r="F5151" s="261"/>
      <c r="G5151" s="85">
        <f>SUM(G5144:G5150)</f>
        <v>79170</v>
      </c>
    </row>
    <row r="5152" spans="1:7">
      <c r="A5152" s="8" t="s">
        <v>36</v>
      </c>
      <c r="B5152" s="1" t="s">
        <v>37</v>
      </c>
      <c r="C5152" s="8"/>
      <c r="D5152" s="9"/>
      <c r="E5152" s="19"/>
      <c r="F5152" s="2"/>
      <c r="G5152" s="2"/>
    </row>
    <row r="5153" spans="1:7" ht="45">
      <c r="A5153" s="8">
        <v>1</v>
      </c>
      <c r="B5153" s="5" t="s">
        <v>217</v>
      </c>
      <c r="C5153" s="8"/>
      <c r="D5153" s="12" t="s">
        <v>122</v>
      </c>
      <c r="E5153" s="7" t="s">
        <v>98</v>
      </c>
      <c r="F5153" s="86">
        <f>VLOOKUP(B5153,'HSD UPAH,BAHAN,ALAT'!$C$6:F4654,4,FALSE)</f>
        <v>10000</v>
      </c>
      <c r="G5153" s="87">
        <f t="shared" ref="G5153" si="653">E5153*F5153</f>
        <v>5</v>
      </c>
    </row>
    <row r="5154" spans="1:7">
      <c r="A5154" s="263" t="s">
        <v>419</v>
      </c>
      <c r="B5154" s="263"/>
      <c r="C5154" s="263"/>
      <c r="D5154" s="263"/>
      <c r="E5154" s="263"/>
      <c r="F5154" s="263"/>
      <c r="G5154" s="80">
        <f>SUM(G5153)</f>
        <v>5</v>
      </c>
    </row>
    <row r="5155" spans="1:7">
      <c r="A5155" s="81" t="s">
        <v>38</v>
      </c>
      <c r="B5155" s="262" t="s">
        <v>39</v>
      </c>
      <c r="C5155" s="262"/>
      <c r="D5155" s="262"/>
      <c r="E5155" s="262"/>
      <c r="F5155" s="262"/>
      <c r="G5155" s="118">
        <f>SUM(G5138:G5154)/2</f>
        <v>79836</v>
      </c>
    </row>
    <row r="5156" spans="1:7">
      <c r="A5156" s="81" t="s">
        <v>40</v>
      </c>
      <c r="B5156" s="262" t="s">
        <v>180</v>
      </c>
      <c r="C5156" s="262"/>
      <c r="D5156" s="262"/>
      <c r="E5156" s="262"/>
      <c r="F5156" s="82">
        <v>0.1</v>
      </c>
      <c r="G5156" s="80">
        <f>G5155*F5156</f>
        <v>7983.6</v>
      </c>
    </row>
    <row r="5157" spans="1:7">
      <c r="A5157" s="81" t="s">
        <v>41</v>
      </c>
      <c r="B5157" s="262" t="s">
        <v>42</v>
      </c>
      <c r="C5157" s="262"/>
      <c r="D5157" s="262"/>
      <c r="E5157" s="262"/>
      <c r="F5157" s="262"/>
      <c r="G5157" s="80">
        <f>G5155+G5156</f>
        <v>87819.6</v>
      </c>
    </row>
    <row r="5158" spans="1:7">
      <c r="A5158" s="90"/>
      <c r="B5158" s="91"/>
      <c r="C5158" s="91"/>
      <c r="D5158" s="91"/>
      <c r="E5158" s="91"/>
      <c r="F5158" s="91"/>
      <c r="G5158" s="92"/>
    </row>
    <row r="5159" spans="1:7">
      <c r="A5159" s="96" t="s">
        <v>435</v>
      </c>
      <c r="B5159" s="96" t="s">
        <v>476</v>
      </c>
      <c r="C5159" s="91"/>
      <c r="D5159" s="91"/>
      <c r="E5159" s="91"/>
      <c r="F5159" s="91"/>
      <c r="G5159" s="92"/>
    </row>
    <row r="5160" spans="1:7" ht="30">
      <c r="A5160" s="79" t="s">
        <v>0</v>
      </c>
      <c r="B5160" s="79" t="s">
        <v>1</v>
      </c>
      <c r="C5160" s="79" t="s">
        <v>207</v>
      </c>
      <c r="D5160" s="79" t="s">
        <v>3</v>
      </c>
      <c r="E5160" s="79" t="s">
        <v>2</v>
      </c>
      <c r="F5160" s="79" t="s">
        <v>417</v>
      </c>
      <c r="G5160" s="79" t="s">
        <v>418</v>
      </c>
    </row>
    <row r="5161" spans="1:7">
      <c r="A5161" s="8" t="s">
        <v>4</v>
      </c>
      <c r="B5161" s="1" t="s">
        <v>5</v>
      </c>
      <c r="C5161" s="8"/>
      <c r="D5161" s="9"/>
      <c r="E5161" s="19"/>
      <c r="F5161" s="2"/>
      <c r="G5161" s="2"/>
    </row>
    <row r="5162" spans="1:7">
      <c r="A5162" s="8">
        <v>1</v>
      </c>
      <c r="B5162" s="1" t="s">
        <v>48</v>
      </c>
      <c r="C5162" s="8" t="s">
        <v>49</v>
      </c>
      <c r="D5162" s="9" t="s">
        <v>8</v>
      </c>
      <c r="E5162" s="10" t="s">
        <v>132</v>
      </c>
      <c r="F5162" s="86">
        <f>VLOOKUP(B5162,'HSD UPAH,BAHAN,ALAT'!$C$6:F4661,4,FALSE)</f>
        <v>100000</v>
      </c>
      <c r="G5162" s="87">
        <f t="shared" ref="G5162:G5165" si="654">E5162*F5162</f>
        <v>10000</v>
      </c>
    </row>
    <row r="5163" spans="1:7">
      <c r="A5163" s="8">
        <v>2</v>
      </c>
      <c r="B5163" s="1" t="s">
        <v>124</v>
      </c>
      <c r="C5163" s="8" t="s">
        <v>7</v>
      </c>
      <c r="D5163" s="9" t="s">
        <v>8</v>
      </c>
      <c r="E5163" s="10" t="s">
        <v>133</v>
      </c>
      <c r="F5163" s="86">
        <f>VLOOKUP(B5163,'HSD UPAH,BAHAN,ALAT'!$C$6:F4662,4,FALSE)</f>
        <v>100000</v>
      </c>
      <c r="G5163" s="87">
        <f t="shared" si="654"/>
        <v>20000</v>
      </c>
    </row>
    <row r="5164" spans="1:7">
      <c r="A5164" s="8">
        <v>3</v>
      </c>
      <c r="B5164" s="1" t="s">
        <v>10</v>
      </c>
      <c r="C5164" s="8" t="s">
        <v>11</v>
      </c>
      <c r="D5164" s="9" t="s">
        <v>8</v>
      </c>
      <c r="E5164" s="10" t="s">
        <v>50</v>
      </c>
      <c r="F5164" s="86">
        <f>VLOOKUP(B5164,'HSD UPAH,BAHAN,ALAT'!$C$6:F4663,4,FALSE)</f>
        <v>120000</v>
      </c>
      <c r="G5164" s="87">
        <f t="shared" si="654"/>
        <v>4800</v>
      </c>
    </row>
    <row r="5165" spans="1:7">
      <c r="A5165" s="8">
        <v>4</v>
      </c>
      <c r="B5165" s="1" t="s">
        <v>13</v>
      </c>
      <c r="C5165" s="8" t="s">
        <v>14</v>
      </c>
      <c r="D5165" s="9" t="s">
        <v>8</v>
      </c>
      <c r="E5165" s="10" t="s">
        <v>51</v>
      </c>
      <c r="F5165" s="86">
        <f>VLOOKUP(B5165,'HSD UPAH,BAHAN,ALAT'!$C$6:F4664,4,FALSE)</f>
        <v>100000</v>
      </c>
      <c r="G5165" s="87">
        <f t="shared" si="654"/>
        <v>1300</v>
      </c>
    </row>
    <row r="5166" spans="1:7">
      <c r="A5166" s="261" t="s">
        <v>420</v>
      </c>
      <c r="B5166" s="261"/>
      <c r="C5166" s="261"/>
      <c r="D5166" s="261"/>
      <c r="E5166" s="261"/>
      <c r="F5166" s="261"/>
      <c r="G5166" s="85">
        <f>SUM(G5162:G5165)</f>
        <v>36100</v>
      </c>
    </row>
    <row r="5167" spans="1:7">
      <c r="A5167" s="8" t="s">
        <v>16</v>
      </c>
      <c r="B5167" s="1" t="s">
        <v>17</v>
      </c>
      <c r="C5167" s="8"/>
      <c r="D5167" s="9"/>
      <c r="E5167" s="19"/>
      <c r="F5167" s="2"/>
      <c r="G5167" s="2"/>
    </row>
    <row r="5168" spans="1:7">
      <c r="A5168" s="8">
        <v>1</v>
      </c>
      <c r="B5168" s="1" t="s">
        <v>221</v>
      </c>
      <c r="C5168" s="8"/>
      <c r="D5168" s="12" t="s">
        <v>104</v>
      </c>
      <c r="E5168" s="7" t="s">
        <v>105</v>
      </c>
      <c r="F5168" s="86">
        <f>VLOOKUP(B5168,'HSD UPAH,BAHAN,ALAT'!$C$6:F4667,4,FALSE)</f>
        <v>10000</v>
      </c>
      <c r="G5168" s="87">
        <f t="shared" ref="G5168:G5174" si="655">E5168*F5168</f>
        <v>10000</v>
      </c>
    </row>
    <row r="5169" spans="1:7" ht="30">
      <c r="A5169" s="8">
        <v>2</v>
      </c>
      <c r="B5169" s="5" t="s">
        <v>219</v>
      </c>
      <c r="C5169" s="8"/>
      <c r="D5169" s="12" t="s">
        <v>19</v>
      </c>
      <c r="E5169" s="7" t="s">
        <v>59</v>
      </c>
      <c r="F5169" s="86">
        <f>VLOOKUP(B5169,'HSD UPAH,BAHAN,ALAT'!$C$6:F4668,4,FALSE)</f>
        <v>10000</v>
      </c>
      <c r="G5169" s="87">
        <f t="shared" si="655"/>
        <v>30</v>
      </c>
    </row>
    <row r="5170" spans="1:7" ht="30">
      <c r="A5170" s="8">
        <v>3</v>
      </c>
      <c r="B5170" s="5" t="s">
        <v>215</v>
      </c>
      <c r="C5170" s="8"/>
      <c r="D5170" s="12" t="s">
        <v>19</v>
      </c>
      <c r="E5170" s="7" t="s">
        <v>53</v>
      </c>
      <c r="F5170" s="86">
        <f>VLOOKUP(B5170,'HSD UPAH,BAHAN,ALAT'!$C$6:F4669,4,FALSE)</f>
        <v>10000</v>
      </c>
      <c r="G5170" s="87">
        <f t="shared" si="655"/>
        <v>100</v>
      </c>
    </row>
    <row r="5171" spans="1:7">
      <c r="A5171" s="8">
        <v>4</v>
      </c>
      <c r="B5171" s="1" t="s">
        <v>115</v>
      </c>
      <c r="C5171" s="8"/>
      <c r="D5171" s="9" t="s">
        <v>19</v>
      </c>
      <c r="E5171" s="10" t="s">
        <v>116</v>
      </c>
      <c r="F5171" s="86">
        <f>VLOOKUP(B5171,'HSD UPAH,BAHAN,ALAT'!$C$6:F4670,4,FALSE)</f>
        <v>10000</v>
      </c>
      <c r="G5171" s="87">
        <f t="shared" si="655"/>
        <v>3000</v>
      </c>
    </row>
    <row r="5172" spans="1:7">
      <c r="A5172" s="8">
        <v>5</v>
      </c>
      <c r="B5172" s="1" t="s">
        <v>117</v>
      </c>
      <c r="C5172" s="8"/>
      <c r="D5172" s="9" t="s">
        <v>19</v>
      </c>
      <c r="E5172" s="10" t="s">
        <v>131</v>
      </c>
      <c r="F5172" s="86">
        <f>VLOOKUP(B5172,'HSD UPAH,BAHAN,ALAT'!$C$6:F4671,4,FALSE)</f>
        <v>10000</v>
      </c>
      <c r="G5172" s="87">
        <f t="shared" si="655"/>
        <v>10000</v>
      </c>
    </row>
    <row r="5173" spans="1:7" ht="30">
      <c r="A5173" s="8">
        <v>6</v>
      </c>
      <c r="B5173" s="5" t="s">
        <v>216</v>
      </c>
      <c r="C5173" s="8"/>
      <c r="D5173" s="12" t="s">
        <v>19</v>
      </c>
      <c r="E5173" s="7" t="s">
        <v>101</v>
      </c>
      <c r="F5173" s="86">
        <f>VLOOKUP(B5173,'HSD UPAH,BAHAN,ALAT'!$C$6:F4672,4,FALSE)</f>
        <v>10000</v>
      </c>
      <c r="G5173" s="87">
        <f t="shared" si="655"/>
        <v>40</v>
      </c>
    </row>
    <row r="5174" spans="1:7">
      <c r="A5174" s="8">
        <v>7</v>
      </c>
      <c r="B5174" s="1" t="s">
        <v>119</v>
      </c>
      <c r="C5174" s="8"/>
      <c r="D5174" s="9" t="s">
        <v>120</v>
      </c>
      <c r="E5174" s="10" t="s">
        <v>121</v>
      </c>
      <c r="F5174" s="86">
        <f>VLOOKUP(B5174,'HSD UPAH,BAHAN,ALAT'!$C$6:F4673,4,FALSE)</f>
        <v>10000</v>
      </c>
      <c r="G5174" s="87">
        <f t="shared" si="655"/>
        <v>56000</v>
      </c>
    </row>
    <row r="5175" spans="1:7">
      <c r="A5175" s="261" t="s">
        <v>421</v>
      </c>
      <c r="B5175" s="261"/>
      <c r="C5175" s="261"/>
      <c r="D5175" s="261"/>
      <c r="E5175" s="261"/>
      <c r="F5175" s="261"/>
      <c r="G5175" s="85">
        <f>SUM(G5168:G5174)</f>
        <v>79170</v>
      </c>
    </row>
    <row r="5176" spans="1:7">
      <c r="A5176" s="8" t="s">
        <v>36</v>
      </c>
      <c r="B5176" s="1" t="s">
        <v>37</v>
      </c>
      <c r="C5176" s="8"/>
      <c r="D5176" s="9"/>
      <c r="E5176" s="19"/>
      <c r="F5176" s="2"/>
      <c r="G5176" s="2"/>
    </row>
    <row r="5177" spans="1:7">
      <c r="A5177" s="8"/>
      <c r="B5177" s="1"/>
      <c r="C5177" s="8"/>
      <c r="D5177" s="9"/>
      <c r="E5177" s="19"/>
      <c r="F5177" s="2"/>
      <c r="G5177" s="2"/>
    </row>
    <row r="5178" spans="1:7">
      <c r="A5178" s="263" t="s">
        <v>419</v>
      </c>
      <c r="B5178" s="263"/>
      <c r="C5178" s="263"/>
      <c r="D5178" s="263"/>
      <c r="E5178" s="263"/>
      <c r="F5178" s="263"/>
      <c r="G5178" s="80">
        <f>SUM(G5177)</f>
        <v>0</v>
      </c>
    </row>
    <row r="5179" spans="1:7">
      <c r="A5179" s="81" t="s">
        <v>38</v>
      </c>
      <c r="B5179" s="262" t="s">
        <v>39</v>
      </c>
      <c r="C5179" s="262"/>
      <c r="D5179" s="262"/>
      <c r="E5179" s="262"/>
      <c r="F5179" s="262"/>
      <c r="G5179" s="118">
        <f>SUM(G5162:G5178)/2</f>
        <v>115270</v>
      </c>
    </row>
    <row r="5180" spans="1:7">
      <c r="A5180" s="81" t="s">
        <v>40</v>
      </c>
      <c r="B5180" s="262" t="s">
        <v>180</v>
      </c>
      <c r="C5180" s="262"/>
      <c r="D5180" s="262"/>
      <c r="E5180" s="262"/>
      <c r="F5180" s="82">
        <v>0.1</v>
      </c>
      <c r="G5180" s="80">
        <f>G5179*F5180</f>
        <v>11527</v>
      </c>
    </row>
    <row r="5181" spans="1:7">
      <c r="A5181" s="81" t="s">
        <v>41</v>
      </c>
      <c r="B5181" s="262" t="s">
        <v>42</v>
      </c>
      <c r="C5181" s="262"/>
      <c r="D5181" s="262"/>
      <c r="E5181" s="262"/>
      <c r="F5181" s="262"/>
      <c r="G5181" s="80">
        <f>G5179+G5180</f>
        <v>126797</v>
      </c>
    </row>
    <row r="5182" spans="1:7">
      <c r="A5182" s="90"/>
      <c r="B5182" s="91"/>
      <c r="C5182" s="91"/>
      <c r="D5182" s="91"/>
      <c r="E5182" s="91"/>
      <c r="F5182" s="91"/>
      <c r="G5182" s="92"/>
    </row>
    <row r="5183" spans="1:7">
      <c r="A5183" s="96" t="s">
        <v>436</v>
      </c>
      <c r="B5183" s="96" t="s">
        <v>477</v>
      </c>
      <c r="C5183" s="91"/>
      <c r="D5183" s="91"/>
      <c r="E5183" s="91"/>
      <c r="F5183" s="91"/>
      <c r="G5183" s="92"/>
    </row>
    <row r="5184" spans="1:7" ht="30">
      <c r="A5184" s="79" t="s">
        <v>0</v>
      </c>
      <c r="B5184" s="79" t="s">
        <v>1</v>
      </c>
      <c r="C5184" s="79" t="s">
        <v>207</v>
      </c>
      <c r="D5184" s="79" t="s">
        <v>3</v>
      </c>
      <c r="E5184" s="79" t="s">
        <v>2</v>
      </c>
      <c r="F5184" s="79" t="s">
        <v>417</v>
      </c>
      <c r="G5184" s="79" t="s">
        <v>418</v>
      </c>
    </row>
    <row r="5185" spans="1:7">
      <c r="A5185" s="8" t="s">
        <v>4</v>
      </c>
      <c r="B5185" s="1" t="s">
        <v>5</v>
      </c>
      <c r="C5185" s="8"/>
      <c r="D5185" s="9"/>
      <c r="E5185" s="19"/>
      <c r="F5185" s="2"/>
      <c r="G5185" s="2"/>
    </row>
    <row r="5186" spans="1:7">
      <c r="A5186" s="8">
        <v>1</v>
      </c>
      <c r="B5186" s="1" t="s">
        <v>48</v>
      </c>
      <c r="C5186" s="8" t="s">
        <v>49</v>
      </c>
      <c r="D5186" s="9" t="s">
        <v>8</v>
      </c>
      <c r="E5186" s="10" t="s">
        <v>98</v>
      </c>
      <c r="F5186" s="86">
        <f>VLOOKUP(B5186,'HSD UPAH,BAHAN,ALAT'!$C$6:F4683,4,FALSE)</f>
        <v>100000</v>
      </c>
      <c r="G5186" s="87">
        <f t="shared" ref="G5186:G5189" si="656">E5186*F5186</f>
        <v>50</v>
      </c>
    </row>
    <row r="5187" spans="1:7">
      <c r="A5187" s="8">
        <v>2</v>
      </c>
      <c r="B5187" s="1" t="s">
        <v>6</v>
      </c>
      <c r="C5187" s="8" t="s">
        <v>7</v>
      </c>
      <c r="D5187" s="9" t="s">
        <v>8</v>
      </c>
      <c r="E5187" s="10" t="s">
        <v>35</v>
      </c>
      <c r="F5187" s="86">
        <f>VLOOKUP(B5187,'HSD UPAH,BAHAN,ALAT'!$C$6:F4684,4,FALSE)</f>
        <v>100000</v>
      </c>
      <c r="G5187" s="87">
        <f t="shared" si="656"/>
        <v>100</v>
      </c>
    </row>
    <row r="5188" spans="1:7">
      <c r="A5188" s="8">
        <v>3</v>
      </c>
      <c r="B5188" s="1" t="s">
        <v>10</v>
      </c>
      <c r="C5188" s="8" t="s">
        <v>11</v>
      </c>
      <c r="D5188" s="9" t="s">
        <v>8</v>
      </c>
      <c r="E5188" s="10" t="s">
        <v>99</v>
      </c>
      <c r="F5188" s="86">
        <f>VLOOKUP(B5188,'HSD UPAH,BAHAN,ALAT'!$C$6:F4685,4,FALSE)</f>
        <v>120000</v>
      </c>
      <c r="G5188" s="87">
        <f t="shared" si="656"/>
        <v>12</v>
      </c>
    </row>
    <row r="5189" spans="1:7">
      <c r="A5189" s="8">
        <v>4</v>
      </c>
      <c r="B5189" s="1" t="s">
        <v>13</v>
      </c>
      <c r="C5189" s="8" t="s">
        <v>14</v>
      </c>
      <c r="D5189" s="9" t="s">
        <v>8</v>
      </c>
      <c r="E5189" s="10" t="s">
        <v>100</v>
      </c>
      <c r="F5189" s="86">
        <f>VLOOKUP(B5189,'HSD UPAH,BAHAN,ALAT'!$C$6:F4686,4,FALSE)</f>
        <v>100000</v>
      </c>
      <c r="G5189" s="87">
        <f t="shared" si="656"/>
        <v>3</v>
      </c>
    </row>
    <row r="5190" spans="1:7">
      <c r="A5190" s="261" t="s">
        <v>420</v>
      </c>
      <c r="B5190" s="261"/>
      <c r="C5190" s="261"/>
      <c r="D5190" s="261"/>
      <c r="E5190" s="261"/>
      <c r="F5190" s="261"/>
      <c r="G5190" s="85">
        <f>SUM(G5186:G5189)</f>
        <v>165</v>
      </c>
    </row>
    <row r="5191" spans="1:7">
      <c r="A5191" s="8" t="s">
        <v>16</v>
      </c>
      <c r="B5191" s="1" t="s">
        <v>17</v>
      </c>
      <c r="C5191" s="8"/>
      <c r="D5191" s="9"/>
      <c r="E5191" s="19"/>
      <c r="F5191" s="2"/>
      <c r="G5191" s="2"/>
    </row>
    <row r="5192" spans="1:7" ht="45">
      <c r="A5192" s="8">
        <v>1</v>
      </c>
      <c r="B5192" s="5" t="s">
        <v>213</v>
      </c>
      <c r="C5192" s="8"/>
      <c r="D5192" s="12" t="s">
        <v>104</v>
      </c>
      <c r="E5192" s="7" t="s">
        <v>105</v>
      </c>
      <c r="F5192" s="86">
        <f>VLOOKUP(B5192,'HSD UPAH,BAHAN,ALAT'!$C$6:F4689,4,FALSE)</f>
        <v>10000</v>
      </c>
      <c r="G5192" s="87">
        <f t="shared" ref="G5192:G5198" si="657">E5192*F5192</f>
        <v>10000</v>
      </c>
    </row>
    <row r="5193" spans="1:7" ht="30">
      <c r="A5193" s="8">
        <v>2</v>
      </c>
      <c r="B5193" s="5" t="s">
        <v>214</v>
      </c>
      <c r="C5193" s="8"/>
      <c r="D5193" s="12" t="s">
        <v>19</v>
      </c>
      <c r="E5193" s="7" t="s">
        <v>59</v>
      </c>
      <c r="F5193" s="86">
        <f>VLOOKUP(B5193,'HSD UPAH,BAHAN,ALAT'!$C$6:F4690,4,FALSE)</f>
        <v>10000</v>
      </c>
      <c r="G5193" s="87">
        <f t="shared" si="657"/>
        <v>30</v>
      </c>
    </row>
    <row r="5194" spans="1:7">
      <c r="A5194" s="8">
        <v>3</v>
      </c>
      <c r="B5194" s="1" t="s">
        <v>384</v>
      </c>
      <c r="C5194" s="8"/>
      <c r="D5194" s="12" t="s">
        <v>19</v>
      </c>
      <c r="E5194" s="7" t="s">
        <v>134</v>
      </c>
      <c r="F5194" s="86">
        <f>VLOOKUP(B5194,'HSD UPAH,BAHAN,ALAT'!$C$6:F4691,4,FALSE)</f>
        <v>10000</v>
      </c>
      <c r="G5194" s="87">
        <f t="shared" si="657"/>
        <v>150</v>
      </c>
    </row>
    <row r="5195" spans="1:7">
      <c r="A5195" s="8">
        <v>4</v>
      </c>
      <c r="B5195" s="1" t="s">
        <v>115</v>
      </c>
      <c r="C5195" s="8"/>
      <c r="D5195" s="9" t="s">
        <v>19</v>
      </c>
      <c r="E5195" s="10" t="s">
        <v>116</v>
      </c>
      <c r="F5195" s="86">
        <f>VLOOKUP(B5195,'HSD UPAH,BAHAN,ALAT'!$C$6:F4692,4,FALSE)</f>
        <v>10000</v>
      </c>
      <c r="G5195" s="87">
        <f t="shared" si="657"/>
        <v>3000</v>
      </c>
    </row>
    <row r="5196" spans="1:7">
      <c r="A5196" s="8">
        <v>5</v>
      </c>
      <c r="B5196" s="1" t="s">
        <v>117</v>
      </c>
      <c r="C5196" s="8"/>
      <c r="D5196" s="9" t="s">
        <v>19</v>
      </c>
      <c r="E5196" s="10" t="s">
        <v>118</v>
      </c>
      <c r="F5196" s="86">
        <f>VLOOKUP(B5196,'HSD UPAH,BAHAN,ALAT'!$C$6:F4693,4,FALSE)</f>
        <v>10000</v>
      </c>
      <c r="G5196" s="87">
        <f t="shared" si="657"/>
        <v>6000</v>
      </c>
    </row>
    <row r="5197" spans="1:7" ht="30">
      <c r="A5197" s="8">
        <v>6</v>
      </c>
      <c r="B5197" s="5" t="s">
        <v>216</v>
      </c>
      <c r="C5197" s="8"/>
      <c r="D5197" s="12" t="s">
        <v>19</v>
      </c>
      <c r="E5197" s="7" t="s">
        <v>101</v>
      </c>
      <c r="F5197" s="86">
        <f>VLOOKUP(B5197,'HSD UPAH,BAHAN,ALAT'!$C$6:F4694,4,FALSE)</f>
        <v>10000</v>
      </c>
      <c r="G5197" s="87">
        <f t="shared" si="657"/>
        <v>40</v>
      </c>
    </row>
    <row r="5198" spans="1:7">
      <c r="A5198" s="8">
        <v>7</v>
      </c>
      <c r="B5198" s="1" t="s">
        <v>119</v>
      </c>
      <c r="C5198" s="8"/>
      <c r="D5198" s="9" t="s">
        <v>120</v>
      </c>
      <c r="E5198" s="10" t="s">
        <v>121</v>
      </c>
      <c r="F5198" s="86">
        <f>VLOOKUP(B5198,'HSD UPAH,BAHAN,ALAT'!$C$6:F4695,4,FALSE)</f>
        <v>10000</v>
      </c>
      <c r="G5198" s="87">
        <f t="shared" si="657"/>
        <v>56000</v>
      </c>
    </row>
    <row r="5199" spans="1:7">
      <c r="A5199" s="261" t="s">
        <v>421</v>
      </c>
      <c r="B5199" s="261"/>
      <c r="C5199" s="261"/>
      <c r="D5199" s="261"/>
      <c r="E5199" s="261"/>
      <c r="F5199" s="261"/>
      <c r="G5199" s="85">
        <f>SUM(G5192:G5198)</f>
        <v>75220</v>
      </c>
    </row>
    <row r="5200" spans="1:7">
      <c r="A5200" s="8" t="s">
        <v>36</v>
      </c>
      <c r="B5200" s="1" t="s">
        <v>37</v>
      </c>
      <c r="C5200" s="8"/>
      <c r="D5200" s="9"/>
      <c r="E5200" s="19"/>
      <c r="F5200" s="2"/>
      <c r="G5200" s="2"/>
    </row>
    <row r="5201" spans="1:7" ht="45">
      <c r="A5201" s="8">
        <v>1</v>
      </c>
      <c r="B5201" s="5" t="s">
        <v>217</v>
      </c>
      <c r="C5201" s="8"/>
      <c r="D5201" s="9" t="s">
        <v>122</v>
      </c>
      <c r="E5201" s="10" t="s">
        <v>98</v>
      </c>
      <c r="F5201" s="86">
        <f>VLOOKUP(B5201,'HSD UPAH,BAHAN,ALAT'!$C$6:F4698,4,FALSE)</f>
        <v>10000</v>
      </c>
      <c r="G5201" s="87">
        <f t="shared" ref="G5201" si="658">E5201*F5201</f>
        <v>5</v>
      </c>
    </row>
    <row r="5202" spans="1:7">
      <c r="A5202" s="263" t="s">
        <v>419</v>
      </c>
      <c r="B5202" s="263"/>
      <c r="C5202" s="263"/>
      <c r="D5202" s="263"/>
      <c r="E5202" s="263"/>
      <c r="F5202" s="263"/>
      <c r="G5202" s="80">
        <f>SUM(G5201)</f>
        <v>5</v>
      </c>
    </row>
    <row r="5203" spans="1:7">
      <c r="A5203" s="81" t="s">
        <v>38</v>
      </c>
      <c r="B5203" s="262" t="s">
        <v>39</v>
      </c>
      <c r="C5203" s="262"/>
      <c r="D5203" s="262"/>
      <c r="E5203" s="262"/>
      <c r="F5203" s="262"/>
      <c r="G5203" s="118">
        <f>SUM(G5186:G5202)/2</f>
        <v>75390</v>
      </c>
    </row>
    <row r="5204" spans="1:7">
      <c r="A5204" s="81" t="s">
        <v>40</v>
      </c>
      <c r="B5204" s="262" t="s">
        <v>180</v>
      </c>
      <c r="C5204" s="262"/>
      <c r="D5204" s="262"/>
      <c r="E5204" s="262"/>
      <c r="F5204" s="82">
        <v>0.1</v>
      </c>
      <c r="G5204" s="80">
        <f>G5203*F5204</f>
        <v>7539</v>
      </c>
    </row>
    <row r="5205" spans="1:7">
      <c r="A5205" s="81" t="s">
        <v>41</v>
      </c>
      <c r="B5205" s="262" t="s">
        <v>42</v>
      </c>
      <c r="C5205" s="262"/>
      <c r="D5205" s="262"/>
      <c r="E5205" s="262"/>
      <c r="F5205" s="262"/>
      <c r="G5205" s="80">
        <f>G5203+G5204</f>
        <v>82929</v>
      </c>
    </row>
    <row r="5206" spans="1:7">
      <c r="A5206" s="90"/>
      <c r="B5206" s="91"/>
      <c r="C5206" s="91"/>
      <c r="D5206" s="91"/>
      <c r="E5206" s="91"/>
      <c r="F5206" s="91"/>
      <c r="G5206" s="92"/>
    </row>
    <row r="5207" spans="1:7">
      <c r="A5207" s="96" t="s">
        <v>437</v>
      </c>
      <c r="B5207" s="96" t="s">
        <v>478</v>
      </c>
      <c r="C5207" s="91"/>
      <c r="D5207" s="91"/>
      <c r="E5207" s="91"/>
      <c r="F5207" s="91"/>
      <c r="G5207" s="92"/>
    </row>
    <row r="5208" spans="1:7" ht="30">
      <c r="A5208" s="79" t="s">
        <v>0</v>
      </c>
      <c r="B5208" s="79" t="s">
        <v>1</v>
      </c>
      <c r="C5208" s="79" t="s">
        <v>207</v>
      </c>
      <c r="D5208" s="79" t="s">
        <v>3</v>
      </c>
      <c r="E5208" s="79" t="s">
        <v>2</v>
      </c>
      <c r="F5208" s="79" t="s">
        <v>417</v>
      </c>
      <c r="G5208" s="79" t="s">
        <v>418</v>
      </c>
    </row>
    <row r="5209" spans="1:7">
      <c r="A5209" s="8" t="s">
        <v>4</v>
      </c>
      <c r="B5209" s="1" t="s">
        <v>5</v>
      </c>
      <c r="C5209" s="8"/>
      <c r="D5209" s="9"/>
      <c r="E5209" s="19"/>
      <c r="F5209" s="2"/>
      <c r="G5209" s="2"/>
    </row>
    <row r="5210" spans="1:7">
      <c r="A5210" s="8">
        <v>1</v>
      </c>
      <c r="B5210" s="1" t="s">
        <v>48</v>
      </c>
      <c r="C5210" s="8" t="s">
        <v>49</v>
      </c>
      <c r="D5210" s="9" t="s">
        <v>8</v>
      </c>
      <c r="E5210" s="10" t="s">
        <v>123</v>
      </c>
      <c r="F5210" s="86">
        <f>VLOOKUP(B5210,'HSD UPAH,BAHAN,ALAT'!$C$6:F4705,4,FALSE)</f>
        <v>100000</v>
      </c>
      <c r="G5210" s="87">
        <f t="shared" ref="G5210:G5213" si="659">E5210*F5210</f>
        <v>2500</v>
      </c>
    </row>
    <row r="5211" spans="1:7">
      <c r="A5211" s="8">
        <v>2</v>
      </c>
      <c r="B5211" s="1" t="s">
        <v>124</v>
      </c>
      <c r="C5211" s="8" t="s">
        <v>7</v>
      </c>
      <c r="D5211" s="9" t="s">
        <v>8</v>
      </c>
      <c r="E5211" s="10" t="s">
        <v>80</v>
      </c>
      <c r="F5211" s="86">
        <f>VLOOKUP(B5211,'HSD UPAH,BAHAN,ALAT'!$C$6:F4706,4,FALSE)</f>
        <v>100000</v>
      </c>
      <c r="G5211" s="87">
        <f t="shared" si="659"/>
        <v>5000</v>
      </c>
    </row>
    <row r="5212" spans="1:7">
      <c r="A5212" s="8">
        <v>3</v>
      </c>
      <c r="B5212" s="1" t="s">
        <v>10</v>
      </c>
      <c r="C5212" s="8" t="s">
        <v>11</v>
      </c>
      <c r="D5212" s="9" t="s">
        <v>8</v>
      </c>
      <c r="E5212" s="10" t="s">
        <v>53</v>
      </c>
      <c r="F5212" s="86">
        <f>VLOOKUP(B5212,'HSD UPAH,BAHAN,ALAT'!$C$6:F4707,4,FALSE)</f>
        <v>120000</v>
      </c>
      <c r="G5212" s="87">
        <f t="shared" si="659"/>
        <v>1200</v>
      </c>
    </row>
    <row r="5213" spans="1:7">
      <c r="A5213" s="8">
        <v>4</v>
      </c>
      <c r="B5213" s="1" t="s">
        <v>13</v>
      </c>
      <c r="C5213" s="8" t="s">
        <v>14</v>
      </c>
      <c r="D5213" s="9" t="s">
        <v>8</v>
      </c>
      <c r="E5213" s="10" t="s">
        <v>94</v>
      </c>
      <c r="F5213" s="86">
        <f>VLOOKUP(B5213,'HSD UPAH,BAHAN,ALAT'!$C$6:F4708,4,FALSE)</f>
        <v>100000</v>
      </c>
      <c r="G5213" s="87">
        <f t="shared" si="659"/>
        <v>330</v>
      </c>
    </row>
    <row r="5214" spans="1:7">
      <c r="A5214" s="261" t="s">
        <v>420</v>
      </c>
      <c r="B5214" s="261"/>
      <c r="C5214" s="261"/>
      <c r="D5214" s="261"/>
      <c r="E5214" s="261"/>
      <c r="F5214" s="261"/>
      <c r="G5214" s="85">
        <f>SUM(G5210:G5213)</f>
        <v>9030</v>
      </c>
    </row>
    <row r="5215" spans="1:7">
      <c r="A5215" s="8" t="s">
        <v>16</v>
      </c>
      <c r="B5215" s="1" t="s">
        <v>17</v>
      </c>
      <c r="C5215" s="8"/>
      <c r="D5215" s="9"/>
      <c r="E5215" s="19"/>
      <c r="F5215" s="2"/>
      <c r="G5215" s="2"/>
    </row>
    <row r="5216" spans="1:7" ht="45">
      <c r="A5216" s="8">
        <v>1</v>
      </c>
      <c r="B5216" s="5" t="s">
        <v>218</v>
      </c>
      <c r="C5216" s="8"/>
      <c r="D5216" s="12" t="s">
        <v>104</v>
      </c>
      <c r="E5216" s="7" t="s">
        <v>131</v>
      </c>
      <c r="F5216" s="86">
        <f>VLOOKUP(B5216,'HSD UPAH,BAHAN,ALAT'!$C$6:F4711,4,FALSE)</f>
        <v>10000</v>
      </c>
      <c r="G5216" s="87">
        <f t="shared" ref="G5216:G5222" si="660">E5216*F5216</f>
        <v>10000</v>
      </c>
    </row>
    <row r="5217" spans="1:7" ht="30">
      <c r="A5217" s="8">
        <v>2</v>
      </c>
      <c r="B5217" s="5" t="s">
        <v>219</v>
      </c>
      <c r="C5217" s="8"/>
      <c r="D5217" s="12" t="s">
        <v>19</v>
      </c>
      <c r="E5217" s="7" t="s">
        <v>59</v>
      </c>
      <c r="F5217" s="86">
        <f>VLOOKUP(B5217,'HSD UPAH,BAHAN,ALAT'!$C$6:F4712,4,FALSE)</f>
        <v>10000</v>
      </c>
      <c r="G5217" s="87">
        <f t="shared" si="660"/>
        <v>30</v>
      </c>
    </row>
    <row r="5218" spans="1:7">
      <c r="A5218" s="8">
        <v>3</v>
      </c>
      <c r="B5218" s="1" t="s">
        <v>384</v>
      </c>
      <c r="C5218" s="8"/>
      <c r="D5218" s="12" t="s">
        <v>19</v>
      </c>
      <c r="E5218" s="7" t="s">
        <v>134</v>
      </c>
      <c r="F5218" s="86">
        <f>VLOOKUP(B5218,'HSD UPAH,BAHAN,ALAT'!$C$6:F4713,4,FALSE)</f>
        <v>10000</v>
      </c>
      <c r="G5218" s="87">
        <f t="shared" si="660"/>
        <v>150</v>
      </c>
    </row>
    <row r="5219" spans="1:7">
      <c r="A5219" s="8">
        <v>4</v>
      </c>
      <c r="B5219" s="1" t="s">
        <v>115</v>
      </c>
      <c r="C5219" s="8"/>
      <c r="D5219" s="9" t="s">
        <v>19</v>
      </c>
      <c r="E5219" s="10" t="s">
        <v>116</v>
      </c>
      <c r="F5219" s="86">
        <f>VLOOKUP(B5219,'HSD UPAH,BAHAN,ALAT'!$C$6:F4714,4,FALSE)</f>
        <v>10000</v>
      </c>
      <c r="G5219" s="87">
        <f t="shared" si="660"/>
        <v>3000</v>
      </c>
    </row>
    <row r="5220" spans="1:7">
      <c r="A5220" s="8">
        <v>5</v>
      </c>
      <c r="B5220" s="1" t="s">
        <v>117</v>
      </c>
      <c r="C5220" s="8"/>
      <c r="D5220" s="9" t="s">
        <v>19</v>
      </c>
      <c r="E5220" s="10" t="s">
        <v>118</v>
      </c>
      <c r="F5220" s="86">
        <f>VLOOKUP(B5220,'HSD UPAH,BAHAN,ALAT'!$C$6:F4715,4,FALSE)</f>
        <v>10000</v>
      </c>
      <c r="G5220" s="87">
        <f t="shared" si="660"/>
        <v>6000</v>
      </c>
    </row>
    <row r="5221" spans="1:7" ht="30">
      <c r="A5221" s="8">
        <v>6</v>
      </c>
      <c r="B5221" s="5" t="s">
        <v>216</v>
      </c>
      <c r="C5221" s="8"/>
      <c r="D5221" s="12" t="s">
        <v>19</v>
      </c>
      <c r="E5221" s="7" t="s">
        <v>101</v>
      </c>
      <c r="F5221" s="86">
        <f>VLOOKUP(B5221,'HSD UPAH,BAHAN,ALAT'!$C$6:F4716,4,FALSE)</f>
        <v>10000</v>
      </c>
      <c r="G5221" s="87">
        <f t="shared" si="660"/>
        <v>40</v>
      </c>
    </row>
    <row r="5222" spans="1:7">
      <c r="A5222" s="8">
        <v>7</v>
      </c>
      <c r="B5222" s="1" t="s">
        <v>119</v>
      </c>
      <c r="C5222" s="8"/>
      <c r="D5222" s="9" t="s">
        <v>120</v>
      </c>
      <c r="E5222" s="10" t="s">
        <v>121</v>
      </c>
      <c r="F5222" s="86">
        <f>VLOOKUP(B5222,'HSD UPAH,BAHAN,ALAT'!$C$6:F4717,4,FALSE)</f>
        <v>10000</v>
      </c>
      <c r="G5222" s="87">
        <f t="shared" si="660"/>
        <v>56000</v>
      </c>
    </row>
    <row r="5223" spans="1:7">
      <c r="A5223" s="261" t="s">
        <v>421</v>
      </c>
      <c r="B5223" s="261"/>
      <c r="C5223" s="261"/>
      <c r="D5223" s="261"/>
      <c r="E5223" s="261"/>
      <c r="F5223" s="261"/>
      <c r="G5223" s="85">
        <f>SUM(G5216:G5222)</f>
        <v>75220</v>
      </c>
    </row>
    <row r="5224" spans="1:7">
      <c r="A5224" s="8" t="s">
        <v>36</v>
      </c>
      <c r="B5224" s="1" t="s">
        <v>37</v>
      </c>
      <c r="C5224" s="8"/>
      <c r="D5224" s="9"/>
      <c r="E5224" s="19"/>
      <c r="F5224" s="2"/>
      <c r="G5224" s="2"/>
    </row>
    <row r="5225" spans="1:7">
      <c r="A5225" s="8"/>
      <c r="B5225" s="1"/>
      <c r="C5225" s="8"/>
      <c r="D5225" s="9"/>
      <c r="E5225" s="19"/>
      <c r="F5225" s="2"/>
      <c r="G5225" s="2"/>
    </row>
    <row r="5226" spans="1:7">
      <c r="A5226" s="263" t="s">
        <v>419</v>
      </c>
      <c r="B5226" s="263"/>
      <c r="C5226" s="263"/>
      <c r="D5226" s="263"/>
      <c r="E5226" s="263"/>
      <c r="F5226" s="263"/>
      <c r="G5226" s="80">
        <f>SUM(G5225)</f>
        <v>0</v>
      </c>
    </row>
    <row r="5227" spans="1:7">
      <c r="A5227" s="81" t="s">
        <v>38</v>
      </c>
      <c r="B5227" s="262" t="s">
        <v>39</v>
      </c>
      <c r="C5227" s="262"/>
      <c r="D5227" s="262"/>
      <c r="E5227" s="262"/>
      <c r="F5227" s="262"/>
      <c r="G5227" s="118">
        <f>SUM(G5210:G5226)/2</f>
        <v>84250</v>
      </c>
    </row>
    <row r="5228" spans="1:7">
      <c r="A5228" s="81" t="s">
        <v>40</v>
      </c>
      <c r="B5228" s="262" t="s">
        <v>180</v>
      </c>
      <c r="C5228" s="262"/>
      <c r="D5228" s="262"/>
      <c r="E5228" s="262"/>
      <c r="F5228" s="82">
        <v>0.1</v>
      </c>
      <c r="G5228" s="80">
        <f>G5227*F5228</f>
        <v>8425</v>
      </c>
    </row>
    <row r="5229" spans="1:7">
      <c r="A5229" s="81" t="s">
        <v>41</v>
      </c>
      <c r="B5229" s="262" t="s">
        <v>42</v>
      </c>
      <c r="C5229" s="262"/>
      <c r="D5229" s="262"/>
      <c r="E5229" s="262"/>
      <c r="F5229" s="262"/>
      <c r="G5229" s="80">
        <f>G5227+G5228</f>
        <v>92675</v>
      </c>
    </row>
    <row r="5230" spans="1:7">
      <c r="A5230" s="90"/>
      <c r="B5230" s="91"/>
      <c r="C5230" s="91"/>
      <c r="D5230" s="91"/>
      <c r="E5230" s="91"/>
      <c r="F5230" s="91"/>
      <c r="G5230" s="92"/>
    </row>
    <row r="5231" spans="1:7">
      <c r="A5231" s="96" t="s">
        <v>438</v>
      </c>
      <c r="B5231" s="96" t="s">
        <v>479</v>
      </c>
      <c r="C5231" s="91"/>
      <c r="D5231" s="91"/>
      <c r="E5231" s="91"/>
      <c r="F5231" s="91"/>
      <c r="G5231" s="92"/>
    </row>
    <row r="5232" spans="1:7" ht="30">
      <c r="A5232" s="79" t="s">
        <v>0</v>
      </c>
      <c r="B5232" s="79" t="s">
        <v>1</v>
      </c>
      <c r="C5232" s="79" t="s">
        <v>207</v>
      </c>
      <c r="D5232" s="79" t="s">
        <v>3</v>
      </c>
      <c r="E5232" s="79" t="s">
        <v>2</v>
      </c>
      <c r="F5232" s="79" t="s">
        <v>417</v>
      </c>
      <c r="G5232" s="79" t="s">
        <v>418</v>
      </c>
    </row>
    <row r="5233" spans="1:7">
      <c r="A5233" s="8" t="s">
        <v>4</v>
      </c>
      <c r="B5233" s="1" t="s">
        <v>5</v>
      </c>
      <c r="C5233" s="8"/>
      <c r="D5233" s="9"/>
      <c r="E5233" s="19"/>
      <c r="F5233" s="2"/>
      <c r="G5233" s="2"/>
    </row>
    <row r="5234" spans="1:7">
      <c r="A5234" s="8">
        <v>1</v>
      </c>
      <c r="B5234" s="1" t="s">
        <v>48</v>
      </c>
      <c r="C5234" s="8" t="s">
        <v>49</v>
      </c>
      <c r="D5234" s="9" t="s">
        <v>8</v>
      </c>
      <c r="E5234" s="10" t="s">
        <v>95</v>
      </c>
      <c r="F5234" s="86">
        <f>VLOOKUP(B5234,'HSD UPAH,BAHAN,ALAT'!$C$6:F4727,4,FALSE)</f>
        <v>100000</v>
      </c>
      <c r="G5234" s="87">
        <f t="shared" ref="G5234:G5237" si="661">E5234*F5234</f>
        <v>100</v>
      </c>
    </row>
    <row r="5235" spans="1:7">
      <c r="A5235" s="8">
        <v>2</v>
      </c>
      <c r="B5235" s="1" t="s">
        <v>124</v>
      </c>
      <c r="C5235" s="8" t="s">
        <v>7</v>
      </c>
      <c r="D5235" s="9" t="s">
        <v>8</v>
      </c>
      <c r="E5235" s="10" t="s">
        <v>125</v>
      </c>
      <c r="F5235" s="86">
        <f>VLOOKUP(B5235,'HSD UPAH,BAHAN,ALAT'!$C$6:F4728,4,FALSE)</f>
        <v>100000</v>
      </c>
      <c r="G5235" s="87">
        <f t="shared" si="661"/>
        <v>200</v>
      </c>
    </row>
    <row r="5236" spans="1:7">
      <c r="A5236" s="8">
        <v>3</v>
      </c>
      <c r="B5236" s="1" t="s">
        <v>10</v>
      </c>
      <c r="C5236" s="8" t="s">
        <v>11</v>
      </c>
      <c r="D5236" s="9" t="s">
        <v>8</v>
      </c>
      <c r="E5236" s="10" t="s">
        <v>126</v>
      </c>
      <c r="F5236" s="86">
        <f>VLOOKUP(B5236,'HSD UPAH,BAHAN,ALAT'!$C$6:F4729,4,FALSE)</f>
        <v>120000</v>
      </c>
      <c r="G5236" s="87">
        <f t="shared" si="661"/>
        <v>24</v>
      </c>
    </row>
    <row r="5237" spans="1:7">
      <c r="A5237" s="8">
        <v>4</v>
      </c>
      <c r="B5237" s="1" t="s">
        <v>13</v>
      </c>
      <c r="C5237" s="8" t="s">
        <v>14</v>
      </c>
      <c r="D5237" s="9" t="s">
        <v>8</v>
      </c>
      <c r="E5237" s="10" t="s">
        <v>127</v>
      </c>
      <c r="F5237" s="86">
        <f>VLOOKUP(B5237,'HSD UPAH,BAHAN,ALAT'!$C$6:F4730,4,FALSE)</f>
        <v>100000</v>
      </c>
      <c r="G5237" s="87">
        <f t="shared" si="661"/>
        <v>6.7</v>
      </c>
    </row>
    <row r="5238" spans="1:7">
      <c r="A5238" s="261" t="s">
        <v>420</v>
      </c>
      <c r="B5238" s="261"/>
      <c r="C5238" s="261"/>
      <c r="D5238" s="261"/>
      <c r="E5238" s="261"/>
      <c r="F5238" s="261"/>
      <c r="G5238" s="85">
        <f>SUM(G5234:G5237)</f>
        <v>330.7</v>
      </c>
    </row>
    <row r="5239" spans="1:7">
      <c r="A5239" s="8" t="s">
        <v>16</v>
      </c>
      <c r="B5239" s="1" t="s">
        <v>17</v>
      </c>
      <c r="C5239" s="8"/>
      <c r="D5239" s="9"/>
      <c r="E5239" s="19"/>
      <c r="F5239" s="2"/>
      <c r="G5239" s="2"/>
    </row>
    <row r="5240" spans="1:7" ht="45">
      <c r="A5240" s="8">
        <v>1</v>
      </c>
      <c r="B5240" s="5" t="s">
        <v>220</v>
      </c>
      <c r="C5240" s="8"/>
      <c r="D5240" s="12" t="s">
        <v>104</v>
      </c>
      <c r="E5240" s="7" t="s">
        <v>131</v>
      </c>
      <c r="F5240" s="86">
        <f>VLOOKUP(B5240,'HSD UPAH,BAHAN,ALAT'!$C$6:F4733,4,FALSE)</f>
        <v>10000</v>
      </c>
      <c r="G5240" s="87">
        <f t="shared" ref="G5240:G5246" si="662">E5240*F5240</f>
        <v>10000</v>
      </c>
    </row>
    <row r="5241" spans="1:7" ht="30">
      <c r="A5241" s="8">
        <v>2</v>
      </c>
      <c r="B5241" s="5" t="s">
        <v>214</v>
      </c>
      <c r="C5241" s="8"/>
      <c r="D5241" s="12" t="s">
        <v>19</v>
      </c>
      <c r="E5241" s="7" t="s">
        <v>59</v>
      </c>
      <c r="F5241" s="86">
        <f>VLOOKUP(B5241,'HSD UPAH,BAHAN,ALAT'!$C$6:F4734,4,FALSE)</f>
        <v>10000</v>
      </c>
      <c r="G5241" s="87">
        <f t="shared" si="662"/>
        <v>30</v>
      </c>
    </row>
    <row r="5242" spans="1:7">
      <c r="A5242" s="8">
        <v>3</v>
      </c>
      <c r="B5242" s="1" t="s">
        <v>384</v>
      </c>
      <c r="C5242" s="8"/>
      <c r="D5242" s="12" t="s">
        <v>19</v>
      </c>
      <c r="E5242" s="7" t="s">
        <v>134</v>
      </c>
      <c r="F5242" s="86">
        <f>VLOOKUP(B5242,'HSD UPAH,BAHAN,ALAT'!$C$6:F4735,4,FALSE)</f>
        <v>10000</v>
      </c>
      <c r="G5242" s="87">
        <f t="shared" si="662"/>
        <v>150</v>
      </c>
    </row>
    <row r="5243" spans="1:7">
      <c r="A5243" s="8">
        <v>4</v>
      </c>
      <c r="B5243" s="1" t="s">
        <v>115</v>
      </c>
      <c r="C5243" s="8"/>
      <c r="D5243" s="9" t="s">
        <v>19</v>
      </c>
      <c r="E5243" s="10" t="s">
        <v>116</v>
      </c>
      <c r="F5243" s="86">
        <f>VLOOKUP(B5243,'HSD UPAH,BAHAN,ALAT'!$C$6:F4736,4,FALSE)</f>
        <v>10000</v>
      </c>
      <c r="G5243" s="87">
        <f t="shared" si="662"/>
        <v>3000</v>
      </c>
    </row>
    <row r="5244" spans="1:7">
      <c r="A5244" s="8">
        <v>5</v>
      </c>
      <c r="B5244" s="1" t="s">
        <v>117</v>
      </c>
      <c r="C5244" s="8"/>
      <c r="D5244" s="9" t="s">
        <v>19</v>
      </c>
      <c r="E5244" s="10" t="s">
        <v>128</v>
      </c>
      <c r="F5244" s="86">
        <f>VLOOKUP(B5244,'HSD UPAH,BAHAN,ALAT'!$C$6:F4737,4,FALSE)</f>
        <v>10000</v>
      </c>
      <c r="G5244" s="87">
        <f t="shared" si="662"/>
        <v>8000</v>
      </c>
    </row>
    <row r="5245" spans="1:7" ht="30">
      <c r="A5245" s="8">
        <v>6</v>
      </c>
      <c r="B5245" s="5" t="s">
        <v>216</v>
      </c>
      <c r="C5245" s="8"/>
      <c r="D5245" s="12" t="s">
        <v>19</v>
      </c>
      <c r="E5245" s="7" t="s">
        <v>101</v>
      </c>
      <c r="F5245" s="86">
        <f>VLOOKUP(B5245,'HSD UPAH,BAHAN,ALAT'!$C$6:F4738,4,FALSE)</f>
        <v>10000</v>
      </c>
      <c r="G5245" s="87">
        <f t="shared" si="662"/>
        <v>40</v>
      </c>
    </row>
    <row r="5246" spans="1:7">
      <c r="A5246" s="8">
        <v>7</v>
      </c>
      <c r="B5246" s="1" t="s">
        <v>119</v>
      </c>
      <c r="C5246" s="8"/>
      <c r="D5246" s="9" t="s">
        <v>120</v>
      </c>
      <c r="E5246" s="10" t="s">
        <v>121</v>
      </c>
      <c r="F5246" s="86">
        <f>VLOOKUP(B5246,'HSD UPAH,BAHAN,ALAT'!$C$6:F4739,4,FALSE)</f>
        <v>10000</v>
      </c>
      <c r="G5246" s="87">
        <f t="shared" si="662"/>
        <v>56000</v>
      </c>
    </row>
    <row r="5247" spans="1:7">
      <c r="A5247" s="261" t="s">
        <v>421</v>
      </c>
      <c r="B5247" s="261"/>
      <c r="C5247" s="261"/>
      <c r="D5247" s="261"/>
      <c r="E5247" s="261"/>
      <c r="F5247" s="261"/>
      <c r="G5247" s="85">
        <f>SUM(G5240:G5246)</f>
        <v>77220</v>
      </c>
    </row>
    <row r="5248" spans="1:7">
      <c r="A5248" s="8" t="s">
        <v>36</v>
      </c>
      <c r="B5248" s="1" t="s">
        <v>37</v>
      </c>
      <c r="C5248" s="8"/>
      <c r="D5248" s="9"/>
      <c r="E5248" s="19"/>
      <c r="F5248" s="2"/>
      <c r="G5248" s="2"/>
    </row>
    <row r="5249" spans="1:7" ht="45">
      <c r="A5249" s="8">
        <v>1</v>
      </c>
      <c r="B5249" s="5" t="s">
        <v>217</v>
      </c>
      <c r="C5249" s="8"/>
      <c r="D5249" s="12" t="s">
        <v>122</v>
      </c>
      <c r="E5249" s="7" t="s">
        <v>98</v>
      </c>
      <c r="F5249" s="86">
        <f>VLOOKUP(B5249,'HSD UPAH,BAHAN,ALAT'!$C$6:F4742,4,FALSE)</f>
        <v>10000</v>
      </c>
      <c r="G5249" s="87">
        <f t="shared" ref="G5249" si="663">E5249*F5249</f>
        <v>5</v>
      </c>
    </row>
    <row r="5250" spans="1:7">
      <c r="A5250" s="263" t="s">
        <v>419</v>
      </c>
      <c r="B5250" s="263"/>
      <c r="C5250" s="263"/>
      <c r="D5250" s="263"/>
      <c r="E5250" s="263"/>
      <c r="F5250" s="263"/>
      <c r="G5250" s="80">
        <f>SUM(G5249)</f>
        <v>5</v>
      </c>
    </row>
    <row r="5251" spans="1:7">
      <c r="A5251" s="81" t="s">
        <v>38</v>
      </c>
      <c r="B5251" s="262" t="s">
        <v>39</v>
      </c>
      <c r="C5251" s="262"/>
      <c r="D5251" s="262"/>
      <c r="E5251" s="262"/>
      <c r="F5251" s="262"/>
      <c r="G5251" s="118">
        <f>SUM(G5234:G5250)/2</f>
        <v>77555.7</v>
      </c>
    </row>
    <row r="5252" spans="1:7">
      <c r="A5252" s="81" t="s">
        <v>40</v>
      </c>
      <c r="B5252" s="262" t="s">
        <v>180</v>
      </c>
      <c r="C5252" s="262"/>
      <c r="D5252" s="262"/>
      <c r="E5252" s="262"/>
      <c r="F5252" s="82">
        <v>0.1</v>
      </c>
      <c r="G5252" s="80">
        <f>G5251*F5252</f>
        <v>7755.57</v>
      </c>
    </row>
    <row r="5253" spans="1:7">
      <c r="A5253" s="81" t="s">
        <v>41</v>
      </c>
      <c r="B5253" s="262" t="s">
        <v>42</v>
      </c>
      <c r="C5253" s="262"/>
      <c r="D5253" s="262"/>
      <c r="E5253" s="262"/>
      <c r="F5253" s="262"/>
      <c r="G5253" s="80">
        <f>G5251+G5252</f>
        <v>85311.26999999999</v>
      </c>
    </row>
    <row r="5254" spans="1:7">
      <c r="A5254" s="90"/>
      <c r="B5254" s="91"/>
      <c r="C5254" s="91"/>
      <c r="D5254" s="91"/>
      <c r="E5254" s="91"/>
      <c r="F5254" s="91"/>
      <c r="G5254" s="92"/>
    </row>
    <row r="5255" spans="1:7">
      <c r="A5255" s="96" t="s">
        <v>480</v>
      </c>
      <c r="B5255" s="91"/>
      <c r="C5255" s="91"/>
      <c r="D5255" s="91"/>
      <c r="E5255" s="91"/>
      <c r="F5255" s="91"/>
      <c r="G5255" s="92"/>
    </row>
    <row r="5256" spans="1:7" ht="30">
      <c r="A5256" s="79" t="s">
        <v>0</v>
      </c>
      <c r="B5256" s="79" t="s">
        <v>1</v>
      </c>
      <c r="C5256" s="79" t="s">
        <v>207</v>
      </c>
      <c r="D5256" s="79" t="s">
        <v>3</v>
      </c>
      <c r="E5256" s="79" t="s">
        <v>2</v>
      </c>
      <c r="F5256" s="79" t="s">
        <v>417</v>
      </c>
      <c r="G5256" s="79" t="s">
        <v>418</v>
      </c>
    </row>
    <row r="5257" spans="1:7">
      <c r="A5257" s="8" t="s">
        <v>4</v>
      </c>
      <c r="B5257" s="1" t="s">
        <v>5</v>
      </c>
      <c r="C5257" s="8"/>
      <c r="D5257" s="9"/>
      <c r="E5257" s="19"/>
      <c r="F5257" s="2"/>
      <c r="G5257" s="2"/>
    </row>
    <row r="5258" spans="1:7">
      <c r="A5258" s="8">
        <v>1</v>
      </c>
      <c r="B5258" s="1" t="s">
        <v>48</v>
      </c>
      <c r="C5258" s="8" t="s">
        <v>49</v>
      </c>
      <c r="D5258" s="9" t="s">
        <v>8</v>
      </c>
      <c r="E5258" s="10" t="s">
        <v>80</v>
      </c>
      <c r="F5258" s="86">
        <f>VLOOKUP(B5258,'HSD UPAH,BAHAN,ALAT'!$C$6:F4749,4,FALSE)</f>
        <v>100000</v>
      </c>
      <c r="G5258" s="87">
        <f t="shared" ref="G5258:G5261" si="664">E5258*F5258</f>
        <v>5000</v>
      </c>
    </row>
    <row r="5259" spans="1:7">
      <c r="A5259" s="8">
        <v>2</v>
      </c>
      <c r="B5259" s="1" t="s">
        <v>124</v>
      </c>
      <c r="C5259" s="8" t="s">
        <v>7</v>
      </c>
      <c r="D5259" s="9" t="s">
        <v>8</v>
      </c>
      <c r="E5259" s="10" t="s">
        <v>53</v>
      </c>
      <c r="F5259" s="86">
        <f>VLOOKUP(B5259,'HSD UPAH,BAHAN,ALAT'!$C$6:F4750,4,FALSE)</f>
        <v>100000</v>
      </c>
      <c r="G5259" s="87">
        <f t="shared" si="664"/>
        <v>1000</v>
      </c>
    </row>
    <row r="5260" spans="1:7">
      <c r="A5260" s="8">
        <v>3</v>
      </c>
      <c r="B5260" s="1" t="s">
        <v>10</v>
      </c>
      <c r="C5260" s="8" t="s">
        <v>11</v>
      </c>
      <c r="D5260" s="9" t="s">
        <v>8</v>
      </c>
      <c r="E5260" s="10" t="s">
        <v>64</v>
      </c>
      <c r="F5260" s="86">
        <f>VLOOKUP(B5260,'HSD UPAH,BAHAN,ALAT'!$C$6:F4751,4,FALSE)</f>
        <v>120000</v>
      </c>
      <c r="G5260" s="87">
        <f t="shared" si="664"/>
        <v>2400</v>
      </c>
    </row>
    <row r="5261" spans="1:7">
      <c r="A5261" s="8">
        <v>4</v>
      </c>
      <c r="B5261" s="1" t="s">
        <v>13</v>
      </c>
      <c r="C5261" s="8" t="s">
        <v>14</v>
      </c>
      <c r="D5261" s="9" t="s">
        <v>8</v>
      </c>
      <c r="E5261" s="10" t="s">
        <v>44</v>
      </c>
      <c r="F5261" s="86">
        <f>VLOOKUP(B5261,'HSD UPAH,BAHAN,ALAT'!$C$6:F4752,4,FALSE)</f>
        <v>100000</v>
      </c>
      <c r="G5261" s="87">
        <f t="shared" si="664"/>
        <v>670</v>
      </c>
    </row>
    <row r="5262" spans="1:7">
      <c r="A5262" s="261" t="s">
        <v>420</v>
      </c>
      <c r="B5262" s="261"/>
      <c r="C5262" s="261"/>
      <c r="D5262" s="261"/>
      <c r="E5262" s="261"/>
      <c r="F5262" s="261"/>
      <c r="G5262" s="85">
        <f>SUM(G5258:G5261)</f>
        <v>9070</v>
      </c>
    </row>
    <row r="5263" spans="1:7">
      <c r="A5263" s="8" t="s">
        <v>16</v>
      </c>
      <c r="B5263" s="1" t="s">
        <v>17</v>
      </c>
      <c r="C5263" s="8"/>
      <c r="D5263" s="9"/>
      <c r="E5263" s="19"/>
      <c r="F5263" s="2"/>
      <c r="G5263" s="2"/>
    </row>
    <row r="5264" spans="1:7" ht="45">
      <c r="A5264" s="8">
        <v>1</v>
      </c>
      <c r="B5264" s="5" t="s">
        <v>220</v>
      </c>
      <c r="C5264" s="8"/>
      <c r="D5264" s="12" t="s">
        <v>104</v>
      </c>
      <c r="E5264" s="7" t="s">
        <v>131</v>
      </c>
      <c r="F5264" s="86">
        <f>VLOOKUP(B5264,'HSD UPAH,BAHAN,ALAT'!$C$6:F4755,4,FALSE)</f>
        <v>10000</v>
      </c>
      <c r="G5264" s="87">
        <f t="shared" ref="G5264:G5270" si="665">E5264*F5264</f>
        <v>10000</v>
      </c>
    </row>
    <row r="5265" spans="1:7" ht="30">
      <c r="A5265" s="8">
        <v>2</v>
      </c>
      <c r="B5265" s="5" t="s">
        <v>214</v>
      </c>
      <c r="C5265" s="8"/>
      <c r="D5265" s="9" t="s">
        <v>19</v>
      </c>
      <c r="E5265" s="10" t="s">
        <v>59</v>
      </c>
      <c r="F5265" s="86">
        <f>VLOOKUP(B5265,'HSD UPAH,BAHAN,ALAT'!$C$6:F4756,4,FALSE)</f>
        <v>10000</v>
      </c>
      <c r="G5265" s="87">
        <f t="shared" si="665"/>
        <v>30</v>
      </c>
    </row>
    <row r="5266" spans="1:7">
      <c r="A5266" s="8">
        <v>3</v>
      </c>
      <c r="B5266" s="1" t="s">
        <v>384</v>
      </c>
      <c r="C5266" s="8"/>
      <c r="D5266" s="9" t="s">
        <v>19</v>
      </c>
      <c r="E5266" s="10" t="s">
        <v>134</v>
      </c>
      <c r="F5266" s="86">
        <f>VLOOKUP(B5266,'HSD UPAH,BAHAN,ALAT'!$C$6:F4757,4,FALSE)</f>
        <v>10000</v>
      </c>
      <c r="G5266" s="87">
        <f t="shared" si="665"/>
        <v>150</v>
      </c>
    </row>
    <row r="5267" spans="1:7">
      <c r="A5267" s="8">
        <v>4</v>
      </c>
      <c r="B5267" s="1" t="s">
        <v>115</v>
      </c>
      <c r="C5267" s="8"/>
      <c r="D5267" s="9" t="s">
        <v>19</v>
      </c>
      <c r="E5267" s="10" t="s">
        <v>116</v>
      </c>
      <c r="F5267" s="86">
        <f>VLOOKUP(B5267,'HSD UPAH,BAHAN,ALAT'!$C$6:F4758,4,FALSE)</f>
        <v>10000</v>
      </c>
      <c r="G5267" s="87">
        <f t="shared" si="665"/>
        <v>3000</v>
      </c>
    </row>
    <row r="5268" spans="1:7">
      <c r="A5268" s="8">
        <v>5</v>
      </c>
      <c r="B5268" s="1" t="s">
        <v>117</v>
      </c>
      <c r="C5268" s="8"/>
      <c r="D5268" s="9" t="s">
        <v>19</v>
      </c>
      <c r="E5268" s="10" t="s">
        <v>128</v>
      </c>
      <c r="F5268" s="86">
        <f>VLOOKUP(B5268,'HSD UPAH,BAHAN,ALAT'!$C$6:F4759,4,FALSE)</f>
        <v>10000</v>
      </c>
      <c r="G5268" s="87">
        <f t="shared" si="665"/>
        <v>8000</v>
      </c>
    </row>
    <row r="5269" spans="1:7" ht="30">
      <c r="A5269" s="8">
        <v>6</v>
      </c>
      <c r="B5269" s="5" t="s">
        <v>216</v>
      </c>
      <c r="C5269" s="8"/>
      <c r="D5269" s="9" t="s">
        <v>19</v>
      </c>
      <c r="E5269" s="10" t="s">
        <v>101</v>
      </c>
      <c r="F5269" s="86">
        <f>VLOOKUP(B5269,'HSD UPAH,BAHAN,ALAT'!$C$6:F4760,4,FALSE)</f>
        <v>10000</v>
      </c>
      <c r="G5269" s="87">
        <f t="shared" si="665"/>
        <v>40</v>
      </c>
    </row>
    <row r="5270" spans="1:7">
      <c r="A5270" s="8">
        <v>7</v>
      </c>
      <c r="B5270" s="1" t="s">
        <v>119</v>
      </c>
      <c r="C5270" s="8"/>
      <c r="D5270" s="9" t="s">
        <v>120</v>
      </c>
      <c r="E5270" s="10" t="s">
        <v>121</v>
      </c>
      <c r="F5270" s="86">
        <f>VLOOKUP(B5270,'HSD UPAH,BAHAN,ALAT'!$C$6:F4761,4,FALSE)</f>
        <v>10000</v>
      </c>
      <c r="G5270" s="87">
        <f t="shared" si="665"/>
        <v>56000</v>
      </c>
    </row>
    <row r="5271" spans="1:7">
      <c r="A5271" s="261" t="s">
        <v>421</v>
      </c>
      <c r="B5271" s="261"/>
      <c r="C5271" s="261"/>
      <c r="D5271" s="261"/>
      <c r="E5271" s="261"/>
      <c r="F5271" s="261"/>
      <c r="G5271" s="85">
        <f>SUM(G5264:G5270)</f>
        <v>77220</v>
      </c>
    </row>
    <row r="5272" spans="1:7">
      <c r="A5272" s="8" t="s">
        <v>36</v>
      </c>
      <c r="B5272" s="1" t="s">
        <v>37</v>
      </c>
      <c r="C5272" s="8"/>
      <c r="D5272" s="9"/>
      <c r="E5272" s="19"/>
      <c r="F5272" s="2"/>
      <c r="G5272" s="2"/>
    </row>
    <row r="5273" spans="1:7">
      <c r="A5273" s="8"/>
      <c r="B5273" s="1"/>
      <c r="C5273" s="8"/>
      <c r="D5273" s="9"/>
      <c r="E5273" s="19"/>
      <c r="F5273" s="2"/>
      <c r="G5273" s="2"/>
    </row>
    <row r="5274" spans="1:7">
      <c r="A5274" s="263" t="s">
        <v>419</v>
      </c>
      <c r="B5274" s="263"/>
      <c r="C5274" s="263"/>
      <c r="D5274" s="263"/>
      <c r="E5274" s="263"/>
      <c r="F5274" s="263"/>
      <c r="G5274" s="80">
        <f>SUM(G5273)</f>
        <v>0</v>
      </c>
    </row>
    <row r="5275" spans="1:7">
      <c r="A5275" s="81" t="s">
        <v>38</v>
      </c>
      <c r="B5275" s="262" t="s">
        <v>39</v>
      </c>
      <c r="C5275" s="262"/>
      <c r="D5275" s="262"/>
      <c r="E5275" s="262"/>
      <c r="F5275" s="262"/>
      <c r="G5275" s="118">
        <f>SUM(G5258:G5274)/2</f>
        <v>86290</v>
      </c>
    </row>
    <row r="5276" spans="1:7">
      <c r="A5276" s="81" t="s">
        <v>40</v>
      </c>
      <c r="B5276" s="262" t="s">
        <v>180</v>
      </c>
      <c r="C5276" s="262"/>
      <c r="D5276" s="262"/>
      <c r="E5276" s="262"/>
      <c r="F5276" s="82">
        <v>0.1</v>
      </c>
      <c r="G5276" s="80">
        <f>G5275*F5276</f>
        <v>8629</v>
      </c>
    </row>
    <row r="5277" spans="1:7">
      <c r="A5277" s="81" t="s">
        <v>41</v>
      </c>
      <c r="B5277" s="262" t="s">
        <v>42</v>
      </c>
      <c r="C5277" s="262"/>
      <c r="D5277" s="262"/>
      <c r="E5277" s="262"/>
      <c r="F5277" s="262"/>
      <c r="G5277" s="80">
        <f>G5275+G5276</f>
        <v>94919</v>
      </c>
    </row>
    <row r="5278" spans="1:7">
      <c r="A5278" s="90"/>
      <c r="B5278" s="91"/>
      <c r="C5278" s="91"/>
      <c r="D5278" s="91"/>
      <c r="E5278" s="91"/>
      <c r="F5278" s="91"/>
      <c r="G5278" s="92"/>
    </row>
    <row r="5279" spans="1:7">
      <c r="A5279" s="96" t="s">
        <v>481</v>
      </c>
      <c r="B5279" s="91"/>
      <c r="C5279" s="91"/>
      <c r="D5279" s="91"/>
      <c r="E5279" s="91"/>
      <c r="F5279" s="91"/>
      <c r="G5279" s="92"/>
    </row>
    <row r="5280" spans="1:7" ht="30">
      <c r="A5280" s="79" t="s">
        <v>0</v>
      </c>
      <c r="B5280" s="79" t="s">
        <v>1</v>
      </c>
      <c r="C5280" s="79" t="s">
        <v>207</v>
      </c>
      <c r="D5280" s="79" t="s">
        <v>3</v>
      </c>
      <c r="E5280" s="79" t="s">
        <v>2</v>
      </c>
      <c r="F5280" s="79" t="s">
        <v>417</v>
      </c>
      <c r="G5280" s="79" t="s">
        <v>418</v>
      </c>
    </row>
    <row r="5281" spans="1:7">
      <c r="A5281" s="8" t="s">
        <v>4</v>
      </c>
      <c r="B5281" s="1" t="s">
        <v>5</v>
      </c>
      <c r="C5281" s="8"/>
      <c r="D5281" s="9"/>
      <c r="E5281" s="19"/>
      <c r="F5281" s="2"/>
      <c r="G5281" s="2"/>
    </row>
    <row r="5282" spans="1:7">
      <c r="A5282" s="8">
        <v>1</v>
      </c>
      <c r="B5282" s="1" t="s">
        <v>48</v>
      </c>
      <c r="C5282" s="8" t="s">
        <v>49</v>
      </c>
      <c r="D5282" s="9" t="s">
        <v>8</v>
      </c>
      <c r="E5282" s="10" t="s">
        <v>125</v>
      </c>
      <c r="F5282" s="86">
        <f>VLOOKUP(B5282,'HSD UPAH,BAHAN,ALAT'!$C$6:F4771,4,FALSE)</f>
        <v>100000</v>
      </c>
      <c r="G5282" s="87">
        <f t="shared" ref="G5282:G5285" si="666">E5282*F5282</f>
        <v>200</v>
      </c>
    </row>
    <row r="5283" spans="1:7">
      <c r="A5283" s="8">
        <v>2</v>
      </c>
      <c r="B5283" s="1" t="s">
        <v>124</v>
      </c>
      <c r="C5283" s="8" t="s">
        <v>7</v>
      </c>
      <c r="D5283" s="9" t="s">
        <v>8</v>
      </c>
      <c r="E5283" s="10" t="s">
        <v>101</v>
      </c>
      <c r="F5283" s="86">
        <f>VLOOKUP(B5283,'HSD UPAH,BAHAN,ALAT'!$C$6:F4772,4,FALSE)</f>
        <v>100000</v>
      </c>
      <c r="G5283" s="87">
        <f t="shared" si="666"/>
        <v>400</v>
      </c>
    </row>
    <row r="5284" spans="1:7">
      <c r="A5284" s="8">
        <v>3</v>
      </c>
      <c r="B5284" s="1" t="s">
        <v>10</v>
      </c>
      <c r="C5284" s="8" t="s">
        <v>11</v>
      </c>
      <c r="D5284" s="9" t="s">
        <v>8</v>
      </c>
      <c r="E5284" s="10" t="s">
        <v>129</v>
      </c>
      <c r="F5284" s="86">
        <f>VLOOKUP(B5284,'HSD UPAH,BAHAN,ALAT'!$C$6:F4773,4,FALSE)</f>
        <v>120000</v>
      </c>
      <c r="G5284" s="87">
        <f t="shared" si="666"/>
        <v>48</v>
      </c>
    </row>
    <row r="5285" spans="1:7">
      <c r="A5285" s="8">
        <v>4</v>
      </c>
      <c r="B5285" s="1" t="s">
        <v>13</v>
      </c>
      <c r="C5285" s="8" t="s">
        <v>14</v>
      </c>
      <c r="D5285" s="9" t="s">
        <v>8</v>
      </c>
      <c r="E5285" s="10" t="s">
        <v>130</v>
      </c>
      <c r="F5285" s="86">
        <f>VLOOKUP(B5285,'HSD UPAH,BAHAN,ALAT'!$C$6:F4774,4,FALSE)</f>
        <v>100000</v>
      </c>
      <c r="G5285" s="87">
        <f t="shared" si="666"/>
        <v>12.999999999999998</v>
      </c>
    </row>
    <row r="5286" spans="1:7">
      <c r="A5286" s="261" t="s">
        <v>420</v>
      </c>
      <c r="B5286" s="261"/>
      <c r="C5286" s="261"/>
      <c r="D5286" s="261"/>
      <c r="E5286" s="261"/>
      <c r="F5286" s="261"/>
      <c r="G5286" s="85">
        <f>SUM(G5282:G5285)</f>
        <v>661</v>
      </c>
    </row>
    <row r="5287" spans="1:7">
      <c r="A5287" s="8" t="s">
        <v>16</v>
      </c>
      <c r="B5287" s="1" t="s">
        <v>17</v>
      </c>
      <c r="C5287" s="8"/>
      <c r="D5287" s="9"/>
      <c r="E5287" s="19"/>
      <c r="F5287" s="2"/>
      <c r="G5287" s="2"/>
    </row>
    <row r="5288" spans="1:7">
      <c r="A5288" s="8">
        <v>1</v>
      </c>
      <c r="B5288" s="1" t="s">
        <v>221</v>
      </c>
      <c r="C5288" s="8"/>
      <c r="D5288" s="12" t="s">
        <v>104</v>
      </c>
      <c r="E5288" s="7" t="s">
        <v>131</v>
      </c>
      <c r="F5288" s="86">
        <f>VLOOKUP(B5288,'HSD UPAH,BAHAN,ALAT'!$C$6:F4777,4,FALSE)</f>
        <v>10000</v>
      </c>
      <c r="G5288" s="87">
        <f t="shared" ref="G5288:G5294" si="667">E5288*F5288</f>
        <v>10000</v>
      </c>
    </row>
    <row r="5289" spans="1:7" ht="30">
      <c r="A5289" s="8">
        <v>2</v>
      </c>
      <c r="B5289" s="5" t="s">
        <v>214</v>
      </c>
      <c r="C5289" s="8"/>
      <c r="D5289" s="12" t="s">
        <v>19</v>
      </c>
      <c r="E5289" s="7" t="s">
        <v>59</v>
      </c>
      <c r="F5289" s="86">
        <f>VLOOKUP(B5289,'HSD UPAH,BAHAN,ALAT'!$C$6:F4778,4,FALSE)</f>
        <v>10000</v>
      </c>
      <c r="G5289" s="87">
        <f t="shared" si="667"/>
        <v>30</v>
      </c>
    </row>
    <row r="5290" spans="1:7">
      <c r="A5290" s="8">
        <v>3</v>
      </c>
      <c r="B5290" s="1" t="s">
        <v>384</v>
      </c>
      <c r="C5290" s="8"/>
      <c r="D5290" s="12" t="s">
        <v>19</v>
      </c>
      <c r="E5290" s="7" t="s">
        <v>134</v>
      </c>
      <c r="F5290" s="86">
        <f>VLOOKUP(B5290,'HSD UPAH,BAHAN,ALAT'!$C$6:F4779,4,FALSE)</f>
        <v>10000</v>
      </c>
      <c r="G5290" s="87">
        <f t="shared" si="667"/>
        <v>150</v>
      </c>
    </row>
    <row r="5291" spans="1:7">
      <c r="A5291" s="8">
        <v>4</v>
      </c>
      <c r="B5291" s="1" t="s">
        <v>115</v>
      </c>
      <c r="C5291" s="8"/>
      <c r="D5291" s="9" t="s">
        <v>19</v>
      </c>
      <c r="E5291" s="10" t="s">
        <v>116</v>
      </c>
      <c r="F5291" s="86">
        <f>VLOOKUP(B5291,'HSD UPAH,BAHAN,ALAT'!$C$6:F4780,4,FALSE)</f>
        <v>10000</v>
      </c>
      <c r="G5291" s="87">
        <f t="shared" si="667"/>
        <v>3000</v>
      </c>
    </row>
    <row r="5292" spans="1:7">
      <c r="A5292" s="8">
        <v>5</v>
      </c>
      <c r="B5292" s="1" t="s">
        <v>117</v>
      </c>
      <c r="C5292" s="8"/>
      <c r="D5292" s="9" t="s">
        <v>19</v>
      </c>
      <c r="E5292" s="10" t="s">
        <v>131</v>
      </c>
      <c r="F5292" s="86">
        <f>VLOOKUP(B5292,'HSD UPAH,BAHAN,ALAT'!$C$6:F4781,4,FALSE)</f>
        <v>10000</v>
      </c>
      <c r="G5292" s="87">
        <f t="shared" si="667"/>
        <v>10000</v>
      </c>
    </row>
    <row r="5293" spans="1:7" ht="30">
      <c r="A5293" s="8">
        <v>6</v>
      </c>
      <c r="B5293" s="5" t="s">
        <v>216</v>
      </c>
      <c r="C5293" s="8"/>
      <c r="D5293" s="12" t="s">
        <v>19</v>
      </c>
      <c r="E5293" s="7" t="s">
        <v>101</v>
      </c>
      <c r="F5293" s="86">
        <f>VLOOKUP(B5293,'HSD UPAH,BAHAN,ALAT'!$C$6:F4782,4,FALSE)</f>
        <v>10000</v>
      </c>
      <c r="G5293" s="87">
        <f t="shared" si="667"/>
        <v>40</v>
      </c>
    </row>
    <row r="5294" spans="1:7">
      <c r="A5294" s="8">
        <v>7</v>
      </c>
      <c r="B5294" s="1" t="s">
        <v>119</v>
      </c>
      <c r="C5294" s="8"/>
      <c r="D5294" s="9" t="s">
        <v>120</v>
      </c>
      <c r="E5294" s="10" t="s">
        <v>121</v>
      </c>
      <c r="F5294" s="86">
        <f>VLOOKUP(B5294,'HSD UPAH,BAHAN,ALAT'!$C$6:F4783,4,FALSE)</f>
        <v>10000</v>
      </c>
      <c r="G5294" s="87">
        <f t="shared" si="667"/>
        <v>56000</v>
      </c>
    </row>
    <row r="5295" spans="1:7">
      <c r="A5295" s="261" t="s">
        <v>421</v>
      </c>
      <c r="B5295" s="261"/>
      <c r="C5295" s="261"/>
      <c r="D5295" s="261"/>
      <c r="E5295" s="261"/>
      <c r="F5295" s="261"/>
      <c r="G5295" s="85">
        <f>SUM(G5288:G5294)</f>
        <v>79220</v>
      </c>
    </row>
    <row r="5296" spans="1:7">
      <c r="A5296" s="8" t="s">
        <v>36</v>
      </c>
      <c r="B5296" s="1" t="s">
        <v>37</v>
      </c>
      <c r="C5296" s="8"/>
      <c r="D5296" s="9"/>
      <c r="E5296" s="19"/>
      <c r="F5296" s="2"/>
      <c r="G5296" s="2"/>
    </row>
    <row r="5297" spans="1:7" ht="45">
      <c r="A5297" s="8">
        <v>1</v>
      </c>
      <c r="B5297" s="5" t="s">
        <v>217</v>
      </c>
      <c r="C5297" s="8"/>
      <c r="D5297" s="12" t="s">
        <v>122</v>
      </c>
      <c r="E5297" s="7" t="s">
        <v>98</v>
      </c>
      <c r="F5297" s="86">
        <f>VLOOKUP(B5297,'HSD UPAH,BAHAN,ALAT'!$C$6:F4786,4,FALSE)</f>
        <v>10000</v>
      </c>
      <c r="G5297" s="87">
        <f t="shared" ref="G5297" si="668">E5297*F5297</f>
        <v>5</v>
      </c>
    </row>
    <row r="5298" spans="1:7">
      <c r="A5298" s="263" t="s">
        <v>419</v>
      </c>
      <c r="B5298" s="263"/>
      <c r="C5298" s="263"/>
      <c r="D5298" s="263"/>
      <c r="E5298" s="263"/>
      <c r="F5298" s="263"/>
      <c r="G5298" s="80">
        <f>SUM(G5297)</f>
        <v>5</v>
      </c>
    </row>
    <row r="5299" spans="1:7">
      <c r="A5299" s="81" t="s">
        <v>38</v>
      </c>
      <c r="B5299" s="262" t="s">
        <v>39</v>
      </c>
      <c r="C5299" s="262"/>
      <c r="D5299" s="262"/>
      <c r="E5299" s="262"/>
      <c r="F5299" s="262"/>
      <c r="G5299" s="118">
        <f>SUM(G5282:G5298)/2</f>
        <v>79886</v>
      </c>
    </row>
    <row r="5300" spans="1:7">
      <c r="A5300" s="81" t="s">
        <v>40</v>
      </c>
      <c r="B5300" s="262" t="s">
        <v>180</v>
      </c>
      <c r="C5300" s="262"/>
      <c r="D5300" s="262"/>
      <c r="E5300" s="262"/>
      <c r="F5300" s="82">
        <v>0.1</v>
      </c>
      <c r="G5300" s="80">
        <f>G5299*F5300</f>
        <v>7988.6</v>
      </c>
    </row>
    <row r="5301" spans="1:7">
      <c r="A5301" s="81" t="s">
        <v>41</v>
      </c>
      <c r="B5301" s="262" t="s">
        <v>42</v>
      </c>
      <c r="C5301" s="262"/>
      <c r="D5301" s="262"/>
      <c r="E5301" s="262"/>
      <c r="F5301" s="262"/>
      <c r="G5301" s="80">
        <f>G5299+G5300</f>
        <v>87874.6</v>
      </c>
    </row>
    <row r="5302" spans="1:7">
      <c r="A5302" s="90"/>
      <c r="B5302" s="91"/>
      <c r="C5302" s="91"/>
      <c r="D5302" s="91"/>
      <c r="E5302" s="91"/>
      <c r="F5302" s="91"/>
      <c r="G5302" s="92"/>
    </row>
    <row r="5303" spans="1:7">
      <c r="A5303" s="96" t="s">
        <v>482</v>
      </c>
      <c r="B5303" s="91"/>
      <c r="C5303" s="91"/>
      <c r="D5303" s="91"/>
      <c r="E5303" s="91"/>
      <c r="F5303" s="91"/>
      <c r="G5303" s="92"/>
    </row>
    <row r="5304" spans="1:7" ht="30">
      <c r="A5304" s="79" t="s">
        <v>0</v>
      </c>
      <c r="B5304" s="79" t="s">
        <v>1</v>
      </c>
      <c r="C5304" s="79" t="s">
        <v>207</v>
      </c>
      <c r="D5304" s="79" t="s">
        <v>3</v>
      </c>
      <c r="E5304" s="79" t="s">
        <v>2</v>
      </c>
      <c r="F5304" s="79" t="s">
        <v>417</v>
      </c>
      <c r="G5304" s="79" t="s">
        <v>418</v>
      </c>
    </row>
    <row r="5305" spans="1:7">
      <c r="A5305" s="8" t="s">
        <v>4</v>
      </c>
      <c r="B5305" s="1" t="s">
        <v>5</v>
      </c>
      <c r="C5305" s="8"/>
      <c r="D5305" s="9"/>
      <c r="E5305" s="19"/>
      <c r="F5305" s="2"/>
      <c r="G5305" s="2"/>
    </row>
    <row r="5306" spans="1:7">
      <c r="A5306" s="8">
        <v>1</v>
      </c>
      <c r="B5306" s="1" t="s">
        <v>48</v>
      </c>
      <c r="C5306" s="8" t="s">
        <v>49</v>
      </c>
      <c r="D5306" s="9" t="s">
        <v>8</v>
      </c>
      <c r="E5306" s="10" t="s">
        <v>132</v>
      </c>
      <c r="F5306" s="86">
        <f>VLOOKUP(B5306,'HSD UPAH,BAHAN,ALAT'!$C$6:F4793,4,FALSE)</f>
        <v>100000</v>
      </c>
      <c r="G5306" s="87">
        <f t="shared" ref="G5306:G5309" si="669">E5306*F5306</f>
        <v>10000</v>
      </c>
    </row>
    <row r="5307" spans="1:7">
      <c r="A5307" s="8">
        <v>2</v>
      </c>
      <c r="B5307" s="1" t="s">
        <v>124</v>
      </c>
      <c r="C5307" s="8" t="s">
        <v>7</v>
      </c>
      <c r="D5307" s="9" t="s">
        <v>8</v>
      </c>
      <c r="E5307" s="10" t="s">
        <v>133</v>
      </c>
      <c r="F5307" s="86">
        <f>VLOOKUP(B5307,'HSD UPAH,BAHAN,ALAT'!$C$6:F4794,4,FALSE)</f>
        <v>100000</v>
      </c>
      <c r="G5307" s="87">
        <f t="shared" si="669"/>
        <v>20000</v>
      </c>
    </row>
    <row r="5308" spans="1:7">
      <c r="A5308" s="8">
        <v>3</v>
      </c>
      <c r="B5308" s="1" t="s">
        <v>10</v>
      </c>
      <c r="C5308" s="8" t="s">
        <v>11</v>
      </c>
      <c r="D5308" s="9" t="s">
        <v>8</v>
      </c>
      <c r="E5308" s="10" t="s">
        <v>50</v>
      </c>
      <c r="F5308" s="86">
        <f>VLOOKUP(B5308,'HSD UPAH,BAHAN,ALAT'!$C$6:F4795,4,FALSE)</f>
        <v>120000</v>
      </c>
      <c r="G5308" s="87">
        <f t="shared" si="669"/>
        <v>4800</v>
      </c>
    </row>
    <row r="5309" spans="1:7">
      <c r="A5309" s="8">
        <v>4</v>
      </c>
      <c r="B5309" s="1" t="s">
        <v>13</v>
      </c>
      <c r="C5309" s="8" t="s">
        <v>14</v>
      </c>
      <c r="D5309" s="9" t="s">
        <v>8</v>
      </c>
      <c r="E5309" s="10" t="s">
        <v>51</v>
      </c>
      <c r="F5309" s="86">
        <f>VLOOKUP(B5309,'HSD UPAH,BAHAN,ALAT'!$C$6:F4796,4,FALSE)</f>
        <v>100000</v>
      </c>
      <c r="G5309" s="87">
        <f t="shared" si="669"/>
        <v>1300</v>
      </c>
    </row>
    <row r="5310" spans="1:7">
      <c r="A5310" s="261" t="s">
        <v>420</v>
      </c>
      <c r="B5310" s="261"/>
      <c r="C5310" s="261"/>
      <c r="D5310" s="261"/>
      <c r="E5310" s="261"/>
      <c r="F5310" s="261"/>
      <c r="G5310" s="85">
        <f>SUM(G5306:G5309)</f>
        <v>36100</v>
      </c>
    </row>
    <row r="5311" spans="1:7">
      <c r="A5311" s="8" t="s">
        <v>16</v>
      </c>
      <c r="B5311" s="1" t="s">
        <v>17</v>
      </c>
      <c r="C5311" s="8"/>
      <c r="D5311" s="9"/>
      <c r="E5311" s="19"/>
      <c r="F5311" s="2"/>
      <c r="G5311" s="2"/>
    </row>
    <row r="5312" spans="1:7">
      <c r="A5312" s="8">
        <v>1</v>
      </c>
      <c r="B5312" s="1" t="s">
        <v>221</v>
      </c>
      <c r="C5312" s="8"/>
      <c r="D5312" s="12" t="s">
        <v>104</v>
      </c>
      <c r="E5312" s="7" t="s">
        <v>105</v>
      </c>
      <c r="F5312" s="86">
        <f>VLOOKUP(B5312,'HSD UPAH,BAHAN,ALAT'!$C$6:F4799,4,FALSE)</f>
        <v>10000</v>
      </c>
      <c r="G5312" s="87">
        <f t="shared" ref="G5312:G5318" si="670">E5312*F5312</f>
        <v>10000</v>
      </c>
    </row>
    <row r="5313" spans="1:7" ht="30">
      <c r="A5313" s="8">
        <v>2</v>
      </c>
      <c r="B5313" s="5" t="s">
        <v>219</v>
      </c>
      <c r="C5313" s="8"/>
      <c r="D5313" s="12" t="s">
        <v>19</v>
      </c>
      <c r="E5313" s="7" t="s">
        <v>59</v>
      </c>
      <c r="F5313" s="86">
        <f>VLOOKUP(B5313,'HSD UPAH,BAHAN,ALAT'!$C$6:F4800,4,FALSE)</f>
        <v>10000</v>
      </c>
      <c r="G5313" s="87">
        <f t="shared" si="670"/>
        <v>30</v>
      </c>
    </row>
    <row r="5314" spans="1:7">
      <c r="A5314" s="8">
        <v>3</v>
      </c>
      <c r="B5314" s="1" t="s">
        <v>384</v>
      </c>
      <c r="C5314" s="8"/>
      <c r="D5314" s="12" t="s">
        <v>19</v>
      </c>
      <c r="E5314" s="7" t="s">
        <v>134</v>
      </c>
      <c r="F5314" s="86">
        <f>VLOOKUP(B5314,'HSD UPAH,BAHAN,ALAT'!$C$6:F4801,4,FALSE)</f>
        <v>10000</v>
      </c>
      <c r="G5314" s="87">
        <f t="shared" si="670"/>
        <v>150</v>
      </c>
    </row>
    <row r="5315" spans="1:7">
      <c r="A5315" s="8">
        <v>4</v>
      </c>
      <c r="B5315" s="1" t="s">
        <v>115</v>
      </c>
      <c r="C5315" s="8"/>
      <c r="D5315" s="9" t="s">
        <v>19</v>
      </c>
      <c r="E5315" s="10" t="s">
        <v>116</v>
      </c>
      <c r="F5315" s="86">
        <f>VLOOKUP(B5315,'HSD UPAH,BAHAN,ALAT'!$C$6:F4802,4,FALSE)</f>
        <v>10000</v>
      </c>
      <c r="G5315" s="87">
        <f t="shared" si="670"/>
        <v>3000</v>
      </c>
    </row>
    <row r="5316" spans="1:7">
      <c r="A5316" s="8">
        <v>5</v>
      </c>
      <c r="B5316" s="1" t="s">
        <v>117</v>
      </c>
      <c r="C5316" s="8"/>
      <c r="D5316" s="9" t="s">
        <v>19</v>
      </c>
      <c r="E5316" s="10" t="s">
        <v>131</v>
      </c>
      <c r="F5316" s="86">
        <f>VLOOKUP(B5316,'HSD UPAH,BAHAN,ALAT'!$C$6:F4803,4,FALSE)</f>
        <v>10000</v>
      </c>
      <c r="G5316" s="87">
        <f t="shared" si="670"/>
        <v>10000</v>
      </c>
    </row>
    <row r="5317" spans="1:7" ht="30">
      <c r="A5317" s="8">
        <v>6</v>
      </c>
      <c r="B5317" s="5" t="s">
        <v>216</v>
      </c>
      <c r="C5317" s="8"/>
      <c r="D5317" s="12" t="s">
        <v>19</v>
      </c>
      <c r="E5317" s="7" t="s">
        <v>101</v>
      </c>
      <c r="F5317" s="86">
        <f>VLOOKUP(B5317,'HSD UPAH,BAHAN,ALAT'!$C$6:F4804,4,FALSE)</f>
        <v>10000</v>
      </c>
      <c r="G5317" s="87">
        <f t="shared" si="670"/>
        <v>40</v>
      </c>
    </row>
    <row r="5318" spans="1:7">
      <c r="A5318" s="8">
        <v>7</v>
      </c>
      <c r="B5318" s="1" t="s">
        <v>119</v>
      </c>
      <c r="C5318" s="8"/>
      <c r="D5318" s="9" t="s">
        <v>120</v>
      </c>
      <c r="E5318" s="10" t="s">
        <v>121</v>
      </c>
      <c r="F5318" s="86">
        <f>VLOOKUP(B5318,'HSD UPAH,BAHAN,ALAT'!$C$6:F4805,4,FALSE)</f>
        <v>10000</v>
      </c>
      <c r="G5318" s="87">
        <f t="shared" si="670"/>
        <v>56000</v>
      </c>
    </row>
    <row r="5319" spans="1:7">
      <c r="A5319" s="261" t="s">
        <v>421</v>
      </c>
      <c r="B5319" s="261"/>
      <c r="C5319" s="261"/>
      <c r="D5319" s="261"/>
      <c r="E5319" s="261"/>
      <c r="F5319" s="261"/>
      <c r="G5319" s="85">
        <f>SUM(G5312:G5318)</f>
        <v>79220</v>
      </c>
    </row>
    <row r="5320" spans="1:7">
      <c r="A5320" s="8" t="s">
        <v>36</v>
      </c>
      <c r="B5320" s="1" t="s">
        <v>37</v>
      </c>
      <c r="C5320" s="8"/>
      <c r="D5320" s="9"/>
      <c r="E5320" s="19"/>
      <c r="F5320" s="2"/>
      <c r="G5320" s="2"/>
    </row>
    <row r="5321" spans="1:7">
      <c r="A5321" s="8"/>
      <c r="B5321" s="1"/>
      <c r="C5321" s="8"/>
      <c r="D5321" s="9"/>
      <c r="E5321" s="19"/>
      <c r="F5321" s="2"/>
      <c r="G5321" s="2"/>
    </row>
    <row r="5322" spans="1:7">
      <c r="A5322" s="263" t="s">
        <v>419</v>
      </c>
      <c r="B5322" s="263"/>
      <c r="C5322" s="263"/>
      <c r="D5322" s="263"/>
      <c r="E5322" s="263"/>
      <c r="F5322" s="263"/>
      <c r="G5322" s="80">
        <f>SUM(G5321)</f>
        <v>0</v>
      </c>
    </row>
    <row r="5323" spans="1:7">
      <c r="A5323" s="81" t="s">
        <v>38</v>
      </c>
      <c r="B5323" s="262" t="s">
        <v>39</v>
      </c>
      <c r="C5323" s="262"/>
      <c r="D5323" s="262"/>
      <c r="E5323" s="262"/>
      <c r="F5323" s="262"/>
      <c r="G5323" s="118">
        <f>SUM(G5306:G5322)/2</f>
        <v>115320</v>
      </c>
    </row>
    <row r="5324" spans="1:7">
      <c r="A5324" s="81" t="s">
        <v>40</v>
      </c>
      <c r="B5324" s="262" t="s">
        <v>180</v>
      </c>
      <c r="C5324" s="262"/>
      <c r="D5324" s="262"/>
      <c r="E5324" s="262"/>
      <c r="F5324" s="82">
        <v>0.1</v>
      </c>
      <c r="G5324" s="80">
        <f>G5323*F5324</f>
        <v>11532</v>
      </c>
    </row>
    <row r="5325" spans="1:7">
      <c r="A5325" s="81" t="s">
        <v>41</v>
      </c>
      <c r="B5325" s="262" t="s">
        <v>42</v>
      </c>
      <c r="C5325" s="262"/>
      <c r="D5325" s="262"/>
      <c r="E5325" s="262"/>
      <c r="F5325" s="262"/>
      <c r="G5325" s="80">
        <f>G5323+G5324</f>
        <v>126852</v>
      </c>
    </row>
    <row r="5326" spans="1:7">
      <c r="A5326" s="90"/>
      <c r="B5326" s="91"/>
      <c r="C5326" s="91"/>
      <c r="D5326" s="91"/>
      <c r="E5326" s="91"/>
      <c r="F5326" s="91"/>
      <c r="G5326" s="92"/>
    </row>
    <row r="5327" spans="1:7">
      <c r="A5327" s="97" t="s">
        <v>439</v>
      </c>
      <c r="B5327" s="91"/>
      <c r="C5327" s="91"/>
      <c r="D5327" s="91"/>
      <c r="E5327" s="91"/>
      <c r="F5327" s="91"/>
      <c r="G5327" s="92"/>
    </row>
    <row r="5328" spans="1:7">
      <c r="A5328" s="90"/>
      <c r="B5328" s="91"/>
      <c r="C5328" s="91"/>
      <c r="D5328" s="91"/>
      <c r="E5328" s="91"/>
      <c r="F5328" s="91"/>
      <c r="G5328" s="92"/>
    </row>
    <row r="5329" spans="1:7">
      <c r="A5329" s="90"/>
      <c r="B5329" s="91"/>
      <c r="C5329" s="91"/>
      <c r="D5329" s="91"/>
      <c r="E5329" s="91"/>
      <c r="F5329" s="91"/>
      <c r="G5329" s="92"/>
    </row>
    <row r="5330" spans="1:7">
      <c r="A5330" s="90"/>
      <c r="B5330" s="91"/>
      <c r="C5330" s="91"/>
      <c r="D5330" s="91"/>
      <c r="E5330" s="91"/>
      <c r="F5330" s="91"/>
      <c r="G5330" s="92"/>
    </row>
    <row r="5331" spans="1:7">
      <c r="A5331" s="90"/>
      <c r="B5331" s="91"/>
      <c r="C5331" s="91"/>
      <c r="D5331" s="91"/>
      <c r="E5331" s="91"/>
      <c r="F5331" s="91"/>
      <c r="G5331" s="92"/>
    </row>
    <row r="5332" spans="1:7">
      <c r="A5332" s="90"/>
      <c r="B5332" s="91"/>
      <c r="C5332" s="91"/>
      <c r="D5332" s="91"/>
      <c r="E5332" s="91"/>
      <c r="F5332" s="91"/>
      <c r="G5332" s="92"/>
    </row>
    <row r="5333" spans="1:7">
      <c r="A5333" s="90"/>
      <c r="B5333" s="91"/>
      <c r="C5333" s="91"/>
      <c r="D5333" s="91"/>
      <c r="E5333" s="91"/>
      <c r="F5333" s="91"/>
      <c r="G5333" s="92"/>
    </row>
    <row r="5334" spans="1:7">
      <c r="A5334" s="90"/>
      <c r="B5334" s="91"/>
      <c r="C5334" s="91"/>
      <c r="D5334" s="91"/>
      <c r="E5334" s="91"/>
      <c r="F5334" s="91"/>
      <c r="G5334" s="92"/>
    </row>
    <row r="5335" spans="1:7">
      <c r="A5335" s="90"/>
      <c r="B5335" s="91"/>
      <c r="C5335" s="91"/>
      <c r="D5335" s="91"/>
      <c r="E5335" s="91"/>
      <c r="F5335" s="91"/>
      <c r="G5335" s="92"/>
    </row>
    <row r="5336" spans="1:7">
      <c r="A5336" s="90"/>
      <c r="B5336" s="91"/>
      <c r="C5336" s="91"/>
      <c r="D5336" s="91"/>
      <c r="E5336" s="91"/>
      <c r="F5336" s="91"/>
      <c r="G5336" s="92"/>
    </row>
    <row r="5337" spans="1:7">
      <c r="A5337" s="90"/>
      <c r="B5337" s="91"/>
      <c r="C5337" s="91"/>
      <c r="D5337" s="91"/>
      <c r="E5337" s="91"/>
      <c r="F5337" s="91"/>
      <c r="G5337" s="92"/>
    </row>
    <row r="5338" spans="1:7">
      <c r="A5338" s="90"/>
      <c r="B5338" s="91"/>
      <c r="C5338" s="91"/>
      <c r="D5338" s="91"/>
      <c r="E5338" s="91"/>
      <c r="F5338" s="91"/>
      <c r="G5338" s="92"/>
    </row>
    <row r="5339" spans="1:7">
      <c r="A5339" s="90"/>
      <c r="B5339" s="91"/>
      <c r="C5339" s="91"/>
      <c r="D5339" s="91"/>
      <c r="E5339" s="91"/>
      <c r="F5339" s="91"/>
      <c r="G5339" s="92"/>
    </row>
    <row r="5340" spans="1:7">
      <c r="A5340" s="90"/>
      <c r="B5340" s="91"/>
      <c r="C5340" s="91"/>
      <c r="D5340" s="91"/>
      <c r="E5340" s="91"/>
      <c r="F5340" s="91"/>
      <c r="G5340" s="92"/>
    </row>
    <row r="5341" spans="1:7">
      <c r="A5341" s="90"/>
      <c r="B5341" s="91"/>
      <c r="C5341" s="91"/>
      <c r="D5341" s="91"/>
      <c r="E5341" s="91"/>
      <c r="F5341" s="91"/>
      <c r="G5341" s="92"/>
    </row>
    <row r="5342" spans="1:7">
      <c r="A5342" s="90"/>
      <c r="B5342" s="91"/>
      <c r="C5342" s="91"/>
      <c r="D5342" s="91"/>
      <c r="E5342" s="91"/>
      <c r="F5342" s="91"/>
      <c r="G5342" s="92"/>
    </row>
    <row r="5343" spans="1:7">
      <c r="A5343" s="90"/>
      <c r="B5343" s="91"/>
      <c r="C5343" s="91"/>
      <c r="D5343" s="91"/>
      <c r="E5343" s="91"/>
      <c r="F5343" s="91"/>
      <c r="G5343" s="92"/>
    </row>
    <row r="5344" spans="1:7">
      <c r="A5344" s="90"/>
      <c r="B5344" s="91"/>
      <c r="C5344" s="91"/>
      <c r="D5344" s="91"/>
      <c r="E5344" s="91"/>
      <c r="F5344" s="91"/>
      <c r="G5344" s="92"/>
    </row>
    <row r="5345" spans="1:7">
      <c r="A5345" s="90"/>
      <c r="B5345" s="91"/>
      <c r="C5345" s="91"/>
      <c r="D5345" s="91"/>
      <c r="E5345" s="91"/>
      <c r="F5345" s="91"/>
      <c r="G5345" s="92"/>
    </row>
    <row r="5346" spans="1:7">
      <c r="A5346" s="90"/>
      <c r="B5346" s="91"/>
      <c r="C5346" s="91"/>
      <c r="D5346" s="91"/>
      <c r="E5346" s="91"/>
      <c r="F5346" s="91"/>
      <c r="G5346" s="92"/>
    </row>
    <row r="5347" spans="1:7">
      <c r="A5347" s="90"/>
      <c r="B5347" s="91"/>
      <c r="C5347" s="91"/>
      <c r="D5347" s="91"/>
      <c r="E5347" s="91"/>
      <c r="F5347" s="91"/>
      <c r="G5347" s="92"/>
    </row>
    <row r="5348" spans="1:7">
      <c r="A5348" s="90"/>
      <c r="B5348" s="91"/>
      <c r="C5348" s="91"/>
      <c r="D5348" s="91"/>
      <c r="E5348" s="91"/>
      <c r="F5348" s="91"/>
      <c r="G5348" s="92"/>
    </row>
    <row r="5349" spans="1:7">
      <c r="A5349" s="90"/>
      <c r="B5349" s="91"/>
      <c r="C5349" s="91"/>
      <c r="D5349" s="91"/>
      <c r="E5349" s="91"/>
      <c r="F5349" s="91"/>
      <c r="G5349" s="92"/>
    </row>
    <row r="5350" spans="1:7">
      <c r="A5350" s="97" t="s">
        <v>849</v>
      </c>
      <c r="B5350" s="91"/>
      <c r="C5350" s="91"/>
      <c r="D5350" s="91"/>
      <c r="E5350" s="91"/>
      <c r="F5350" s="91"/>
      <c r="G5350" s="92"/>
    </row>
    <row r="5351" spans="1:7" ht="30">
      <c r="A5351" s="79" t="s">
        <v>0</v>
      </c>
      <c r="B5351" s="79" t="s">
        <v>1</v>
      </c>
      <c r="C5351" s="79" t="s">
        <v>207</v>
      </c>
      <c r="D5351" s="79" t="s">
        <v>3</v>
      </c>
      <c r="E5351" s="79" t="s">
        <v>2</v>
      </c>
      <c r="F5351" s="79" t="s">
        <v>417</v>
      </c>
      <c r="G5351" s="79" t="s">
        <v>418</v>
      </c>
    </row>
    <row r="5352" spans="1:7">
      <c r="A5352" s="8" t="s">
        <v>4</v>
      </c>
      <c r="B5352" s="1" t="s">
        <v>5</v>
      </c>
      <c r="C5352" s="8"/>
      <c r="D5352" s="9"/>
      <c r="E5352" s="19"/>
      <c r="F5352" s="2"/>
      <c r="G5352" s="2"/>
    </row>
    <row r="5353" spans="1:7">
      <c r="A5353" s="8">
        <v>1</v>
      </c>
      <c r="B5353" s="1" t="s">
        <v>48</v>
      </c>
      <c r="C5353" s="8" t="s">
        <v>49</v>
      </c>
      <c r="D5353" s="9" t="s">
        <v>8</v>
      </c>
      <c r="E5353" s="10" t="s">
        <v>135</v>
      </c>
      <c r="F5353" s="86">
        <f>VLOOKUP(B5353,'HSD UPAH,BAHAN,ALAT'!$C$6:F4815,4,FALSE)</f>
        <v>100000</v>
      </c>
      <c r="G5353" s="87">
        <f t="shared" ref="G5353:G5354" si="671">E5353*F5353</f>
        <v>36000</v>
      </c>
    </row>
    <row r="5354" spans="1:7">
      <c r="A5354" s="8">
        <v>2</v>
      </c>
      <c r="B5354" s="1" t="s">
        <v>13</v>
      </c>
      <c r="C5354" s="8" t="s">
        <v>14</v>
      </c>
      <c r="D5354" s="9" t="s">
        <v>8</v>
      </c>
      <c r="E5354" s="10" t="s">
        <v>136</v>
      </c>
      <c r="F5354" s="86">
        <f>VLOOKUP(B5354,'HSD UPAH,BAHAN,ALAT'!$C$6:F4816,4,FALSE)</f>
        <v>100000</v>
      </c>
      <c r="G5354" s="87">
        <f t="shared" si="671"/>
        <v>3599.9999999999995</v>
      </c>
    </row>
    <row r="5355" spans="1:7">
      <c r="A5355" s="261" t="s">
        <v>420</v>
      </c>
      <c r="B5355" s="261"/>
      <c r="C5355" s="261"/>
      <c r="D5355" s="261"/>
      <c r="E5355" s="261"/>
      <c r="F5355" s="261"/>
      <c r="G5355" s="85">
        <f>SUM(G5351:G5354)</f>
        <v>39600</v>
      </c>
    </row>
    <row r="5356" spans="1:7">
      <c r="A5356" s="8" t="s">
        <v>16</v>
      </c>
      <c r="B5356" s="1" t="s">
        <v>17</v>
      </c>
      <c r="C5356" s="8"/>
      <c r="D5356" s="9"/>
      <c r="E5356" s="19"/>
      <c r="F5356" s="2"/>
      <c r="G5356" s="2"/>
    </row>
    <row r="5357" spans="1:7">
      <c r="A5357" s="8">
        <v>1</v>
      </c>
      <c r="B5357" s="1" t="s">
        <v>137</v>
      </c>
      <c r="C5357" s="8"/>
      <c r="D5357" s="9" t="s">
        <v>28</v>
      </c>
      <c r="E5357" s="10" t="s">
        <v>138</v>
      </c>
      <c r="F5357" s="86">
        <f>VLOOKUP(B5357,'HSD UPAH,BAHAN,ALAT'!$C$6:F4819,4,FALSE)</f>
        <v>10000</v>
      </c>
      <c r="G5357" s="87">
        <f t="shared" ref="G5357:G5358" si="672">E5357*F5357</f>
        <v>4000</v>
      </c>
    </row>
    <row r="5358" spans="1:7">
      <c r="A5358" s="8">
        <v>2</v>
      </c>
      <c r="B5358" s="1" t="s">
        <v>139</v>
      </c>
      <c r="C5358" s="8"/>
      <c r="D5358" s="9" t="s">
        <v>19</v>
      </c>
      <c r="E5358" s="10" t="s">
        <v>116</v>
      </c>
      <c r="F5358" s="86">
        <f>VLOOKUP(B5358,'HSD UPAH,BAHAN,ALAT'!$C$6:F4820,4,FALSE)</f>
        <v>10000</v>
      </c>
      <c r="G5358" s="87">
        <f t="shared" si="672"/>
        <v>3000</v>
      </c>
    </row>
    <row r="5359" spans="1:7">
      <c r="A5359" s="261" t="s">
        <v>421</v>
      </c>
      <c r="B5359" s="261"/>
      <c r="C5359" s="261"/>
      <c r="D5359" s="261"/>
      <c r="E5359" s="261"/>
      <c r="F5359" s="261"/>
      <c r="G5359" s="85">
        <f>SUM(G5357:G5358)</f>
        <v>7000</v>
      </c>
    </row>
    <row r="5360" spans="1:7">
      <c r="A5360" s="8" t="s">
        <v>36</v>
      </c>
      <c r="B5360" s="1" t="s">
        <v>37</v>
      </c>
      <c r="C5360" s="8"/>
      <c r="D5360" s="9"/>
      <c r="E5360" s="19"/>
      <c r="F5360" s="2"/>
      <c r="G5360" s="2"/>
    </row>
    <row r="5361" spans="1:7">
      <c r="A5361" s="8">
        <v>1</v>
      </c>
      <c r="B5361" s="1" t="s">
        <v>140</v>
      </c>
      <c r="C5361" s="8"/>
      <c r="D5361" s="9" t="s">
        <v>122</v>
      </c>
      <c r="E5361" s="10" t="s">
        <v>141</v>
      </c>
      <c r="F5361" s="86">
        <f>VLOOKUP(B5361,'HSD UPAH,BAHAN,ALAT'!$C$6:F4823,4,FALSE)</f>
        <v>10000</v>
      </c>
      <c r="G5361" s="87">
        <f t="shared" ref="G5361" si="673">E5361*F5361</f>
        <v>714</v>
      </c>
    </row>
    <row r="5362" spans="1:7">
      <c r="A5362" s="263" t="s">
        <v>419</v>
      </c>
      <c r="B5362" s="263"/>
      <c r="C5362" s="263"/>
      <c r="D5362" s="263"/>
      <c r="E5362" s="263"/>
      <c r="F5362" s="263"/>
      <c r="G5362" s="80">
        <f>SUM(G5361)</f>
        <v>714</v>
      </c>
    </row>
    <row r="5363" spans="1:7">
      <c r="A5363" s="81" t="s">
        <v>38</v>
      </c>
      <c r="B5363" s="262" t="s">
        <v>39</v>
      </c>
      <c r="C5363" s="262"/>
      <c r="D5363" s="262"/>
      <c r="E5363" s="262"/>
      <c r="F5363" s="262"/>
      <c r="G5363" s="118">
        <f>SUM(G5352:G5362)/2</f>
        <v>47314</v>
      </c>
    </row>
    <row r="5364" spans="1:7">
      <c r="A5364" s="81" t="s">
        <v>40</v>
      </c>
      <c r="B5364" s="262" t="s">
        <v>180</v>
      </c>
      <c r="C5364" s="262"/>
      <c r="D5364" s="262"/>
      <c r="E5364" s="262"/>
      <c r="F5364" s="82">
        <v>0.1</v>
      </c>
      <c r="G5364" s="80">
        <f>G5363*F5364</f>
        <v>4731.4000000000005</v>
      </c>
    </row>
    <row r="5365" spans="1:7">
      <c r="A5365" s="81" t="s">
        <v>41</v>
      </c>
      <c r="B5365" s="262" t="s">
        <v>42</v>
      </c>
      <c r="C5365" s="262"/>
      <c r="D5365" s="262"/>
      <c r="E5365" s="262"/>
      <c r="F5365" s="262"/>
      <c r="G5365" s="80">
        <f>G5363+G5364</f>
        <v>52045.4</v>
      </c>
    </row>
    <row r="5366" spans="1:7">
      <c r="A5366" s="90"/>
      <c r="B5366" s="91"/>
      <c r="C5366" s="91"/>
      <c r="D5366" s="91"/>
      <c r="E5366" s="91"/>
      <c r="F5366" s="91"/>
      <c r="G5366" s="92"/>
    </row>
    <row r="5367" spans="1:7">
      <c r="A5367" s="93" t="s">
        <v>850</v>
      </c>
      <c r="B5367" s="91"/>
      <c r="C5367" s="91"/>
      <c r="D5367" s="91"/>
      <c r="E5367" s="91"/>
      <c r="F5367" s="91"/>
      <c r="G5367" s="92"/>
    </row>
    <row r="5368" spans="1:7" ht="30">
      <c r="A5368" s="79" t="s">
        <v>0</v>
      </c>
      <c r="B5368" s="79" t="s">
        <v>1</v>
      </c>
      <c r="C5368" s="79" t="s">
        <v>207</v>
      </c>
      <c r="D5368" s="79" t="s">
        <v>3</v>
      </c>
      <c r="E5368" s="79" t="s">
        <v>2</v>
      </c>
      <c r="F5368" s="79" t="s">
        <v>417</v>
      </c>
      <c r="G5368" s="79" t="s">
        <v>418</v>
      </c>
    </row>
    <row r="5369" spans="1:7">
      <c r="A5369" s="8" t="s">
        <v>4</v>
      </c>
      <c r="B5369" s="1" t="s">
        <v>5</v>
      </c>
      <c r="C5369" s="8"/>
      <c r="D5369" s="9"/>
      <c r="E5369" s="19"/>
      <c r="F5369" s="2"/>
      <c r="G5369" s="2"/>
    </row>
    <row r="5370" spans="1:7">
      <c r="A5370" s="8">
        <v>1</v>
      </c>
      <c r="B5370" s="1" t="s">
        <v>48</v>
      </c>
      <c r="C5370" s="8" t="s">
        <v>49</v>
      </c>
      <c r="D5370" s="9" t="s">
        <v>8</v>
      </c>
      <c r="E5370" s="10" t="s">
        <v>135</v>
      </c>
      <c r="F5370" s="86">
        <f>VLOOKUP(B5370,'HSD UPAH,BAHAN,ALAT'!$C$6:F4830,4,FALSE)</f>
        <v>100000</v>
      </c>
      <c r="G5370" s="87">
        <f t="shared" ref="G5370:G5371" si="674">E5370*F5370</f>
        <v>36000</v>
      </c>
    </row>
    <row r="5371" spans="1:7">
      <c r="A5371" s="8">
        <v>2</v>
      </c>
      <c r="B5371" s="1" t="s">
        <v>13</v>
      </c>
      <c r="C5371" s="8" t="s">
        <v>14</v>
      </c>
      <c r="D5371" s="9" t="s">
        <v>8</v>
      </c>
      <c r="E5371" s="10" t="s">
        <v>136</v>
      </c>
      <c r="F5371" s="86">
        <f>VLOOKUP(B5371,'HSD UPAH,BAHAN,ALAT'!$C$6:F4831,4,FALSE)</f>
        <v>100000</v>
      </c>
      <c r="G5371" s="87">
        <f t="shared" si="674"/>
        <v>3599.9999999999995</v>
      </c>
    </row>
    <row r="5372" spans="1:7">
      <c r="A5372" s="261" t="s">
        <v>420</v>
      </c>
      <c r="B5372" s="261"/>
      <c r="C5372" s="261"/>
      <c r="D5372" s="261"/>
      <c r="E5372" s="261"/>
      <c r="F5372" s="261"/>
      <c r="G5372" s="85">
        <f>SUM(G5369:G5371)</f>
        <v>39600</v>
      </c>
    </row>
    <row r="5373" spans="1:7">
      <c r="A5373" s="8" t="s">
        <v>16</v>
      </c>
      <c r="B5373" s="1" t="s">
        <v>17</v>
      </c>
      <c r="C5373" s="8"/>
      <c r="D5373" s="9"/>
      <c r="E5373" s="19"/>
      <c r="F5373" s="2"/>
      <c r="G5373" s="2"/>
    </row>
    <row r="5374" spans="1:7">
      <c r="A5374" s="8">
        <v>1</v>
      </c>
      <c r="B5374" s="1" t="s">
        <v>137</v>
      </c>
      <c r="C5374" s="8"/>
      <c r="D5374" s="9" t="s">
        <v>28</v>
      </c>
      <c r="E5374" s="10" t="s">
        <v>142</v>
      </c>
      <c r="F5374" s="86">
        <f>VLOOKUP(B5374,'HSD UPAH,BAHAN,ALAT'!$C$6:F4834,4,FALSE)</f>
        <v>10000</v>
      </c>
      <c r="G5374" s="87">
        <f t="shared" ref="G5374:G5375" si="675">E5374*F5374</f>
        <v>3500</v>
      </c>
    </row>
    <row r="5375" spans="1:7">
      <c r="A5375" s="8">
        <v>2</v>
      </c>
      <c r="B5375" s="1" t="s">
        <v>139</v>
      </c>
      <c r="C5375" s="8"/>
      <c r="D5375" s="9" t="s">
        <v>19</v>
      </c>
      <c r="E5375" s="10" t="s">
        <v>143</v>
      </c>
      <c r="F5375" s="86">
        <f>VLOOKUP(B5375,'HSD UPAH,BAHAN,ALAT'!$C$6:F4835,4,FALSE)</f>
        <v>10000</v>
      </c>
      <c r="G5375" s="87">
        <f t="shared" si="675"/>
        <v>4500</v>
      </c>
    </row>
    <row r="5376" spans="1:7">
      <c r="A5376" s="261" t="s">
        <v>421</v>
      </c>
      <c r="B5376" s="261"/>
      <c r="C5376" s="261"/>
      <c r="D5376" s="261"/>
      <c r="E5376" s="261"/>
      <c r="F5376" s="261"/>
      <c r="G5376" s="85">
        <f>SUM(G5374:G5375)</f>
        <v>8000</v>
      </c>
    </row>
    <row r="5377" spans="1:7">
      <c r="A5377" s="8" t="s">
        <v>36</v>
      </c>
      <c r="B5377" s="1" t="s">
        <v>37</v>
      </c>
      <c r="C5377" s="8"/>
      <c r="D5377" s="9"/>
      <c r="E5377" s="19"/>
      <c r="F5377" s="2"/>
      <c r="G5377" s="2"/>
    </row>
    <row r="5378" spans="1:7">
      <c r="A5378" s="8">
        <v>1</v>
      </c>
      <c r="B5378" s="1" t="s">
        <v>140</v>
      </c>
      <c r="C5378" s="8"/>
      <c r="D5378" s="9" t="s">
        <v>122</v>
      </c>
      <c r="E5378" s="10" t="s">
        <v>141</v>
      </c>
      <c r="F5378" s="86">
        <f>VLOOKUP(B5378,'HSD UPAH,BAHAN,ALAT'!$C$6:F4838,4,FALSE)</f>
        <v>10000</v>
      </c>
      <c r="G5378" s="87">
        <f t="shared" ref="G5378" si="676">E5378*F5378</f>
        <v>714</v>
      </c>
    </row>
    <row r="5379" spans="1:7">
      <c r="A5379" s="263" t="s">
        <v>419</v>
      </c>
      <c r="B5379" s="263"/>
      <c r="C5379" s="263"/>
      <c r="D5379" s="263"/>
      <c r="E5379" s="263"/>
      <c r="F5379" s="263"/>
      <c r="G5379" s="80">
        <f>SUM(G5378)</f>
        <v>714</v>
      </c>
    </row>
    <row r="5380" spans="1:7">
      <c r="A5380" s="81" t="s">
        <v>38</v>
      </c>
      <c r="B5380" s="262" t="s">
        <v>39</v>
      </c>
      <c r="C5380" s="262"/>
      <c r="D5380" s="262"/>
      <c r="E5380" s="262"/>
      <c r="F5380" s="262"/>
      <c r="G5380" s="118">
        <f>SUM(G5369:G5379)/2</f>
        <v>48314</v>
      </c>
    </row>
    <row r="5381" spans="1:7">
      <c r="A5381" s="81" t="s">
        <v>40</v>
      </c>
      <c r="B5381" s="262" t="s">
        <v>180</v>
      </c>
      <c r="C5381" s="262"/>
      <c r="D5381" s="262"/>
      <c r="E5381" s="262"/>
      <c r="F5381" s="82">
        <v>0.1</v>
      </c>
      <c r="G5381" s="80">
        <f>G5380*F5381</f>
        <v>4831.4000000000005</v>
      </c>
    </row>
    <row r="5382" spans="1:7">
      <c r="A5382" s="81" t="s">
        <v>41</v>
      </c>
      <c r="B5382" s="262" t="s">
        <v>42</v>
      </c>
      <c r="C5382" s="262"/>
      <c r="D5382" s="262"/>
      <c r="E5382" s="262"/>
      <c r="F5382" s="262"/>
      <c r="G5382" s="80">
        <f>G5380+G5381</f>
        <v>53145.4</v>
      </c>
    </row>
    <row r="5383" spans="1:7">
      <c r="A5383" s="90"/>
      <c r="B5383" s="91"/>
      <c r="C5383" s="91"/>
      <c r="D5383" s="91"/>
      <c r="E5383" s="91"/>
      <c r="F5383" s="91"/>
      <c r="G5383" s="92"/>
    </row>
    <row r="5384" spans="1:7">
      <c r="A5384" s="4" t="s">
        <v>851</v>
      </c>
      <c r="B5384" s="91"/>
      <c r="C5384" s="91"/>
      <c r="D5384" s="91"/>
      <c r="E5384" s="91"/>
      <c r="F5384" s="91"/>
      <c r="G5384" s="92"/>
    </row>
    <row r="5385" spans="1:7" ht="30">
      <c r="A5385" s="79" t="s">
        <v>0</v>
      </c>
      <c r="B5385" s="79" t="s">
        <v>1</v>
      </c>
      <c r="C5385" s="79" t="s">
        <v>207</v>
      </c>
      <c r="D5385" s="79" t="s">
        <v>3</v>
      </c>
      <c r="E5385" s="79" t="s">
        <v>2</v>
      </c>
      <c r="F5385" s="79" t="s">
        <v>417</v>
      </c>
      <c r="G5385" s="79" t="s">
        <v>418</v>
      </c>
    </row>
    <row r="5386" spans="1:7">
      <c r="A5386" s="8" t="s">
        <v>4</v>
      </c>
      <c r="B5386" s="1" t="s">
        <v>5</v>
      </c>
      <c r="C5386" s="8"/>
      <c r="D5386" s="9"/>
      <c r="E5386" s="19"/>
      <c r="F5386" s="2"/>
      <c r="G5386" s="2"/>
    </row>
    <row r="5387" spans="1:7">
      <c r="A5387" s="8">
        <v>1</v>
      </c>
      <c r="B5387" s="1" t="s">
        <v>48</v>
      </c>
      <c r="C5387" s="8" t="s">
        <v>49</v>
      </c>
      <c r="D5387" s="9" t="s">
        <v>8</v>
      </c>
      <c r="E5387" s="10" t="s">
        <v>135</v>
      </c>
      <c r="F5387" s="86">
        <f>VLOOKUP(B5387,'HSD UPAH,BAHAN,ALAT'!$C$6:F4845,4,FALSE)</f>
        <v>100000</v>
      </c>
      <c r="G5387" s="87">
        <f t="shared" ref="G5387:G5388" si="677">E5387*F5387</f>
        <v>36000</v>
      </c>
    </row>
    <row r="5388" spans="1:7">
      <c r="A5388" s="8">
        <v>2</v>
      </c>
      <c r="B5388" s="1" t="s">
        <v>13</v>
      </c>
      <c r="C5388" s="8" t="s">
        <v>14</v>
      </c>
      <c r="D5388" s="9" t="s">
        <v>8</v>
      </c>
      <c r="E5388" s="10" t="s">
        <v>136</v>
      </c>
      <c r="F5388" s="86">
        <f>VLOOKUP(B5388,'HSD UPAH,BAHAN,ALAT'!$C$6:F4846,4,FALSE)</f>
        <v>100000</v>
      </c>
      <c r="G5388" s="87">
        <f t="shared" si="677"/>
        <v>3599.9999999999995</v>
      </c>
    </row>
    <row r="5389" spans="1:7">
      <c r="A5389" s="261" t="s">
        <v>420</v>
      </c>
      <c r="B5389" s="261"/>
      <c r="C5389" s="261"/>
      <c r="D5389" s="261"/>
      <c r="E5389" s="261"/>
      <c r="F5389" s="261"/>
      <c r="G5389" s="85">
        <f>SUM(G5386:G5388)</f>
        <v>39600</v>
      </c>
    </row>
    <row r="5390" spans="1:7">
      <c r="A5390" s="8" t="s">
        <v>16</v>
      </c>
      <c r="B5390" s="1" t="s">
        <v>17</v>
      </c>
      <c r="C5390" s="8"/>
      <c r="D5390" s="9"/>
      <c r="E5390" s="19"/>
      <c r="F5390" s="2"/>
      <c r="G5390" s="2"/>
    </row>
    <row r="5391" spans="1:7">
      <c r="A5391" s="8">
        <v>1</v>
      </c>
      <c r="B5391" s="1" t="s">
        <v>137</v>
      </c>
      <c r="C5391" s="8"/>
      <c r="D5391" s="9" t="s">
        <v>28</v>
      </c>
      <c r="E5391" s="10" t="s">
        <v>138</v>
      </c>
      <c r="F5391" s="86">
        <f>VLOOKUP(B5391,'HSD UPAH,BAHAN,ALAT'!$C$6:F4849,4,FALSE)</f>
        <v>10000</v>
      </c>
      <c r="G5391" s="87">
        <f t="shared" ref="G5391:G5393" si="678">E5391*F5391</f>
        <v>4000</v>
      </c>
    </row>
    <row r="5392" spans="1:7">
      <c r="A5392" s="8">
        <v>2</v>
      </c>
      <c r="B5392" s="1" t="s">
        <v>144</v>
      </c>
      <c r="C5392" s="8"/>
      <c r="D5392" s="9" t="s">
        <v>28</v>
      </c>
      <c r="E5392" s="10" t="s">
        <v>145</v>
      </c>
      <c r="F5392" s="86">
        <f>VLOOKUP(B5392,'HSD UPAH,BAHAN,ALAT'!$C$6:F4850,4,FALSE)</f>
        <v>10000</v>
      </c>
      <c r="G5392" s="87">
        <f t="shared" si="678"/>
        <v>1500</v>
      </c>
    </row>
    <row r="5393" spans="1:7">
      <c r="A5393" s="8">
        <v>3</v>
      </c>
      <c r="B5393" s="1" t="s">
        <v>139</v>
      </c>
      <c r="C5393" s="8"/>
      <c r="D5393" s="9" t="s">
        <v>19</v>
      </c>
      <c r="E5393" s="10" t="s">
        <v>118</v>
      </c>
      <c r="F5393" s="86">
        <f>VLOOKUP(B5393,'HSD UPAH,BAHAN,ALAT'!$C$6:F4851,4,FALSE)</f>
        <v>10000</v>
      </c>
      <c r="G5393" s="87">
        <f t="shared" si="678"/>
        <v>6000</v>
      </c>
    </row>
    <row r="5394" spans="1:7">
      <c r="A5394" s="261" t="s">
        <v>421</v>
      </c>
      <c r="B5394" s="261"/>
      <c r="C5394" s="261"/>
      <c r="D5394" s="261"/>
      <c r="E5394" s="261"/>
      <c r="F5394" s="261"/>
      <c r="G5394" s="85">
        <f>SUM(G5391:G5393)</f>
        <v>11500</v>
      </c>
    </row>
    <row r="5395" spans="1:7">
      <c r="A5395" s="8" t="s">
        <v>36</v>
      </c>
      <c r="B5395" s="1" t="s">
        <v>37</v>
      </c>
      <c r="C5395" s="8"/>
      <c r="D5395" s="9"/>
      <c r="E5395" s="19"/>
      <c r="F5395" s="2"/>
      <c r="G5395" s="2"/>
    </row>
    <row r="5396" spans="1:7">
      <c r="A5396" s="8">
        <v>1</v>
      </c>
      <c r="B5396" s="1" t="s">
        <v>140</v>
      </c>
      <c r="C5396" s="8"/>
      <c r="D5396" s="9" t="s">
        <v>122</v>
      </c>
      <c r="E5396" s="10" t="s">
        <v>141</v>
      </c>
      <c r="F5396" s="86">
        <f>VLOOKUP(B5396,'HSD UPAH,BAHAN,ALAT'!$C$6:F4854,4,FALSE)</f>
        <v>10000</v>
      </c>
      <c r="G5396" s="87">
        <f t="shared" ref="G5396" si="679">E5396*F5396</f>
        <v>714</v>
      </c>
    </row>
    <row r="5397" spans="1:7">
      <c r="A5397" s="263" t="s">
        <v>419</v>
      </c>
      <c r="B5397" s="263"/>
      <c r="C5397" s="263"/>
      <c r="D5397" s="263"/>
      <c r="E5397" s="263"/>
      <c r="F5397" s="263"/>
      <c r="G5397" s="80">
        <f>SUM(G5396)</f>
        <v>714</v>
      </c>
    </row>
    <row r="5398" spans="1:7">
      <c r="A5398" s="81" t="s">
        <v>38</v>
      </c>
      <c r="B5398" s="262" t="s">
        <v>39</v>
      </c>
      <c r="C5398" s="262"/>
      <c r="D5398" s="262"/>
      <c r="E5398" s="262"/>
      <c r="F5398" s="262"/>
      <c r="G5398" s="118">
        <f>SUM(G5387:G5397)/2</f>
        <v>51814</v>
      </c>
    </row>
    <row r="5399" spans="1:7">
      <c r="A5399" s="81" t="s">
        <v>40</v>
      </c>
      <c r="B5399" s="262" t="s">
        <v>180</v>
      </c>
      <c r="C5399" s="262"/>
      <c r="D5399" s="262"/>
      <c r="E5399" s="262"/>
      <c r="F5399" s="82">
        <v>0.1</v>
      </c>
      <c r="G5399" s="80">
        <f>G5398*F5399</f>
        <v>5181.4000000000005</v>
      </c>
    </row>
    <row r="5400" spans="1:7">
      <c r="A5400" s="81" t="s">
        <v>41</v>
      </c>
      <c r="B5400" s="262" t="s">
        <v>42</v>
      </c>
      <c r="C5400" s="262"/>
      <c r="D5400" s="262"/>
      <c r="E5400" s="262"/>
      <c r="F5400" s="262"/>
      <c r="G5400" s="80">
        <f>G5398+G5399</f>
        <v>56995.4</v>
      </c>
    </row>
    <row r="5401" spans="1:7">
      <c r="A5401" s="90"/>
      <c r="B5401" s="91"/>
      <c r="C5401" s="91"/>
      <c r="D5401" s="91"/>
      <c r="E5401" s="91"/>
      <c r="F5401" s="91"/>
      <c r="G5401" s="92"/>
    </row>
    <row r="5402" spans="1:7">
      <c r="A5402" s="4" t="s">
        <v>852</v>
      </c>
      <c r="B5402" s="91"/>
      <c r="C5402" s="91"/>
      <c r="D5402" s="91"/>
      <c r="E5402" s="91"/>
      <c r="F5402" s="91"/>
      <c r="G5402" s="92"/>
    </row>
    <row r="5403" spans="1:7" ht="30">
      <c r="A5403" s="79" t="s">
        <v>0</v>
      </c>
      <c r="B5403" s="79" t="s">
        <v>1</v>
      </c>
      <c r="C5403" s="79" t="s">
        <v>207</v>
      </c>
      <c r="D5403" s="79" t="s">
        <v>3</v>
      </c>
      <c r="E5403" s="79" t="s">
        <v>2</v>
      </c>
      <c r="F5403" s="79" t="s">
        <v>417</v>
      </c>
      <c r="G5403" s="79" t="s">
        <v>418</v>
      </c>
    </row>
    <row r="5404" spans="1:7">
      <c r="A5404" s="8" t="s">
        <v>4</v>
      </c>
      <c r="B5404" s="1" t="s">
        <v>5</v>
      </c>
      <c r="C5404" s="8"/>
      <c r="D5404" s="9"/>
      <c r="E5404" s="19"/>
      <c r="F5404" s="2"/>
      <c r="G5404" s="2"/>
    </row>
    <row r="5405" spans="1:7">
      <c r="A5405" s="8">
        <v>1</v>
      </c>
      <c r="B5405" s="1" t="s">
        <v>48</v>
      </c>
      <c r="C5405" s="8" t="s">
        <v>49</v>
      </c>
      <c r="D5405" s="9" t="s">
        <v>8</v>
      </c>
      <c r="E5405" s="10" t="s">
        <v>135</v>
      </c>
      <c r="F5405" s="86">
        <f>VLOOKUP(B5405,'HSD UPAH,BAHAN,ALAT'!$C$6:F4861,4,FALSE)</f>
        <v>100000</v>
      </c>
      <c r="G5405" s="87">
        <f t="shared" ref="G5405:G5406" si="680">E5405*F5405</f>
        <v>36000</v>
      </c>
    </row>
    <row r="5406" spans="1:7">
      <c r="A5406" s="8">
        <v>2</v>
      </c>
      <c r="B5406" s="1" t="s">
        <v>13</v>
      </c>
      <c r="C5406" s="8" t="s">
        <v>14</v>
      </c>
      <c r="D5406" s="9" t="s">
        <v>8</v>
      </c>
      <c r="E5406" s="10" t="s">
        <v>136</v>
      </c>
      <c r="F5406" s="86">
        <f>VLOOKUP(B5406,'HSD UPAH,BAHAN,ALAT'!$C$6:F4862,4,FALSE)</f>
        <v>100000</v>
      </c>
      <c r="G5406" s="87">
        <f t="shared" si="680"/>
        <v>3599.9999999999995</v>
      </c>
    </row>
    <row r="5407" spans="1:7">
      <c r="A5407" s="261" t="s">
        <v>420</v>
      </c>
      <c r="B5407" s="261"/>
      <c r="C5407" s="261"/>
      <c r="D5407" s="261"/>
      <c r="E5407" s="261"/>
      <c r="F5407" s="261"/>
      <c r="G5407" s="85">
        <f>SUM(G5404:G5406)</f>
        <v>39600</v>
      </c>
    </row>
    <row r="5408" spans="1:7">
      <c r="A5408" s="8" t="s">
        <v>16</v>
      </c>
      <c r="B5408" s="1" t="s">
        <v>17</v>
      </c>
      <c r="C5408" s="8"/>
      <c r="D5408" s="9"/>
      <c r="E5408" s="19"/>
      <c r="F5408" s="2"/>
      <c r="G5408" s="2"/>
    </row>
    <row r="5409" spans="1:7">
      <c r="A5409" s="8">
        <v>1</v>
      </c>
      <c r="B5409" s="1" t="s">
        <v>137</v>
      </c>
      <c r="C5409" s="8"/>
      <c r="D5409" s="9" t="s">
        <v>28</v>
      </c>
      <c r="E5409" s="10" t="s">
        <v>138</v>
      </c>
      <c r="F5409" s="86">
        <f>VLOOKUP(B5409,'HSD UPAH,BAHAN,ALAT'!$C$6:F4865,4,FALSE)</f>
        <v>10000</v>
      </c>
      <c r="G5409" s="87">
        <f t="shared" ref="G5409:G5410" si="681">E5409*F5409</f>
        <v>4000</v>
      </c>
    </row>
    <row r="5410" spans="1:7">
      <c r="A5410" s="8">
        <v>2</v>
      </c>
      <c r="B5410" s="1" t="s">
        <v>139</v>
      </c>
      <c r="C5410" s="8"/>
      <c r="D5410" s="9" t="s">
        <v>19</v>
      </c>
      <c r="E5410" s="10" t="s">
        <v>146</v>
      </c>
      <c r="F5410" s="86">
        <f>VLOOKUP(B5410,'HSD UPAH,BAHAN,ALAT'!$C$6:F4866,4,FALSE)</f>
        <v>10000</v>
      </c>
      <c r="G5410" s="87">
        <f t="shared" si="681"/>
        <v>5000</v>
      </c>
    </row>
    <row r="5411" spans="1:7">
      <c r="A5411" s="261" t="s">
        <v>421</v>
      </c>
      <c r="B5411" s="261"/>
      <c r="C5411" s="261"/>
      <c r="D5411" s="261"/>
      <c r="E5411" s="261"/>
      <c r="F5411" s="261"/>
      <c r="G5411" s="85">
        <f>SUM(G5408:G5410)</f>
        <v>9000</v>
      </c>
    </row>
    <row r="5412" spans="1:7">
      <c r="A5412" s="8" t="s">
        <v>36</v>
      </c>
      <c r="B5412" s="1" t="s">
        <v>37</v>
      </c>
      <c r="C5412" s="8"/>
      <c r="D5412" s="9"/>
      <c r="E5412" s="19"/>
      <c r="F5412" s="2"/>
      <c r="G5412" s="2"/>
    </row>
    <row r="5413" spans="1:7">
      <c r="A5413" s="8">
        <v>1</v>
      </c>
      <c r="B5413" s="1" t="s">
        <v>140</v>
      </c>
      <c r="C5413" s="8"/>
      <c r="D5413" s="9" t="s">
        <v>122</v>
      </c>
      <c r="E5413" s="10" t="s">
        <v>141</v>
      </c>
      <c r="F5413" s="86">
        <f>VLOOKUP(B5413,'HSD UPAH,BAHAN,ALAT'!$C$6:F4869,4,FALSE)</f>
        <v>10000</v>
      </c>
      <c r="G5413" s="87">
        <f t="shared" ref="G5413" si="682">E5413*F5413</f>
        <v>714</v>
      </c>
    </row>
    <row r="5414" spans="1:7">
      <c r="A5414" s="263" t="s">
        <v>419</v>
      </c>
      <c r="B5414" s="263"/>
      <c r="C5414" s="263"/>
      <c r="D5414" s="263"/>
      <c r="E5414" s="263"/>
      <c r="F5414" s="263"/>
      <c r="G5414" s="80">
        <f>SUM(G5413)</f>
        <v>714</v>
      </c>
    </row>
    <row r="5415" spans="1:7">
      <c r="A5415" s="81" t="s">
        <v>38</v>
      </c>
      <c r="B5415" s="262" t="s">
        <v>39</v>
      </c>
      <c r="C5415" s="262"/>
      <c r="D5415" s="262"/>
      <c r="E5415" s="262"/>
      <c r="F5415" s="262"/>
      <c r="G5415" s="118">
        <f>SUM(G5404:G5414)/2</f>
        <v>49314</v>
      </c>
    </row>
    <row r="5416" spans="1:7">
      <c r="A5416" s="81" t="s">
        <v>40</v>
      </c>
      <c r="B5416" s="262" t="s">
        <v>180</v>
      </c>
      <c r="C5416" s="262"/>
      <c r="D5416" s="262"/>
      <c r="E5416" s="262"/>
      <c r="F5416" s="82">
        <v>0.1</v>
      </c>
      <c r="G5416" s="80">
        <f>G5415*F5416</f>
        <v>4931.4000000000005</v>
      </c>
    </row>
    <row r="5417" spans="1:7">
      <c r="A5417" s="81" t="s">
        <v>41</v>
      </c>
      <c r="B5417" s="262" t="s">
        <v>42</v>
      </c>
      <c r="C5417" s="262"/>
      <c r="D5417" s="262"/>
      <c r="E5417" s="262"/>
      <c r="F5417" s="262"/>
      <c r="G5417" s="80">
        <f>G5415+G5416</f>
        <v>54245.4</v>
      </c>
    </row>
    <row r="5418" spans="1:7">
      <c r="A5418" s="90"/>
      <c r="B5418" s="91"/>
      <c r="C5418" s="91"/>
      <c r="D5418" s="91"/>
      <c r="E5418" s="91"/>
      <c r="F5418" s="91"/>
      <c r="G5418" s="92"/>
    </row>
    <row r="5419" spans="1:7">
      <c r="A5419" s="4" t="s">
        <v>853</v>
      </c>
      <c r="B5419" s="91"/>
      <c r="C5419" s="91"/>
      <c r="D5419" s="91"/>
      <c r="E5419" s="91"/>
      <c r="F5419" s="91"/>
      <c r="G5419" s="92"/>
    </row>
    <row r="5420" spans="1:7" ht="30">
      <c r="A5420" s="79" t="s">
        <v>0</v>
      </c>
      <c r="B5420" s="79" t="s">
        <v>1</v>
      </c>
      <c r="C5420" s="79" t="s">
        <v>207</v>
      </c>
      <c r="D5420" s="79" t="s">
        <v>3</v>
      </c>
      <c r="E5420" s="79" t="s">
        <v>2</v>
      </c>
      <c r="F5420" s="79" t="s">
        <v>417</v>
      </c>
      <c r="G5420" s="79" t="s">
        <v>418</v>
      </c>
    </row>
    <row r="5421" spans="1:7">
      <c r="A5421" s="8" t="s">
        <v>4</v>
      </c>
      <c r="B5421" s="1" t="s">
        <v>5</v>
      </c>
      <c r="C5421" s="8"/>
      <c r="D5421" s="9"/>
      <c r="E5421" s="19"/>
      <c r="F5421" s="2"/>
      <c r="G5421" s="2"/>
    </row>
    <row r="5422" spans="1:7">
      <c r="A5422" s="8">
        <v>1</v>
      </c>
      <c r="B5422" s="1" t="s">
        <v>48</v>
      </c>
      <c r="C5422" s="8" t="s">
        <v>49</v>
      </c>
      <c r="D5422" s="9" t="s">
        <v>8</v>
      </c>
      <c r="E5422" s="10" t="s">
        <v>135</v>
      </c>
      <c r="F5422" s="86">
        <f>VLOOKUP(B5422,'HSD UPAH,BAHAN,ALAT'!$C$6:F4876,4,FALSE)</f>
        <v>100000</v>
      </c>
      <c r="G5422" s="87">
        <f t="shared" ref="G5422:G5423" si="683">E5422*F5422</f>
        <v>36000</v>
      </c>
    </row>
    <row r="5423" spans="1:7">
      <c r="A5423" s="8">
        <v>2</v>
      </c>
      <c r="B5423" s="1" t="s">
        <v>13</v>
      </c>
      <c r="C5423" s="8" t="s">
        <v>14</v>
      </c>
      <c r="D5423" s="9" t="s">
        <v>8</v>
      </c>
      <c r="E5423" s="10" t="s">
        <v>136</v>
      </c>
      <c r="F5423" s="86">
        <f>VLOOKUP(B5423,'HSD UPAH,BAHAN,ALAT'!$C$6:F4877,4,FALSE)</f>
        <v>100000</v>
      </c>
      <c r="G5423" s="87">
        <f t="shared" si="683"/>
        <v>3599.9999999999995</v>
      </c>
    </row>
    <row r="5424" spans="1:7">
      <c r="A5424" s="261" t="s">
        <v>420</v>
      </c>
      <c r="B5424" s="261"/>
      <c r="C5424" s="261"/>
      <c r="D5424" s="261"/>
      <c r="E5424" s="261"/>
      <c r="F5424" s="261"/>
      <c r="G5424" s="85">
        <f>SUM(G5421:G5423)</f>
        <v>39600</v>
      </c>
    </row>
    <row r="5425" spans="1:7">
      <c r="A5425" s="8" t="s">
        <v>16</v>
      </c>
      <c r="B5425" s="1" t="s">
        <v>17</v>
      </c>
      <c r="C5425" s="8"/>
      <c r="D5425" s="9"/>
      <c r="E5425" s="19"/>
      <c r="F5425" s="2"/>
      <c r="G5425" s="2"/>
    </row>
    <row r="5426" spans="1:7">
      <c r="A5426" s="8">
        <v>1</v>
      </c>
      <c r="B5426" s="1" t="s">
        <v>137</v>
      </c>
      <c r="C5426" s="8"/>
      <c r="D5426" s="9" t="s">
        <v>28</v>
      </c>
      <c r="E5426" s="10" t="s">
        <v>142</v>
      </c>
      <c r="F5426" s="86">
        <f>VLOOKUP(B5426,'HSD UPAH,BAHAN,ALAT'!$C$6:F4880,4,FALSE)</f>
        <v>10000</v>
      </c>
      <c r="G5426" s="87">
        <f t="shared" ref="G5426:G5427" si="684">E5426*F5426</f>
        <v>3500</v>
      </c>
    </row>
    <row r="5427" spans="1:7">
      <c r="A5427" s="8">
        <v>2</v>
      </c>
      <c r="B5427" s="1" t="s">
        <v>139</v>
      </c>
      <c r="C5427" s="8"/>
      <c r="D5427" s="9" t="s">
        <v>19</v>
      </c>
      <c r="E5427" s="10" t="s">
        <v>147</v>
      </c>
      <c r="F5427" s="86">
        <f>VLOOKUP(B5427,'HSD UPAH,BAHAN,ALAT'!$C$6:F4881,4,FALSE)</f>
        <v>10000</v>
      </c>
      <c r="G5427" s="87">
        <f t="shared" si="684"/>
        <v>7500</v>
      </c>
    </row>
    <row r="5428" spans="1:7">
      <c r="A5428" s="261" t="s">
        <v>421</v>
      </c>
      <c r="B5428" s="261"/>
      <c r="C5428" s="261"/>
      <c r="D5428" s="261"/>
      <c r="E5428" s="261"/>
      <c r="F5428" s="261"/>
      <c r="G5428" s="85">
        <f>SUM(G5425:G5427)</f>
        <v>11000</v>
      </c>
    </row>
    <row r="5429" spans="1:7">
      <c r="A5429" s="8" t="s">
        <v>36</v>
      </c>
      <c r="B5429" s="1" t="s">
        <v>37</v>
      </c>
      <c r="C5429" s="8"/>
      <c r="D5429" s="9"/>
      <c r="E5429" s="19"/>
      <c r="F5429" s="2"/>
      <c r="G5429" s="2"/>
    </row>
    <row r="5430" spans="1:7">
      <c r="A5430" s="8">
        <v>1</v>
      </c>
      <c r="B5430" s="1" t="s">
        <v>140</v>
      </c>
      <c r="C5430" s="8"/>
      <c r="D5430" s="9" t="s">
        <v>122</v>
      </c>
      <c r="E5430" s="10" t="s">
        <v>141</v>
      </c>
      <c r="F5430" s="86">
        <f>VLOOKUP(B5430,'HSD UPAH,BAHAN,ALAT'!$C$6:F4884,4,FALSE)</f>
        <v>10000</v>
      </c>
      <c r="G5430" s="87">
        <f t="shared" ref="G5430" si="685">E5430*F5430</f>
        <v>714</v>
      </c>
    </row>
    <row r="5431" spans="1:7">
      <c r="A5431" s="263" t="s">
        <v>419</v>
      </c>
      <c r="B5431" s="263"/>
      <c r="C5431" s="263"/>
      <c r="D5431" s="263"/>
      <c r="E5431" s="263"/>
      <c r="F5431" s="263"/>
      <c r="G5431" s="80">
        <f>SUM(G5430)</f>
        <v>714</v>
      </c>
    </row>
    <row r="5432" spans="1:7">
      <c r="A5432" s="81" t="s">
        <v>38</v>
      </c>
      <c r="B5432" s="262" t="s">
        <v>39</v>
      </c>
      <c r="C5432" s="262"/>
      <c r="D5432" s="262"/>
      <c r="E5432" s="262"/>
      <c r="F5432" s="262"/>
      <c r="G5432" s="118">
        <f>SUM(G5421:G5431)/2</f>
        <v>51314</v>
      </c>
    </row>
    <row r="5433" spans="1:7">
      <c r="A5433" s="81" t="s">
        <v>40</v>
      </c>
      <c r="B5433" s="262" t="s">
        <v>180</v>
      </c>
      <c r="C5433" s="262"/>
      <c r="D5433" s="262"/>
      <c r="E5433" s="262"/>
      <c r="F5433" s="82">
        <v>0.1</v>
      </c>
      <c r="G5433" s="80">
        <f>G5432*F5433</f>
        <v>5131.4000000000005</v>
      </c>
    </row>
    <row r="5434" spans="1:7">
      <c r="A5434" s="81" t="s">
        <v>41</v>
      </c>
      <c r="B5434" s="262" t="s">
        <v>42</v>
      </c>
      <c r="C5434" s="262"/>
      <c r="D5434" s="262"/>
      <c r="E5434" s="262"/>
      <c r="F5434" s="262"/>
      <c r="G5434" s="80">
        <f>G5432+G5433</f>
        <v>56445.4</v>
      </c>
    </row>
    <row r="5435" spans="1:7">
      <c r="A5435" s="90"/>
      <c r="B5435" s="91"/>
      <c r="C5435" s="91"/>
      <c r="D5435" s="91"/>
      <c r="E5435" s="91"/>
      <c r="F5435" s="91"/>
      <c r="G5435" s="92"/>
    </row>
    <row r="5436" spans="1:7">
      <c r="A5436" s="4" t="s">
        <v>854</v>
      </c>
      <c r="B5436" s="91"/>
      <c r="C5436" s="91"/>
      <c r="D5436" s="91"/>
      <c r="E5436" s="91"/>
      <c r="F5436" s="91"/>
      <c r="G5436" s="92"/>
    </row>
    <row r="5437" spans="1:7" ht="30">
      <c r="A5437" s="79" t="s">
        <v>0</v>
      </c>
      <c r="B5437" s="79" t="s">
        <v>1</v>
      </c>
      <c r="C5437" s="79" t="s">
        <v>207</v>
      </c>
      <c r="D5437" s="79" t="s">
        <v>3</v>
      </c>
      <c r="E5437" s="79" t="s">
        <v>2</v>
      </c>
      <c r="F5437" s="79" t="s">
        <v>417</v>
      </c>
      <c r="G5437" s="79" t="s">
        <v>418</v>
      </c>
    </row>
    <row r="5438" spans="1:7">
      <c r="A5438" s="8" t="s">
        <v>4</v>
      </c>
      <c r="B5438" s="1" t="s">
        <v>5</v>
      </c>
      <c r="C5438" s="8"/>
      <c r="D5438" s="9"/>
      <c r="E5438" s="19"/>
      <c r="F5438" s="2"/>
      <c r="G5438" s="2"/>
    </row>
    <row r="5439" spans="1:7">
      <c r="A5439" s="8">
        <v>1</v>
      </c>
      <c r="B5439" s="1" t="s">
        <v>48</v>
      </c>
      <c r="C5439" s="8" t="s">
        <v>49</v>
      </c>
      <c r="D5439" s="9" t="s">
        <v>8</v>
      </c>
      <c r="E5439" s="10" t="s">
        <v>135</v>
      </c>
      <c r="F5439" s="86">
        <f>VLOOKUP(B5439,'HSD UPAH,BAHAN,ALAT'!$C$6:F4891,4,FALSE)</f>
        <v>100000</v>
      </c>
      <c r="G5439" s="87">
        <f t="shared" ref="G5439:G5440" si="686">E5439*F5439</f>
        <v>36000</v>
      </c>
    </row>
    <row r="5440" spans="1:7">
      <c r="A5440" s="8">
        <v>2</v>
      </c>
      <c r="B5440" s="1" t="s">
        <v>13</v>
      </c>
      <c r="C5440" s="8" t="s">
        <v>14</v>
      </c>
      <c r="D5440" s="9" t="s">
        <v>8</v>
      </c>
      <c r="E5440" s="10" t="s">
        <v>136</v>
      </c>
      <c r="F5440" s="86">
        <f>VLOOKUP(B5440,'HSD UPAH,BAHAN,ALAT'!$C$6:F4892,4,FALSE)</f>
        <v>100000</v>
      </c>
      <c r="G5440" s="87">
        <f t="shared" si="686"/>
        <v>3599.9999999999995</v>
      </c>
    </row>
    <row r="5441" spans="1:7">
      <c r="A5441" s="261" t="s">
        <v>420</v>
      </c>
      <c r="B5441" s="261"/>
      <c r="C5441" s="261"/>
      <c r="D5441" s="261"/>
      <c r="E5441" s="261"/>
      <c r="F5441" s="261"/>
      <c r="G5441" s="85">
        <f>SUM(G5438:G5440)</f>
        <v>39600</v>
      </c>
    </row>
    <row r="5442" spans="1:7">
      <c r="A5442" s="8" t="s">
        <v>16</v>
      </c>
      <c r="B5442" s="1" t="s">
        <v>17</v>
      </c>
      <c r="C5442" s="8"/>
      <c r="D5442" s="9"/>
      <c r="E5442" s="19"/>
      <c r="F5442" s="2"/>
      <c r="G5442" s="2"/>
    </row>
    <row r="5443" spans="1:7">
      <c r="A5443" s="8">
        <v>1</v>
      </c>
      <c r="B5443" s="1" t="s">
        <v>137</v>
      </c>
      <c r="C5443" s="8"/>
      <c r="D5443" s="9" t="s">
        <v>28</v>
      </c>
      <c r="E5443" s="10" t="s">
        <v>148</v>
      </c>
      <c r="F5443" s="86">
        <f>VLOOKUP(B5443,'HSD UPAH,BAHAN,ALAT'!$C$6:F4895,4,FALSE)</f>
        <v>10000</v>
      </c>
      <c r="G5443" s="87">
        <f t="shared" ref="G5443:G5445" si="687">E5443*F5443</f>
        <v>4000</v>
      </c>
    </row>
    <row r="5444" spans="1:7">
      <c r="A5444" s="8">
        <v>2</v>
      </c>
      <c r="B5444" s="1" t="s">
        <v>144</v>
      </c>
      <c r="C5444" s="8"/>
      <c r="D5444" s="9" t="s">
        <v>28</v>
      </c>
      <c r="E5444" s="10" t="s">
        <v>149</v>
      </c>
      <c r="F5444" s="86">
        <f>VLOOKUP(B5444,'HSD UPAH,BAHAN,ALAT'!$C$6:F4896,4,FALSE)</f>
        <v>10000</v>
      </c>
      <c r="G5444" s="87">
        <f t="shared" si="687"/>
        <v>1500</v>
      </c>
    </row>
    <row r="5445" spans="1:7">
      <c r="A5445" s="8">
        <v>3</v>
      </c>
      <c r="B5445" s="1" t="s">
        <v>139</v>
      </c>
      <c r="C5445" s="8"/>
      <c r="D5445" s="9" t="s">
        <v>19</v>
      </c>
      <c r="E5445" s="10" t="s">
        <v>105</v>
      </c>
      <c r="F5445" s="86">
        <f>VLOOKUP(B5445,'HSD UPAH,BAHAN,ALAT'!$C$6:F4897,4,FALSE)</f>
        <v>10000</v>
      </c>
      <c r="G5445" s="87">
        <f t="shared" si="687"/>
        <v>10000</v>
      </c>
    </row>
    <row r="5446" spans="1:7">
      <c r="A5446" s="261" t="s">
        <v>421</v>
      </c>
      <c r="B5446" s="261"/>
      <c r="C5446" s="261"/>
      <c r="D5446" s="261"/>
      <c r="E5446" s="261"/>
      <c r="F5446" s="261"/>
      <c r="G5446" s="85">
        <f>SUM(G5443:G5445)</f>
        <v>15500</v>
      </c>
    </row>
    <row r="5447" spans="1:7">
      <c r="A5447" s="8" t="s">
        <v>36</v>
      </c>
      <c r="B5447" s="1" t="s">
        <v>37</v>
      </c>
      <c r="C5447" s="8"/>
      <c r="D5447" s="9"/>
      <c r="E5447" s="19"/>
      <c r="F5447" s="2"/>
      <c r="G5447" s="2"/>
    </row>
    <row r="5448" spans="1:7">
      <c r="A5448" s="8">
        <v>1</v>
      </c>
      <c r="B5448" s="1" t="s">
        <v>140</v>
      </c>
      <c r="C5448" s="8"/>
      <c r="D5448" s="9" t="s">
        <v>122</v>
      </c>
      <c r="E5448" s="10" t="s">
        <v>141</v>
      </c>
      <c r="F5448" s="86">
        <f>VLOOKUP(B5448,'HSD UPAH,BAHAN,ALAT'!$C$6:F4900,4,FALSE)</f>
        <v>10000</v>
      </c>
      <c r="G5448" s="87">
        <f t="shared" ref="G5448" si="688">E5448*F5448</f>
        <v>714</v>
      </c>
    </row>
    <row r="5449" spans="1:7">
      <c r="A5449" s="263" t="s">
        <v>419</v>
      </c>
      <c r="B5449" s="263"/>
      <c r="C5449" s="263"/>
      <c r="D5449" s="263"/>
      <c r="E5449" s="263"/>
      <c r="F5449" s="263"/>
      <c r="G5449" s="80">
        <f>SUM(G5448)</f>
        <v>714</v>
      </c>
    </row>
    <row r="5450" spans="1:7">
      <c r="A5450" s="81" t="s">
        <v>38</v>
      </c>
      <c r="B5450" s="262" t="s">
        <v>39</v>
      </c>
      <c r="C5450" s="262"/>
      <c r="D5450" s="262"/>
      <c r="E5450" s="262"/>
      <c r="F5450" s="262"/>
      <c r="G5450" s="118">
        <f>SUM(G5439:G5449)/2</f>
        <v>55814</v>
      </c>
    </row>
    <row r="5451" spans="1:7">
      <c r="A5451" s="81" t="s">
        <v>40</v>
      </c>
      <c r="B5451" s="262" t="s">
        <v>180</v>
      </c>
      <c r="C5451" s="262"/>
      <c r="D5451" s="262"/>
      <c r="E5451" s="262"/>
      <c r="F5451" s="82">
        <v>0.1</v>
      </c>
      <c r="G5451" s="80">
        <f>G5450*F5451</f>
        <v>5581.4000000000005</v>
      </c>
    </row>
    <row r="5452" spans="1:7">
      <c r="A5452" s="81" t="s">
        <v>41</v>
      </c>
      <c r="B5452" s="262" t="s">
        <v>42</v>
      </c>
      <c r="C5452" s="262"/>
      <c r="D5452" s="262"/>
      <c r="E5452" s="262"/>
      <c r="F5452" s="262"/>
      <c r="G5452" s="80">
        <f>G5450+G5451</f>
        <v>61395.4</v>
      </c>
    </row>
    <row r="5453" spans="1:7">
      <c r="A5453" s="90"/>
      <c r="B5453" s="91"/>
      <c r="C5453" s="91"/>
      <c r="D5453" s="91"/>
      <c r="E5453" s="91"/>
      <c r="F5453" s="91"/>
      <c r="G5453" s="92"/>
    </row>
    <row r="5454" spans="1:7">
      <c r="A5454" s="4" t="s">
        <v>855</v>
      </c>
      <c r="B5454" s="91"/>
      <c r="C5454" s="91"/>
      <c r="D5454" s="91"/>
      <c r="E5454" s="91"/>
      <c r="F5454" s="91"/>
      <c r="G5454" s="92"/>
    </row>
    <row r="5455" spans="1:7" ht="30">
      <c r="A5455" s="79" t="s">
        <v>0</v>
      </c>
      <c r="B5455" s="79" t="s">
        <v>1</v>
      </c>
      <c r="C5455" s="79" t="s">
        <v>207</v>
      </c>
      <c r="D5455" s="79" t="s">
        <v>3</v>
      </c>
      <c r="E5455" s="79" t="s">
        <v>2</v>
      </c>
      <c r="F5455" s="79" t="s">
        <v>417</v>
      </c>
      <c r="G5455" s="79" t="s">
        <v>418</v>
      </c>
    </row>
    <row r="5456" spans="1:7">
      <c r="A5456" s="8" t="s">
        <v>4</v>
      </c>
      <c r="B5456" s="1" t="s">
        <v>5</v>
      </c>
      <c r="C5456" s="8"/>
      <c r="D5456" s="9"/>
      <c r="E5456" s="19"/>
      <c r="F5456" s="2"/>
      <c r="G5456" s="2"/>
    </row>
    <row r="5457" spans="1:7">
      <c r="A5457" s="8">
        <v>1</v>
      </c>
      <c r="B5457" s="1" t="s">
        <v>48</v>
      </c>
      <c r="C5457" s="8" t="s">
        <v>49</v>
      </c>
      <c r="D5457" s="9" t="s">
        <v>8</v>
      </c>
      <c r="E5457" s="10" t="s">
        <v>135</v>
      </c>
      <c r="F5457" s="86">
        <f>VLOOKUP(B5457,'HSD UPAH,BAHAN,ALAT'!$C$6:F4907,4,FALSE)</f>
        <v>100000</v>
      </c>
      <c r="G5457" s="87">
        <f t="shared" ref="G5457:G5458" si="689">E5457*F5457</f>
        <v>36000</v>
      </c>
    </row>
    <row r="5458" spans="1:7">
      <c r="A5458" s="8">
        <v>2</v>
      </c>
      <c r="B5458" s="1" t="s">
        <v>13</v>
      </c>
      <c r="C5458" s="8" t="s">
        <v>14</v>
      </c>
      <c r="D5458" s="9" t="s">
        <v>8</v>
      </c>
      <c r="E5458" s="10" t="s">
        <v>136</v>
      </c>
      <c r="F5458" s="86">
        <f>VLOOKUP(B5458,'HSD UPAH,BAHAN,ALAT'!$C$6:F4908,4,FALSE)</f>
        <v>100000</v>
      </c>
      <c r="G5458" s="87">
        <f t="shared" si="689"/>
        <v>3599.9999999999995</v>
      </c>
    </row>
    <row r="5459" spans="1:7">
      <c r="A5459" s="261" t="s">
        <v>420</v>
      </c>
      <c r="B5459" s="261"/>
      <c r="C5459" s="261"/>
      <c r="D5459" s="261"/>
      <c r="E5459" s="261"/>
      <c r="F5459" s="261"/>
      <c r="G5459" s="85">
        <f>SUM(G5456:G5458)</f>
        <v>39600</v>
      </c>
    </row>
    <row r="5460" spans="1:7">
      <c r="A5460" s="8" t="s">
        <v>16</v>
      </c>
      <c r="B5460" s="1" t="s">
        <v>17</v>
      </c>
      <c r="C5460" s="8"/>
      <c r="D5460" s="9"/>
      <c r="E5460" s="19"/>
      <c r="F5460" s="2"/>
      <c r="G5460" s="2"/>
    </row>
    <row r="5461" spans="1:7">
      <c r="A5461" s="8">
        <v>1</v>
      </c>
      <c r="B5461" s="1" t="s">
        <v>137</v>
      </c>
      <c r="C5461" s="8"/>
      <c r="D5461" s="9" t="s">
        <v>28</v>
      </c>
      <c r="E5461" s="10" t="s">
        <v>142</v>
      </c>
      <c r="F5461" s="86">
        <f>VLOOKUP(B5461,'HSD UPAH,BAHAN,ALAT'!$C$6:F4911,4,FALSE)</f>
        <v>10000</v>
      </c>
      <c r="G5461" s="87">
        <f t="shared" ref="G5461:G5462" si="690">E5461*F5461</f>
        <v>3500</v>
      </c>
    </row>
    <row r="5462" spans="1:7">
      <c r="A5462" s="8">
        <v>2</v>
      </c>
      <c r="B5462" s="1" t="s">
        <v>150</v>
      </c>
      <c r="C5462" s="8"/>
      <c r="D5462" s="9" t="s">
        <v>19</v>
      </c>
      <c r="E5462" s="10" t="s">
        <v>145</v>
      </c>
      <c r="F5462" s="86">
        <f>VLOOKUP(B5462,'HSD UPAH,BAHAN,ALAT'!$C$6:F4912,4,FALSE)</f>
        <v>10000</v>
      </c>
      <c r="G5462" s="87">
        <f t="shared" si="690"/>
        <v>1500</v>
      </c>
    </row>
    <row r="5463" spans="1:7">
      <c r="A5463" s="261" t="s">
        <v>421</v>
      </c>
      <c r="B5463" s="261"/>
      <c r="C5463" s="261"/>
      <c r="D5463" s="261"/>
      <c r="E5463" s="261"/>
      <c r="F5463" s="261"/>
      <c r="G5463" s="85">
        <f>SUM(G5460:G5462)</f>
        <v>5000</v>
      </c>
    </row>
    <row r="5464" spans="1:7">
      <c r="A5464" s="8" t="s">
        <v>36</v>
      </c>
      <c r="B5464" s="1" t="s">
        <v>37</v>
      </c>
      <c r="C5464" s="8"/>
      <c r="D5464" s="9"/>
      <c r="E5464" s="19"/>
      <c r="F5464" s="2"/>
      <c r="G5464" s="2"/>
    </row>
    <row r="5465" spans="1:7">
      <c r="A5465" s="8">
        <v>1</v>
      </c>
      <c r="B5465" s="1" t="s">
        <v>140</v>
      </c>
      <c r="C5465" s="8"/>
      <c r="D5465" s="9" t="s">
        <v>122</v>
      </c>
      <c r="E5465" s="10" t="s">
        <v>141</v>
      </c>
      <c r="F5465" s="86">
        <f>VLOOKUP(B5465,'HSD UPAH,BAHAN,ALAT'!$C$6:F4915,4,FALSE)</f>
        <v>10000</v>
      </c>
      <c r="G5465" s="87">
        <f t="shared" ref="G5465" si="691">E5465*F5465</f>
        <v>714</v>
      </c>
    </row>
    <row r="5466" spans="1:7">
      <c r="A5466" s="263" t="s">
        <v>419</v>
      </c>
      <c r="B5466" s="263"/>
      <c r="C5466" s="263"/>
      <c r="D5466" s="263"/>
      <c r="E5466" s="263"/>
      <c r="F5466" s="263"/>
      <c r="G5466" s="80">
        <f>SUM(G5465)</f>
        <v>714</v>
      </c>
    </row>
    <row r="5467" spans="1:7">
      <c r="A5467" s="81" t="s">
        <v>38</v>
      </c>
      <c r="B5467" s="262" t="s">
        <v>39</v>
      </c>
      <c r="C5467" s="262"/>
      <c r="D5467" s="262"/>
      <c r="E5467" s="262"/>
      <c r="F5467" s="262"/>
      <c r="G5467" s="118">
        <f>SUM(G5456:G5466)/2</f>
        <v>45314</v>
      </c>
    </row>
    <row r="5468" spans="1:7">
      <c r="A5468" s="81" t="s">
        <v>40</v>
      </c>
      <c r="B5468" s="262" t="s">
        <v>180</v>
      </c>
      <c r="C5468" s="262"/>
      <c r="D5468" s="262"/>
      <c r="E5468" s="262"/>
      <c r="F5468" s="82">
        <v>0.1</v>
      </c>
      <c r="G5468" s="80">
        <f>G5467*F5468</f>
        <v>4531.4000000000005</v>
      </c>
    </row>
    <row r="5469" spans="1:7">
      <c r="A5469" s="81" t="s">
        <v>41</v>
      </c>
      <c r="B5469" s="262" t="s">
        <v>42</v>
      </c>
      <c r="C5469" s="262"/>
      <c r="D5469" s="262"/>
      <c r="E5469" s="262"/>
      <c r="F5469" s="262"/>
      <c r="G5469" s="80">
        <f>G5467+G5468</f>
        <v>49845.4</v>
      </c>
    </row>
    <row r="5470" spans="1:7">
      <c r="A5470" s="90"/>
      <c r="B5470" s="91"/>
      <c r="C5470" s="91"/>
      <c r="D5470" s="91"/>
      <c r="E5470" s="91"/>
      <c r="F5470" s="91"/>
      <c r="G5470" s="92"/>
    </row>
    <row r="5471" spans="1:7">
      <c r="A5471" s="4" t="s">
        <v>856</v>
      </c>
      <c r="B5471" s="91"/>
      <c r="C5471" s="91"/>
      <c r="D5471" s="91"/>
      <c r="E5471" s="91"/>
      <c r="F5471" s="91"/>
      <c r="G5471" s="92"/>
    </row>
    <row r="5472" spans="1:7" ht="30">
      <c r="A5472" s="79" t="s">
        <v>0</v>
      </c>
      <c r="B5472" s="79" t="s">
        <v>1</v>
      </c>
      <c r="C5472" s="79" t="s">
        <v>207</v>
      </c>
      <c r="D5472" s="79" t="s">
        <v>3</v>
      </c>
      <c r="E5472" s="79" t="s">
        <v>2</v>
      </c>
      <c r="F5472" s="79" t="s">
        <v>417</v>
      </c>
      <c r="G5472" s="79" t="s">
        <v>418</v>
      </c>
    </row>
    <row r="5473" spans="1:7">
      <c r="A5473" s="8" t="s">
        <v>4</v>
      </c>
      <c r="B5473" s="1" t="s">
        <v>5</v>
      </c>
      <c r="C5473" s="8"/>
      <c r="D5473" s="9"/>
      <c r="E5473" s="19"/>
      <c r="F5473" s="2"/>
      <c r="G5473" s="2"/>
    </row>
    <row r="5474" spans="1:7">
      <c r="A5474" s="8">
        <v>1</v>
      </c>
      <c r="B5474" s="1" t="s">
        <v>48</v>
      </c>
      <c r="C5474" s="8" t="s">
        <v>49</v>
      </c>
      <c r="D5474" s="9" t="s">
        <v>8</v>
      </c>
      <c r="E5474" s="10" t="s">
        <v>135</v>
      </c>
      <c r="F5474" s="2"/>
      <c r="G5474" s="2"/>
    </row>
    <row r="5475" spans="1:7">
      <c r="A5475" s="8">
        <v>2</v>
      </c>
      <c r="B5475" s="1" t="s">
        <v>13</v>
      </c>
      <c r="C5475" s="8" t="s">
        <v>14</v>
      </c>
      <c r="D5475" s="9" t="s">
        <v>8</v>
      </c>
      <c r="E5475" s="10" t="s">
        <v>136</v>
      </c>
      <c r="F5475" s="86">
        <f>VLOOKUP(B5475,'HSD UPAH,BAHAN,ALAT'!$C$6:F4923,4,FALSE)</f>
        <v>100000</v>
      </c>
      <c r="G5475" s="87">
        <f t="shared" ref="G5475" si="692">E5475*F5475</f>
        <v>3599.9999999999995</v>
      </c>
    </row>
    <row r="5476" spans="1:7">
      <c r="A5476" s="261" t="s">
        <v>420</v>
      </c>
      <c r="B5476" s="261"/>
      <c r="C5476" s="261"/>
      <c r="D5476" s="261"/>
      <c r="E5476" s="261"/>
      <c r="F5476" s="261"/>
      <c r="G5476" s="85">
        <f>SUM(G5473:G5475)</f>
        <v>3599.9999999999995</v>
      </c>
    </row>
    <row r="5477" spans="1:7">
      <c r="A5477" s="8" t="s">
        <v>16</v>
      </c>
      <c r="B5477" s="1" t="s">
        <v>17</v>
      </c>
      <c r="C5477" s="8"/>
      <c r="D5477" s="9"/>
      <c r="E5477" s="19"/>
      <c r="F5477" s="2"/>
      <c r="G5477" s="2"/>
    </row>
    <row r="5478" spans="1:7">
      <c r="A5478" s="8">
        <v>1</v>
      </c>
      <c r="B5478" s="1" t="s">
        <v>137</v>
      </c>
      <c r="C5478" s="8"/>
      <c r="D5478" s="9" t="s">
        <v>28</v>
      </c>
      <c r="E5478" s="10" t="s">
        <v>138</v>
      </c>
      <c r="F5478" s="86">
        <f>VLOOKUP(B5478,'HSD UPAH,BAHAN,ALAT'!$C$6:F4926,4,FALSE)</f>
        <v>10000</v>
      </c>
      <c r="G5478" s="87">
        <f t="shared" ref="G5478:G5479" si="693">E5478*F5478</f>
        <v>4000</v>
      </c>
    </row>
    <row r="5479" spans="1:7">
      <c r="A5479" s="8">
        <v>2</v>
      </c>
      <c r="B5479" s="1" t="s">
        <v>150</v>
      </c>
      <c r="C5479" s="8"/>
      <c r="D5479" s="9" t="s">
        <v>19</v>
      </c>
      <c r="E5479" s="10" t="s">
        <v>145</v>
      </c>
      <c r="F5479" s="86">
        <f>VLOOKUP(B5479,'HSD UPAH,BAHAN,ALAT'!$C$6:F4927,4,FALSE)</f>
        <v>10000</v>
      </c>
      <c r="G5479" s="87">
        <f t="shared" si="693"/>
        <v>1500</v>
      </c>
    </row>
    <row r="5480" spans="1:7">
      <c r="A5480" s="261" t="s">
        <v>421</v>
      </c>
      <c r="B5480" s="261"/>
      <c r="C5480" s="261"/>
      <c r="D5480" s="261"/>
      <c r="E5480" s="261"/>
      <c r="F5480" s="261"/>
      <c r="G5480" s="85">
        <f>SUM(G5477:G5479)</f>
        <v>5500</v>
      </c>
    </row>
    <row r="5481" spans="1:7">
      <c r="A5481" s="8" t="s">
        <v>36</v>
      </c>
      <c r="B5481" s="1" t="s">
        <v>37</v>
      </c>
      <c r="C5481" s="8"/>
      <c r="D5481" s="9"/>
      <c r="E5481" s="19"/>
      <c r="F5481" s="2"/>
      <c r="G5481" s="2"/>
    </row>
    <row r="5482" spans="1:7">
      <c r="A5482" s="8">
        <v>1</v>
      </c>
      <c r="B5482" s="1" t="s">
        <v>140</v>
      </c>
      <c r="C5482" s="8"/>
      <c r="D5482" s="9" t="s">
        <v>122</v>
      </c>
      <c r="E5482" s="10" t="s">
        <v>141</v>
      </c>
      <c r="F5482" s="86">
        <f>VLOOKUP(B5482,'HSD UPAH,BAHAN,ALAT'!$C$6:F4930,4,FALSE)</f>
        <v>10000</v>
      </c>
      <c r="G5482" s="87">
        <f t="shared" ref="G5482" si="694">E5482*F5482</f>
        <v>714</v>
      </c>
    </row>
    <row r="5483" spans="1:7">
      <c r="A5483" s="263" t="s">
        <v>419</v>
      </c>
      <c r="B5483" s="263"/>
      <c r="C5483" s="263"/>
      <c r="D5483" s="263"/>
      <c r="E5483" s="263"/>
      <c r="F5483" s="263"/>
      <c r="G5483" s="80">
        <f>SUM(G5482)</f>
        <v>714</v>
      </c>
    </row>
    <row r="5484" spans="1:7">
      <c r="A5484" s="81" t="s">
        <v>38</v>
      </c>
      <c r="B5484" s="262" t="s">
        <v>39</v>
      </c>
      <c r="C5484" s="262"/>
      <c r="D5484" s="262"/>
      <c r="E5484" s="262"/>
      <c r="F5484" s="262"/>
      <c r="G5484" s="118">
        <f>SUM(G5473:G5483)/2</f>
        <v>9814</v>
      </c>
    </row>
    <row r="5485" spans="1:7">
      <c r="A5485" s="81" t="s">
        <v>40</v>
      </c>
      <c r="B5485" s="262" t="s">
        <v>180</v>
      </c>
      <c r="C5485" s="262"/>
      <c r="D5485" s="262"/>
      <c r="E5485" s="262"/>
      <c r="F5485" s="82">
        <v>0.1</v>
      </c>
      <c r="G5485" s="80">
        <f>G5484*F5485</f>
        <v>981.40000000000009</v>
      </c>
    </row>
    <row r="5486" spans="1:7">
      <c r="A5486" s="81" t="s">
        <v>41</v>
      </c>
      <c r="B5486" s="262" t="s">
        <v>42</v>
      </c>
      <c r="C5486" s="262"/>
      <c r="D5486" s="262"/>
      <c r="E5486" s="262"/>
      <c r="F5486" s="262"/>
      <c r="G5486" s="80">
        <f>G5484+G5485</f>
        <v>10795.4</v>
      </c>
    </row>
    <row r="5487" spans="1:7">
      <c r="A5487" s="90"/>
      <c r="B5487" s="91"/>
      <c r="C5487" s="91"/>
      <c r="D5487" s="91"/>
      <c r="E5487" s="91"/>
      <c r="F5487" s="91"/>
      <c r="G5487" s="92"/>
    </row>
    <row r="5488" spans="1:7">
      <c r="A5488" s="4" t="s">
        <v>857</v>
      </c>
      <c r="B5488" s="91"/>
      <c r="C5488" s="91"/>
      <c r="D5488" s="91"/>
      <c r="E5488" s="91"/>
      <c r="F5488" s="91"/>
      <c r="G5488" s="92"/>
    </row>
    <row r="5489" spans="1:7" ht="30">
      <c r="A5489" s="79" t="s">
        <v>0</v>
      </c>
      <c r="B5489" s="79" t="s">
        <v>1</v>
      </c>
      <c r="C5489" s="79" t="s">
        <v>207</v>
      </c>
      <c r="D5489" s="79" t="s">
        <v>3</v>
      </c>
      <c r="E5489" s="79" t="s">
        <v>2</v>
      </c>
      <c r="F5489" s="79" t="s">
        <v>417</v>
      </c>
      <c r="G5489" s="79" t="s">
        <v>418</v>
      </c>
    </row>
    <row r="5490" spans="1:7">
      <c r="A5490" s="8" t="s">
        <v>4</v>
      </c>
      <c r="B5490" s="1" t="s">
        <v>5</v>
      </c>
      <c r="C5490" s="8"/>
      <c r="D5490" s="9"/>
      <c r="E5490" s="19"/>
      <c r="F5490" s="2"/>
      <c r="G5490" s="2"/>
    </row>
    <row r="5491" spans="1:7">
      <c r="A5491" s="8">
        <v>1</v>
      </c>
      <c r="B5491" s="1" t="s">
        <v>48</v>
      </c>
      <c r="C5491" s="8" t="s">
        <v>49</v>
      </c>
      <c r="D5491" s="9" t="s">
        <v>8</v>
      </c>
      <c r="E5491" s="10" t="s">
        <v>135</v>
      </c>
      <c r="F5491" s="86">
        <f>VLOOKUP(B5491,'HSD UPAH,BAHAN,ALAT'!$C$6:F4937,4,FALSE)</f>
        <v>100000</v>
      </c>
      <c r="G5491" s="87">
        <f t="shared" ref="G5491:G5492" si="695">E5491*F5491</f>
        <v>36000</v>
      </c>
    </row>
    <row r="5492" spans="1:7">
      <c r="A5492" s="8">
        <v>2</v>
      </c>
      <c r="B5492" s="1" t="s">
        <v>13</v>
      </c>
      <c r="C5492" s="8" t="s">
        <v>14</v>
      </c>
      <c r="D5492" s="9" t="s">
        <v>8</v>
      </c>
      <c r="E5492" s="10" t="s">
        <v>136</v>
      </c>
      <c r="F5492" s="86">
        <f>VLOOKUP(B5492,'HSD UPAH,BAHAN,ALAT'!$C$6:F4938,4,FALSE)</f>
        <v>100000</v>
      </c>
      <c r="G5492" s="87">
        <f t="shared" si="695"/>
        <v>3599.9999999999995</v>
      </c>
    </row>
    <row r="5493" spans="1:7">
      <c r="A5493" s="261" t="s">
        <v>420</v>
      </c>
      <c r="B5493" s="261"/>
      <c r="C5493" s="261"/>
      <c r="D5493" s="261"/>
      <c r="E5493" s="261"/>
      <c r="F5493" s="261"/>
      <c r="G5493" s="85">
        <f>SUM(G5490:G5492)</f>
        <v>39600</v>
      </c>
    </row>
    <row r="5494" spans="1:7">
      <c r="A5494" s="8" t="s">
        <v>16</v>
      </c>
      <c r="B5494" s="1" t="s">
        <v>17</v>
      </c>
      <c r="C5494" s="8"/>
      <c r="D5494" s="9"/>
      <c r="E5494" s="19"/>
      <c r="F5494" s="2"/>
      <c r="G5494" s="2"/>
    </row>
    <row r="5495" spans="1:7">
      <c r="A5495" s="8">
        <v>1</v>
      </c>
      <c r="B5495" s="1" t="s">
        <v>137</v>
      </c>
      <c r="C5495" s="8"/>
      <c r="D5495" s="9" t="s">
        <v>28</v>
      </c>
      <c r="E5495" s="10" t="s">
        <v>142</v>
      </c>
      <c r="F5495" s="86">
        <f>VLOOKUP(B5495,'HSD UPAH,BAHAN,ALAT'!$C$6:F4941,4,FALSE)</f>
        <v>10000</v>
      </c>
      <c r="G5495" s="87">
        <f t="shared" ref="G5495:G5496" si="696">E5495*F5495</f>
        <v>3500</v>
      </c>
    </row>
    <row r="5496" spans="1:7">
      <c r="A5496" s="8">
        <v>2</v>
      </c>
      <c r="B5496" s="1" t="s">
        <v>150</v>
      </c>
      <c r="C5496" s="8"/>
      <c r="D5496" s="9" t="s">
        <v>19</v>
      </c>
      <c r="E5496" s="10" t="s">
        <v>145</v>
      </c>
      <c r="F5496" s="86">
        <f>VLOOKUP(B5496,'HSD UPAH,BAHAN,ALAT'!$C$6:F4942,4,FALSE)</f>
        <v>10000</v>
      </c>
      <c r="G5496" s="87">
        <f t="shared" si="696"/>
        <v>1500</v>
      </c>
    </row>
    <row r="5497" spans="1:7">
      <c r="A5497" s="261" t="s">
        <v>421</v>
      </c>
      <c r="B5497" s="261"/>
      <c r="C5497" s="261"/>
      <c r="D5497" s="261"/>
      <c r="E5497" s="261"/>
      <c r="F5497" s="261"/>
      <c r="G5497" s="85">
        <f>SUM(G5494:G5496)</f>
        <v>5000</v>
      </c>
    </row>
    <row r="5498" spans="1:7">
      <c r="A5498" s="8" t="s">
        <v>36</v>
      </c>
      <c r="B5498" s="1" t="s">
        <v>37</v>
      </c>
      <c r="C5498" s="8"/>
      <c r="D5498" s="9"/>
      <c r="E5498" s="19"/>
      <c r="F5498" s="2"/>
      <c r="G5498" s="2"/>
    </row>
    <row r="5499" spans="1:7">
      <c r="A5499" s="8">
        <v>1</v>
      </c>
      <c r="B5499" s="1" t="s">
        <v>140</v>
      </c>
      <c r="C5499" s="8"/>
      <c r="D5499" s="9" t="s">
        <v>122</v>
      </c>
      <c r="E5499" s="10" t="s">
        <v>141</v>
      </c>
      <c r="F5499" s="86">
        <f>VLOOKUP(B5499,'HSD UPAH,BAHAN,ALAT'!$C$6:F4945,4,FALSE)</f>
        <v>10000</v>
      </c>
      <c r="G5499" s="87">
        <f t="shared" ref="G5499" si="697">E5499*F5499</f>
        <v>714</v>
      </c>
    </row>
    <row r="5500" spans="1:7">
      <c r="A5500" s="263" t="s">
        <v>419</v>
      </c>
      <c r="B5500" s="263"/>
      <c r="C5500" s="263"/>
      <c r="D5500" s="263"/>
      <c r="E5500" s="263"/>
      <c r="F5500" s="263"/>
      <c r="G5500" s="80">
        <f>SUM(G5499)</f>
        <v>714</v>
      </c>
    </row>
    <row r="5501" spans="1:7">
      <c r="A5501" s="81" t="s">
        <v>38</v>
      </c>
      <c r="B5501" s="262" t="s">
        <v>39</v>
      </c>
      <c r="C5501" s="262"/>
      <c r="D5501" s="262"/>
      <c r="E5501" s="262"/>
      <c r="F5501" s="262"/>
      <c r="G5501" s="118">
        <f>SUM(G5490:G5500)/2</f>
        <v>45314</v>
      </c>
    </row>
    <row r="5502" spans="1:7">
      <c r="A5502" s="81" t="s">
        <v>40</v>
      </c>
      <c r="B5502" s="262" t="s">
        <v>180</v>
      </c>
      <c r="C5502" s="262"/>
      <c r="D5502" s="262"/>
      <c r="E5502" s="262"/>
      <c r="F5502" s="82">
        <v>0.1</v>
      </c>
      <c r="G5502" s="80">
        <f>G5501*F5502</f>
        <v>4531.4000000000005</v>
      </c>
    </row>
    <row r="5503" spans="1:7">
      <c r="A5503" s="81" t="s">
        <v>41</v>
      </c>
      <c r="B5503" s="262" t="s">
        <v>42</v>
      </c>
      <c r="C5503" s="262"/>
      <c r="D5503" s="262"/>
      <c r="E5503" s="262"/>
      <c r="F5503" s="262"/>
      <c r="G5503" s="80">
        <f>G5501+G5502</f>
        <v>49845.4</v>
      </c>
    </row>
    <row r="5504" spans="1:7">
      <c r="A5504" s="90"/>
      <c r="B5504" s="91"/>
      <c r="C5504" s="91"/>
      <c r="D5504" s="91"/>
      <c r="E5504" s="91"/>
      <c r="F5504" s="91"/>
      <c r="G5504" s="92"/>
    </row>
    <row r="5505" spans="1:7">
      <c r="A5505" s="4" t="s">
        <v>858</v>
      </c>
      <c r="B5505" s="91"/>
      <c r="C5505" s="91"/>
      <c r="D5505" s="91"/>
      <c r="E5505" s="91"/>
      <c r="F5505" s="91"/>
      <c r="G5505" s="92"/>
    </row>
    <row r="5506" spans="1:7" ht="30">
      <c r="A5506" s="79" t="s">
        <v>0</v>
      </c>
      <c r="B5506" s="79" t="s">
        <v>1</v>
      </c>
      <c r="C5506" s="79" t="s">
        <v>207</v>
      </c>
      <c r="D5506" s="79" t="s">
        <v>3</v>
      </c>
      <c r="E5506" s="79" t="s">
        <v>2</v>
      </c>
      <c r="F5506" s="79" t="s">
        <v>417</v>
      </c>
      <c r="G5506" s="79" t="s">
        <v>418</v>
      </c>
    </row>
    <row r="5507" spans="1:7">
      <c r="A5507" s="8" t="s">
        <v>4</v>
      </c>
      <c r="B5507" s="1" t="s">
        <v>5</v>
      </c>
      <c r="C5507" s="8"/>
      <c r="D5507" s="9"/>
      <c r="E5507" s="19"/>
      <c r="F5507" s="2"/>
      <c r="G5507" s="2"/>
    </row>
    <row r="5508" spans="1:7">
      <c r="A5508" s="8">
        <v>1</v>
      </c>
      <c r="B5508" s="1" t="s">
        <v>48</v>
      </c>
      <c r="C5508" s="8" t="s">
        <v>49</v>
      </c>
      <c r="D5508" s="9" t="s">
        <v>8</v>
      </c>
      <c r="E5508" s="10" t="s">
        <v>135</v>
      </c>
      <c r="F5508" s="86">
        <f>VLOOKUP(B5508,'HSD UPAH,BAHAN,ALAT'!$C$6:F4952,4,FALSE)</f>
        <v>100000</v>
      </c>
      <c r="G5508" s="87">
        <f t="shared" ref="G5508:G5509" si="698">E5508*F5508</f>
        <v>36000</v>
      </c>
    </row>
    <row r="5509" spans="1:7">
      <c r="A5509" s="8">
        <v>2</v>
      </c>
      <c r="B5509" s="1" t="s">
        <v>13</v>
      </c>
      <c r="C5509" s="8" t="s">
        <v>14</v>
      </c>
      <c r="D5509" s="9" t="s">
        <v>8</v>
      </c>
      <c r="E5509" s="10" t="s">
        <v>136</v>
      </c>
      <c r="F5509" s="86">
        <f>VLOOKUP(B5509,'HSD UPAH,BAHAN,ALAT'!$C$6:F4953,4,FALSE)</f>
        <v>100000</v>
      </c>
      <c r="G5509" s="87">
        <f t="shared" si="698"/>
        <v>3599.9999999999995</v>
      </c>
    </row>
    <row r="5510" spans="1:7">
      <c r="A5510" s="261" t="s">
        <v>420</v>
      </c>
      <c r="B5510" s="261"/>
      <c r="C5510" s="261"/>
      <c r="D5510" s="261"/>
      <c r="E5510" s="261"/>
      <c r="F5510" s="261"/>
      <c r="G5510" s="85">
        <f>SUM(G5507:G5509)</f>
        <v>39600</v>
      </c>
    </row>
    <row r="5511" spans="1:7">
      <c r="A5511" s="8" t="s">
        <v>16</v>
      </c>
      <c r="B5511" s="1" t="s">
        <v>17</v>
      </c>
      <c r="C5511" s="8"/>
      <c r="D5511" s="9"/>
      <c r="E5511" s="19"/>
      <c r="F5511" s="2"/>
      <c r="G5511" s="2"/>
    </row>
    <row r="5512" spans="1:7">
      <c r="A5512" s="8">
        <v>1</v>
      </c>
      <c r="B5512" s="1" t="s">
        <v>137</v>
      </c>
      <c r="C5512" s="8"/>
      <c r="D5512" s="9" t="s">
        <v>28</v>
      </c>
      <c r="E5512" s="10" t="s">
        <v>138</v>
      </c>
      <c r="F5512" s="86">
        <f>VLOOKUP(B5512,'HSD UPAH,BAHAN,ALAT'!$C$6:F4956,4,FALSE)</f>
        <v>10000</v>
      </c>
      <c r="G5512" s="87">
        <f t="shared" ref="G5512:G5514" si="699">E5512*F5512</f>
        <v>4000</v>
      </c>
    </row>
    <row r="5513" spans="1:7">
      <c r="A5513" s="8">
        <v>2</v>
      </c>
      <c r="B5513" s="1" t="s">
        <v>144</v>
      </c>
      <c r="C5513" s="8"/>
      <c r="D5513" s="9" t="s">
        <v>28</v>
      </c>
      <c r="E5513" s="10" t="s">
        <v>145</v>
      </c>
      <c r="F5513" s="86">
        <f>VLOOKUP(B5513,'HSD UPAH,BAHAN,ALAT'!$C$6:F4957,4,FALSE)</f>
        <v>10000</v>
      </c>
      <c r="G5513" s="87">
        <f t="shared" si="699"/>
        <v>1500</v>
      </c>
    </row>
    <row r="5514" spans="1:7">
      <c r="A5514" s="8">
        <v>3</v>
      </c>
      <c r="B5514" s="1" t="s">
        <v>150</v>
      </c>
      <c r="C5514" s="8"/>
      <c r="D5514" s="9" t="s">
        <v>19</v>
      </c>
      <c r="E5514" s="10" t="s">
        <v>145</v>
      </c>
      <c r="F5514" s="86">
        <f>VLOOKUP(B5514,'HSD UPAH,BAHAN,ALAT'!$C$6:F4958,4,FALSE)</f>
        <v>10000</v>
      </c>
      <c r="G5514" s="87">
        <f t="shared" si="699"/>
        <v>1500</v>
      </c>
    </row>
    <row r="5515" spans="1:7">
      <c r="A5515" s="261" t="s">
        <v>421</v>
      </c>
      <c r="B5515" s="261"/>
      <c r="C5515" s="261"/>
      <c r="D5515" s="261"/>
      <c r="E5515" s="261"/>
      <c r="F5515" s="261"/>
      <c r="G5515" s="85">
        <f>SUM(G5512:G5514)</f>
        <v>7000</v>
      </c>
    </row>
    <row r="5516" spans="1:7">
      <c r="A5516" s="8" t="s">
        <v>36</v>
      </c>
      <c r="B5516" s="1" t="s">
        <v>37</v>
      </c>
      <c r="C5516" s="8"/>
      <c r="D5516" s="9"/>
      <c r="E5516" s="19"/>
      <c r="F5516" s="2"/>
      <c r="G5516" s="2"/>
    </row>
    <row r="5517" spans="1:7">
      <c r="A5517" s="8">
        <v>1</v>
      </c>
      <c r="B5517" s="1" t="s">
        <v>140</v>
      </c>
      <c r="C5517" s="8"/>
      <c r="D5517" s="9" t="s">
        <v>122</v>
      </c>
      <c r="E5517" s="10" t="s">
        <v>141</v>
      </c>
      <c r="F5517" s="86">
        <f>VLOOKUP(B5517,'HSD UPAH,BAHAN,ALAT'!$C$6:F4961,4,FALSE)</f>
        <v>10000</v>
      </c>
      <c r="G5517" s="87">
        <f t="shared" ref="G5517" si="700">E5517*F5517</f>
        <v>714</v>
      </c>
    </row>
    <row r="5518" spans="1:7">
      <c r="A5518" s="263" t="s">
        <v>419</v>
      </c>
      <c r="B5518" s="263"/>
      <c r="C5518" s="263"/>
      <c r="D5518" s="263"/>
      <c r="E5518" s="263"/>
      <c r="F5518" s="263"/>
      <c r="G5518" s="80">
        <f>SUM(G5517)</f>
        <v>714</v>
      </c>
    </row>
    <row r="5519" spans="1:7">
      <c r="A5519" s="81" t="s">
        <v>38</v>
      </c>
      <c r="B5519" s="262" t="s">
        <v>39</v>
      </c>
      <c r="C5519" s="262"/>
      <c r="D5519" s="262"/>
      <c r="E5519" s="262"/>
      <c r="F5519" s="262"/>
      <c r="G5519" s="118">
        <f>SUM(G5508:G5518)/2</f>
        <v>47314</v>
      </c>
    </row>
    <row r="5520" spans="1:7">
      <c r="A5520" s="81" t="s">
        <v>40</v>
      </c>
      <c r="B5520" s="262" t="s">
        <v>180</v>
      </c>
      <c r="C5520" s="262"/>
      <c r="D5520" s="262"/>
      <c r="E5520" s="262"/>
      <c r="F5520" s="82">
        <v>0.1</v>
      </c>
      <c r="G5520" s="80">
        <f>G5519*F5520</f>
        <v>4731.4000000000005</v>
      </c>
    </row>
    <row r="5521" spans="1:7">
      <c r="A5521" s="81" t="s">
        <v>41</v>
      </c>
      <c r="B5521" s="262" t="s">
        <v>42</v>
      </c>
      <c r="C5521" s="262"/>
      <c r="D5521" s="262"/>
      <c r="E5521" s="262"/>
      <c r="F5521" s="262"/>
      <c r="G5521" s="80">
        <f>G5519+G5520</f>
        <v>52045.4</v>
      </c>
    </row>
    <row r="5522" spans="1:7">
      <c r="A5522" s="90"/>
      <c r="B5522" s="91"/>
      <c r="C5522" s="91"/>
      <c r="D5522" s="91"/>
      <c r="E5522" s="91"/>
      <c r="F5522" s="91"/>
      <c r="G5522" s="92"/>
    </row>
    <row r="5523" spans="1:7">
      <c r="A5523" s="4" t="s">
        <v>440</v>
      </c>
      <c r="B5523" s="91"/>
      <c r="C5523" s="91"/>
      <c r="D5523" s="91"/>
      <c r="E5523" s="91"/>
      <c r="F5523" s="91"/>
      <c r="G5523" s="92"/>
    </row>
    <row r="5524" spans="1:7">
      <c r="A5524" s="4" t="s">
        <v>642</v>
      </c>
      <c r="B5524" s="91"/>
      <c r="C5524" s="91"/>
      <c r="D5524" s="91"/>
      <c r="E5524" s="91"/>
      <c r="F5524" s="91"/>
      <c r="G5524" s="92"/>
    </row>
    <row r="5525" spans="1:7" ht="30">
      <c r="A5525" s="79" t="s">
        <v>0</v>
      </c>
      <c r="B5525" s="79" t="s">
        <v>1</v>
      </c>
      <c r="C5525" s="79" t="s">
        <v>207</v>
      </c>
      <c r="D5525" s="79" t="s">
        <v>3</v>
      </c>
      <c r="E5525" s="79" t="s">
        <v>2</v>
      </c>
      <c r="F5525" s="79" t="s">
        <v>417</v>
      </c>
      <c r="G5525" s="79" t="s">
        <v>418</v>
      </c>
    </row>
    <row r="5526" spans="1:7">
      <c r="A5526" s="8" t="s">
        <v>4</v>
      </c>
      <c r="B5526" s="1" t="s">
        <v>5</v>
      </c>
      <c r="C5526" s="8"/>
      <c r="D5526" s="9"/>
      <c r="E5526" s="19"/>
      <c r="F5526" s="2"/>
      <c r="G5526" s="2"/>
    </row>
    <row r="5527" spans="1:7">
      <c r="A5527" s="8">
        <v>1</v>
      </c>
      <c r="B5527" s="1" t="s">
        <v>48</v>
      </c>
      <c r="C5527" s="8" t="s">
        <v>49</v>
      </c>
      <c r="D5527" s="9" t="s">
        <v>8</v>
      </c>
      <c r="E5527" s="10" t="s">
        <v>135</v>
      </c>
      <c r="F5527" s="86">
        <f>VLOOKUP(B5527,'HSD UPAH,BAHAN,ALAT'!$C$6:F4968,4,FALSE)</f>
        <v>100000</v>
      </c>
      <c r="G5527" s="87">
        <f t="shared" ref="G5527:G5528" si="701">E5527*F5527</f>
        <v>36000</v>
      </c>
    </row>
    <row r="5528" spans="1:7">
      <c r="A5528" s="8">
        <v>2</v>
      </c>
      <c r="B5528" s="1" t="s">
        <v>13</v>
      </c>
      <c r="C5528" s="8" t="s">
        <v>14</v>
      </c>
      <c r="D5528" s="9" t="s">
        <v>8</v>
      </c>
      <c r="E5528" s="10" t="s">
        <v>136</v>
      </c>
      <c r="F5528" s="86">
        <f>VLOOKUP(B5528,'HSD UPAH,BAHAN,ALAT'!$C$6:F4969,4,FALSE)</f>
        <v>100000</v>
      </c>
      <c r="G5528" s="87">
        <f t="shared" si="701"/>
        <v>3599.9999999999995</v>
      </c>
    </row>
    <row r="5529" spans="1:7">
      <c r="A5529" s="261" t="s">
        <v>420</v>
      </c>
      <c r="B5529" s="261"/>
      <c r="C5529" s="261"/>
      <c r="D5529" s="261"/>
      <c r="E5529" s="261"/>
      <c r="F5529" s="261"/>
      <c r="G5529" s="85">
        <f>SUM(G5526:G5528)</f>
        <v>39600</v>
      </c>
    </row>
    <row r="5530" spans="1:7">
      <c r="A5530" s="8" t="s">
        <v>16</v>
      </c>
      <c r="B5530" s="1" t="s">
        <v>17</v>
      </c>
      <c r="C5530" s="8"/>
      <c r="D5530" s="9"/>
      <c r="E5530" s="19"/>
      <c r="F5530" s="2"/>
      <c r="G5530" s="2"/>
    </row>
    <row r="5531" spans="1:7">
      <c r="A5531" s="8">
        <v>1</v>
      </c>
      <c r="B5531" s="1" t="s">
        <v>137</v>
      </c>
      <c r="C5531" s="8"/>
      <c r="D5531" s="9" t="s">
        <v>28</v>
      </c>
      <c r="E5531" s="10" t="s">
        <v>142</v>
      </c>
      <c r="F5531" s="86">
        <f>VLOOKUP(B5531,'HSD UPAH,BAHAN,ALAT'!$C$6:F4972,4,FALSE)</f>
        <v>10000</v>
      </c>
      <c r="G5531" s="87">
        <f t="shared" ref="G5531" si="702">E5531*F5531</f>
        <v>3500</v>
      </c>
    </row>
    <row r="5532" spans="1:7">
      <c r="A5532" s="261" t="s">
        <v>421</v>
      </c>
      <c r="B5532" s="261"/>
      <c r="C5532" s="261"/>
      <c r="D5532" s="261"/>
      <c r="E5532" s="261"/>
      <c r="F5532" s="261"/>
      <c r="G5532" s="85">
        <f>SUM(G5531:G5531)</f>
        <v>3500</v>
      </c>
    </row>
    <row r="5533" spans="1:7">
      <c r="A5533" s="8" t="s">
        <v>36</v>
      </c>
      <c r="B5533" s="1" t="s">
        <v>37</v>
      </c>
      <c r="C5533" s="8"/>
      <c r="D5533" s="9"/>
      <c r="E5533" s="19"/>
      <c r="F5533" s="2"/>
      <c r="G5533" s="2"/>
    </row>
    <row r="5534" spans="1:7">
      <c r="A5534" s="8">
        <v>1</v>
      </c>
      <c r="B5534" s="1" t="s">
        <v>140</v>
      </c>
      <c r="C5534" s="8"/>
      <c r="D5534" s="9" t="s">
        <v>122</v>
      </c>
      <c r="E5534" s="10" t="s">
        <v>141</v>
      </c>
      <c r="F5534" s="86">
        <f>VLOOKUP(B5534,'HSD UPAH,BAHAN,ALAT'!$C$6:F4975,4,FALSE)</f>
        <v>10000</v>
      </c>
      <c r="G5534" s="87">
        <f t="shared" ref="G5534" si="703">E5534*F5534</f>
        <v>714</v>
      </c>
    </row>
    <row r="5535" spans="1:7">
      <c r="A5535" s="263" t="s">
        <v>419</v>
      </c>
      <c r="B5535" s="263"/>
      <c r="C5535" s="263"/>
      <c r="D5535" s="263"/>
      <c r="E5535" s="263"/>
      <c r="F5535" s="263"/>
      <c r="G5535" s="80">
        <f>SUM(G5534)</f>
        <v>714</v>
      </c>
    </row>
    <row r="5536" spans="1:7">
      <c r="A5536" s="81" t="s">
        <v>38</v>
      </c>
      <c r="B5536" s="262" t="s">
        <v>39</v>
      </c>
      <c r="C5536" s="262"/>
      <c r="D5536" s="262"/>
      <c r="E5536" s="262"/>
      <c r="F5536" s="262"/>
      <c r="G5536" s="118">
        <f>SUM(G5526:G5535)/2</f>
        <v>43814</v>
      </c>
    </row>
    <row r="5537" spans="1:7">
      <c r="A5537" s="81" t="s">
        <v>40</v>
      </c>
      <c r="B5537" s="262" t="s">
        <v>180</v>
      </c>
      <c r="C5537" s="262"/>
      <c r="D5537" s="262"/>
      <c r="E5537" s="262"/>
      <c r="F5537" s="82">
        <v>0.1</v>
      </c>
      <c r="G5537" s="80">
        <f>G5536*F5537</f>
        <v>4381.4000000000005</v>
      </c>
    </row>
    <row r="5538" spans="1:7">
      <c r="A5538" s="81" t="s">
        <v>41</v>
      </c>
      <c r="B5538" s="262" t="s">
        <v>42</v>
      </c>
      <c r="C5538" s="262"/>
      <c r="D5538" s="262"/>
      <c r="E5538" s="262"/>
      <c r="F5538" s="262"/>
      <c r="G5538" s="80">
        <f>G5536+G5537</f>
        <v>48195.4</v>
      </c>
    </row>
    <row r="5539" spans="1:7">
      <c r="A5539" s="90"/>
      <c r="B5539" s="91"/>
      <c r="C5539" s="91"/>
      <c r="D5539" s="91"/>
      <c r="E5539" s="91"/>
      <c r="F5539" s="91"/>
      <c r="G5539" s="92"/>
    </row>
    <row r="5540" spans="1:7">
      <c r="A5540" s="4" t="s">
        <v>643</v>
      </c>
      <c r="B5540" s="91"/>
      <c r="C5540" s="91"/>
      <c r="D5540" s="91"/>
      <c r="E5540" s="91"/>
      <c r="F5540" s="91"/>
      <c r="G5540" s="92"/>
    </row>
    <row r="5541" spans="1:7" ht="30">
      <c r="A5541" s="79" t="s">
        <v>0</v>
      </c>
      <c r="B5541" s="79" t="s">
        <v>1</v>
      </c>
      <c r="C5541" s="79" t="s">
        <v>207</v>
      </c>
      <c r="D5541" s="79" t="s">
        <v>3</v>
      </c>
      <c r="E5541" s="79" t="s">
        <v>2</v>
      </c>
      <c r="F5541" s="79" t="s">
        <v>417</v>
      </c>
      <c r="G5541" s="79" t="s">
        <v>418</v>
      </c>
    </row>
    <row r="5542" spans="1:7">
      <c r="A5542" s="8" t="s">
        <v>4</v>
      </c>
      <c r="B5542" s="1" t="s">
        <v>5</v>
      </c>
      <c r="C5542" s="8"/>
      <c r="D5542" s="9"/>
      <c r="E5542" s="19"/>
      <c r="F5542" s="2"/>
      <c r="G5542" s="2"/>
    </row>
    <row r="5543" spans="1:7">
      <c r="A5543" s="8">
        <v>1</v>
      </c>
      <c r="B5543" s="1" t="s">
        <v>48</v>
      </c>
      <c r="C5543" s="8" t="s">
        <v>49</v>
      </c>
      <c r="D5543" s="9" t="s">
        <v>8</v>
      </c>
      <c r="E5543" s="10" t="s">
        <v>135</v>
      </c>
      <c r="F5543" s="86">
        <f>VLOOKUP(B5543,'HSD UPAH,BAHAN,ALAT'!$C$6:F4982,4,FALSE)</f>
        <v>100000</v>
      </c>
      <c r="G5543" s="87">
        <f t="shared" ref="G5543:G5544" si="704">E5543*F5543</f>
        <v>36000</v>
      </c>
    </row>
    <row r="5544" spans="1:7">
      <c r="A5544" s="8">
        <v>2</v>
      </c>
      <c r="B5544" s="1" t="s">
        <v>13</v>
      </c>
      <c r="C5544" s="8" t="s">
        <v>14</v>
      </c>
      <c r="D5544" s="9" t="s">
        <v>8</v>
      </c>
      <c r="E5544" s="10" t="s">
        <v>136</v>
      </c>
      <c r="F5544" s="86">
        <f>VLOOKUP(B5544,'HSD UPAH,BAHAN,ALAT'!$C$6:F4983,4,FALSE)</f>
        <v>100000</v>
      </c>
      <c r="G5544" s="87">
        <f t="shared" si="704"/>
        <v>3599.9999999999995</v>
      </c>
    </row>
    <row r="5545" spans="1:7">
      <c r="A5545" s="261" t="s">
        <v>420</v>
      </c>
      <c r="B5545" s="261"/>
      <c r="C5545" s="261"/>
      <c r="D5545" s="261"/>
      <c r="E5545" s="261"/>
      <c r="F5545" s="261"/>
      <c r="G5545" s="85">
        <f>SUM(G5542:G5544)</f>
        <v>39600</v>
      </c>
    </row>
    <row r="5546" spans="1:7">
      <c r="A5546" s="8" t="s">
        <v>16</v>
      </c>
      <c r="B5546" s="1" t="s">
        <v>17</v>
      </c>
      <c r="C5546" s="8"/>
      <c r="D5546" s="9"/>
      <c r="E5546" s="19"/>
      <c r="F5546" s="2"/>
      <c r="G5546" s="2"/>
    </row>
    <row r="5547" spans="1:7">
      <c r="A5547" s="8">
        <v>1</v>
      </c>
      <c r="B5547" s="1" t="s">
        <v>137</v>
      </c>
      <c r="C5547" s="8"/>
      <c r="D5547" s="9" t="s">
        <v>28</v>
      </c>
      <c r="E5547" s="10" t="s">
        <v>138</v>
      </c>
      <c r="F5547" s="86">
        <f>VLOOKUP(B5547,'HSD UPAH,BAHAN,ALAT'!$C$6:F4986,4,FALSE)</f>
        <v>10000</v>
      </c>
      <c r="G5547" s="87">
        <f t="shared" ref="G5547:G5548" si="705">E5547*F5547</f>
        <v>4000</v>
      </c>
    </row>
    <row r="5548" spans="1:7">
      <c r="A5548" s="8">
        <v>2</v>
      </c>
      <c r="B5548" s="1" t="s">
        <v>144</v>
      </c>
      <c r="C5548" s="8"/>
      <c r="D5548" s="9" t="s">
        <v>151</v>
      </c>
      <c r="E5548" s="10" t="s">
        <v>145</v>
      </c>
      <c r="F5548" s="86">
        <f>VLOOKUP(B5548,'HSD UPAH,BAHAN,ALAT'!$C$6:F4987,4,FALSE)</f>
        <v>10000</v>
      </c>
      <c r="G5548" s="87">
        <f t="shared" si="705"/>
        <v>1500</v>
      </c>
    </row>
    <row r="5549" spans="1:7">
      <c r="A5549" s="261" t="s">
        <v>421</v>
      </c>
      <c r="B5549" s="261"/>
      <c r="C5549" s="261"/>
      <c r="D5549" s="261"/>
      <c r="E5549" s="261"/>
      <c r="F5549" s="261"/>
      <c r="G5549" s="85">
        <f>SUM(G5546:G5548)</f>
        <v>5500</v>
      </c>
    </row>
    <row r="5550" spans="1:7">
      <c r="A5550" s="8" t="s">
        <v>36</v>
      </c>
      <c r="B5550" s="1" t="s">
        <v>37</v>
      </c>
      <c r="C5550" s="8"/>
      <c r="D5550" s="9"/>
      <c r="E5550" s="19"/>
      <c r="F5550" s="2"/>
      <c r="G5550" s="2"/>
    </row>
    <row r="5551" spans="1:7">
      <c r="A5551" s="8">
        <v>1</v>
      </c>
      <c r="B5551" s="1" t="s">
        <v>140</v>
      </c>
      <c r="C5551" s="8"/>
      <c r="D5551" s="9" t="s">
        <v>122</v>
      </c>
      <c r="E5551" s="10" t="s">
        <v>141</v>
      </c>
      <c r="F5551" s="86">
        <f>VLOOKUP(B5551,'HSD UPAH,BAHAN,ALAT'!$C$6:F4990,4,FALSE)</f>
        <v>10000</v>
      </c>
      <c r="G5551" s="87">
        <f t="shared" ref="G5551" si="706">E5551*F5551</f>
        <v>714</v>
      </c>
    </row>
    <row r="5552" spans="1:7">
      <c r="A5552" s="263" t="s">
        <v>419</v>
      </c>
      <c r="B5552" s="263"/>
      <c r="C5552" s="263"/>
      <c r="D5552" s="263"/>
      <c r="E5552" s="263"/>
      <c r="F5552" s="263"/>
      <c r="G5552" s="80">
        <f>SUM(G5551)</f>
        <v>714</v>
      </c>
    </row>
    <row r="5553" spans="1:7">
      <c r="A5553" s="81" t="s">
        <v>38</v>
      </c>
      <c r="B5553" s="262" t="s">
        <v>39</v>
      </c>
      <c r="C5553" s="262"/>
      <c r="D5553" s="262"/>
      <c r="E5553" s="262"/>
      <c r="F5553" s="262"/>
      <c r="G5553" s="118">
        <f>SUM(G5543:G5552)/2</f>
        <v>45814</v>
      </c>
    </row>
    <row r="5554" spans="1:7">
      <c r="A5554" s="81" t="s">
        <v>40</v>
      </c>
      <c r="B5554" s="262" t="s">
        <v>180</v>
      </c>
      <c r="C5554" s="262"/>
      <c r="D5554" s="262"/>
      <c r="E5554" s="262"/>
      <c r="F5554" s="82">
        <v>0.1</v>
      </c>
      <c r="G5554" s="80">
        <f>G5553*F5554</f>
        <v>4581.4000000000005</v>
      </c>
    </row>
    <row r="5555" spans="1:7">
      <c r="A5555" s="81" t="s">
        <v>41</v>
      </c>
      <c r="B5555" s="262" t="s">
        <v>42</v>
      </c>
      <c r="C5555" s="262"/>
      <c r="D5555" s="262"/>
      <c r="E5555" s="262"/>
      <c r="F5555" s="262"/>
      <c r="G5555" s="80">
        <f>G5553+G5554</f>
        <v>50395.4</v>
      </c>
    </row>
    <row r="5556" spans="1:7">
      <c r="A5556" s="90"/>
      <c r="B5556" s="91"/>
      <c r="C5556" s="91"/>
      <c r="D5556" s="91"/>
      <c r="E5556" s="91"/>
      <c r="F5556" s="91"/>
      <c r="G5556" s="92"/>
    </row>
    <row r="5557" spans="1:7">
      <c r="A5557" s="4" t="s">
        <v>644</v>
      </c>
      <c r="B5557" s="91"/>
      <c r="C5557" s="91"/>
      <c r="D5557" s="91"/>
      <c r="E5557" s="91"/>
      <c r="F5557" s="91"/>
      <c r="G5557" s="92"/>
    </row>
    <row r="5558" spans="1:7" ht="30">
      <c r="A5558" s="79" t="s">
        <v>0</v>
      </c>
      <c r="B5558" s="79" t="s">
        <v>1</v>
      </c>
      <c r="C5558" s="79" t="s">
        <v>207</v>
      </c>
      <c r="D5558" s="79" t="s">
        <v>3</v>
      </c>
      <c r="E5558" s="79" t="s">
        <v>2</v>
      </c>
      <c r="F5558" s="79" t="s">
        <v>417</v>
      </c>
      <c r="G5558" s="79" t="s">
        <v>418</v>
      </c>
    </row>
    <row r="5559" spans="1:7">
      <c r="A5559" s="8" t="s">
        <v>4</v>
      </c>
      <c r="B5559" s="1" t="s">
        <v>5</v>
      </c>
      <c r="C5559" s="8"/>
      <c r="D5559" s="9"/>
      <c r="E5559" s="19"/>
      <c r="F5559" s="2"/>
      <c r="G5559" s="2"/>
    </row>
    <row r="5560" spans="1:7">
      <c r="A5560" s="8">
        <v>1</v>
      </c>
      <c r="B5560" s="1" t="s">
        <v>48</v>
      </c>
      <c r="C5560" s="8" t="s">
        <v>49</v>
      </c>
      <c r="D5560" s="9" t="s">
        <v>8</v>
      </c>
      <c r="E5560" s="10" t="s">
        <v>135</v>
      </c>
      <c r="F5560" s="86">
        <f>VLOOKUP(B5560,'HSD UPAH,BAHAN,ALAT'!$C$6:F4997,4,FALSE)</f>
        <v>100000</v>
      </c>
      <c r="G5560" s="87">
        <f t="shared" ref="G5560:G5561" si="707">E5560*F5560</f>
        <v>36000</v>
      </c>
    </row>
    <row r="5561" spans="1:7">
      <c r="A5561" s="8">
        <v>2</v>
      </c>
      <c r="B5561" s="1" t="s">
        <v>13</v>
      </c>
      <c r="C5561" s="8" t="s">
        <v>14</v>
      </c>
      <c r="D5561" s="9" t="s">
        <v>8</v>
      </c>
      <c r="E5561" s="10" t="s">
        <v>136</v>
      </c>
      <c r="F5561" s="86">
        <f>VLOOKUP(B5561,'HSD UPAH,BAHAN,ALAT'!$C$6:F4998,4,FALSE)</f>
        <v>100000</v>
      </c>
      <c r="G5561" s="87">
        <f t="shared" si="707"/>
        <v>3599.9999999999995</v>
      </c>
    </row>
    <row r="5562" spans="1:7">
      <c r="A5562" s="261" t="s">
        <v>420</v>
      </c>
      <c r="B5562" s="261"/>
      <c r="C5562" s="261"/>
      <c r="D5562" s="261"/>
      <c r="E5562" s="261"/>
      <c r="F5562" s="261"/>
      <c r="G5562" s="85">
        <f>SUM(G5559:G5561)</f>
        <v>39600</v>
      </c>
    </row>
    <row r="5563" spans="1:7">
      <c r="A5563" s="8" t="s">
        <v>16</v>
      </c>
      <c r="B5563" s="1" t="s">
        <v>17</v>
      </c>
      <c r="C5563" s="8"/>
      <c r="D5563" s="9"/>
      <c r="E5563" s="19"/>
      <c r="F5563" s="2"/>
      <c r="G5563" s="2"/>
    </row>
    <row r="5564" spans="1:7">
      <c r="A5564" s="8">
        <v>1</v>
      </c>
      <c r="B5564" s="1" t="s">
        <v>137</v>
      </c>
      <c r="C5564" s="8"/>
      <c r="D5564" s="9" t="s">
        <v>28</v>
      </c>
      <c r="E5564" s="10" t="s">
        <v>138</v>
      </c>
      <c r="F5564" s="86">
        <f>VLOOKUP(B5564,'HSD UPAH,BAHAN,ALAT'!$C$6:F5001,4,FALSE)</f>
        <v>10000</v>
      </c>
      <c r="G5564" s="87">
        <f t="shared" ref="G5564" si="708">E5564*F5564</f>
        <v>4000</v>
      </c>
    </row>
    <row r="5565" spans="1:7">
      <c r="A5565" s="261" t="s">
        <v>421</v>
      </c>
      <c r="B5565" s="261"/>
      <c r="C5565" s="261"/>
      <c r="D5565" s="261"/>
      <c r="E5565" s="261"/>
      <c r="F5565" s="261"/>
      <c r="G5565" s="85">
        <f>SUM(G5564:G5564)</f>
        <v>4000</v>
      </c>
    </row>
    <row r="5566" spans="1:7">
      <c r="A5566" s="8" t="s">
        <v>36</v>
      </c>
      <c r="B5566" s="1" t="s">
        <v>37</v>
      </c>
      <c r="C5566" s="8"/>
      <c r="D5566" s="9"/>
      <c r="E5566" s="19"/>
      <c r="F5566" s="2"/>
      <c r="G5566" s="2"/>
    </row>
    <row r="5567" spans="1:7">
      <c r="A5567" s="8">
        <v>1</v>
      </c>
      <c r="B5567" s="1" t="s">
        <v>140</v>
      </c>
      <c r="C5567" s="8"/>
      <c r="D5567" s="9" t="s">
        <v>122</v>
      </c>
      <c r="E5567" s="10" t="s">
        <v>141</v>
      </c>
      <c r="F5567" s="86">
        <f>VLOOKUP(B5567,'HSD UPAH,BAHAN,ALAT'!$C$6:F5004,4,FALSE)</f>
        <v>10000</v>
      </c>
      <c r="G5567" s="87">
        <f t="shared" ref="G5567" si="709">E5567*F5567</f>
        <v>714</v>
      </c>
    </row>
    <row r="5568" spans="1:7">
      <c r="A5568" s="263" t="s">
        <v>419</v>
      </c>
      <c r="B5568" s="263"/>
      <c r="C5568" s="263"/>
      <c r="D5568" s="263"/>
      <c r="E5568" s="263"/>
      <c r="F5568" s="263"/>
      <c r="G5568" s="80">
        <f>SUM(G5567)</f>
        <v>714</v>
      </c>
    </row>
    <row r="5569" spans="1:7">
      <c r="A5569" s="81" t="s">
        <v>38</v>
      </c>
      <c r="B5569" s="262" t="s">
        <v>39</v>
      </c>
      <c r="C5569" s="262"/>
      <c r="D5569" s="262"/>
      <c r="E5569" s="262"/>
      <c r="F5569" s="262"/>
      <c r="G5569" s="118">
        <f>SUM(G5559:G5568)/2</f>
        <v>44314</v>
      </c>
    </row>
    <row r="5570" spans="1:7">
      <c r="A5570" s="81" t="s">
        <v>40</v>
      </c>
      <c r="B5570" s="262" t="s">
        <v>180</v>
      </c>
      <c r="C5570" s="262"/>
      <c r="D5570" s="262"/>
      <c r="E5570" s="262"/>
      <c r="F5570" s="82">
        <v>0.1</v>
      </c>
      <c r="G5570" s="80">
        <f>G5569*F5570</f>
        <v>4431.4000000000005</v>
      </c>
    </row>
    <row r="5571" spans="1:7">
      <c r="A5571" s="81" t="s">
        <v>41</v>
      </c>
      <c r="B5571" s="262" t="s">
        <v>42</v>
      </c>
      <c r="C5571" s="262"/>
      <c r="D5571" s="262"/>
      <c r="E5571" s="262"/>
      <c r="F5571" s="262"/>
      <c r="G5571" s="80">
        <f>G5569+G5570</f>
        <v>48745.4</v>
      </c>
    </row>
    <row r="5572" spans="1:7">
      <c r="A5572" s="90"/>
      <c r="B5572" s="91"/>
      <c r="C5572" s="91"/>
      <c r="D5572" s="91"/>
      <c r="E5572" s="91"/>
      <c r="F5572" s="91"/>
      <c r="G5572" s="92"/>
    </row>
    <row r="5573" spans="1:7">
      <c r="A5573" s="4" t="s">
        <v>441</v>
      </c>
      <c r="B5573" s="91"/>
      <c r="C5573" s="91"/>
      <c r="D5573" s="91"/>
      <c r="E5573" s="91"/>
      <c r="F5573" s="91"/>
      <c r="G5573" s="92"/>
    </row>
    <row r="5574" spans="1:7">
      <c r="A5574" s="4" t="s">
        <v>645</v>
      </c>
      <c r="B5574" s="91"/>
      <c r="C5574" s="91"/>
      <c r="D5574" s="91"/>
      <c r="E5574" s="91"/>
      <c r="F5574" s="91"/>
      <c r="G5574" s="92"/>
    </row>
    <row r="5575" spans="1:7" ht="30">
      <c r="A5575" s="79" t="s">
        <v>0</v>
      </c>
      <c r="B5575" s="79" t="s">
        <v>1</v>
      </c>
      <c r="C5575" s="79" t="s">
        <v>207</v>
      </c>
      <c r="D5575" s="79" t="s">
        <v>3</v>
      </c>
      <c r="E5575" s="79" t="s">
        <v>2</v>
      </c>
      <c r="F5575" s="79" t="s">
        <v>417</v>
      </c>
      <c r="G5575" s="79" t="s">
        <v>418</v>
      </c>
    </row>
    <row r="5576" spans="1:7">
      <c r="A5576" s="8" t="s">
        <v>4</v>
      </c>
      <c r="B5576" s="1" t="s">
        <v>5</v>
      </c>
      <c r="C5576" s="8"/>
      <c r="D5576" s="9"/>
      <c r="E5576" s="19"/>
      <c r="F5576" s="2"/>
      <c r="G5576" s="2"/>
    </row>
    <row r="5577" spans="1:7">
      <c r="A5577" s="8">
        <v>1</v>
      </c>
      <c r="B5577" s="1" t="s">
        <v>48</v>
      </c>
      <c r="C5577" s="8" t="s">
        <v>49</v>
      </c>
      <c r="D5577" s="9" t="s">
        <v>8</v>
      </c>
      <c r="E5577" s="10" t="s">
        <v>152</v>
      </c>
      <c r="F5577" s="2"/>
      <c r="G5577" s="2"/>
    </row>
    <row r="5578" spans="1:7">
      <c r="A5578" s="8">
        <v>2</v>
      </c>
      <c r="B5578" s="1" t="s">
        <v>13</v>
      </c>
      <c r="C5578" s="8" t="s">
        <v>14</v>
      </c>
      <c r="D5578" s="9" t="s">
        <v>8</v>
      </c>
      <c r="E5578" s="10" t="s">
        <v>153</v>
      </c>
      <c r="F5578" s="86">
        <f>VLOOKUP(B5578,'HSD UPAH,BAHAN,ALAT'!$C$6:F5012,4,FALSE)</f>
        <v>100000</v>
      </c>
      <c r="G5578" s="87">
        <f t="shared" ref="G5578" si="710">E5578*F5578</f>
        <v>12</v>
      </c>
    </row>
    <row r="5579" spans="1:7">
      <c r="A5579" s="261" t="s">
        <v>420</v>
      </c>
      <c r="B5579" s="261"/>
      <c r="C5579" s="261"/>
      <c r="D5579" s="261"/>
      <c r="E5579" s="261"/>
      <c r="F5579" s="261"/>
      <c r="G5579" s="85">
        <f>SUM(G5576:G5578)</f>
        <v>12</v>
      </c>
    </row>
    <row r="5580" spans="1:7">
      <c r="A5580" s="8" t="s">
        <v>16</v>
      </c>
      <c r="B5580" s="1" t="s">
        <v>17</v>
      </c>
      <c r="C5580" s="8"/>
      <c r="D5580" s="9"/>
      <c r="E5580" s="19"/>
      <c r="F5580" s="2"/>
      <c r="G5580" s="2"/>
    </row>
    <row r="5581" spans="1:7">
      <c r="A5581" s="8">
        <v>1</v>
      </c>
      <c r="B5581" s="1" t="s">
        <v>154</v>
      </c>
      <c r="C5581" s="8"/>
      <c r="D5581" s="9" t="s">
        <v>120</v>
      </c>
      <c r="E5581" s="10" t="s">
        <v>155</v>
      </c>
      <c r="F5581" s="86">
        <f>VLOOKUP(B5581,'HSD UPAH,BAHAN,ALAT'!$C$6:F5015,4,FALSE)</f>
        <v>10000</v>
      </c>
      <c r="G5581" s="87">
        <f t="shared" ref="G5581" si="711">E5581*F5581</f>
        <v>50000</v>
      </c>
    </row>
    <row r="5582" spans="1:7">
      <c r="A5582" s="261" t="s">
        <v>421</v>
      </c>
      <c r="B5582" s="261"/>
      <c r="C5582" s="261"/>
      <c r="D5582" s="261"/>
      <c r="E5582" s="261"/>
      <c r="F5582" s="261"/>
      <c r="G5582" s="85">
        <f>SUM(G5581:G5581)</f>
        <v>50000</v>
      </c>
    </row>
    <row r="5583" spans="1:7">
      <c r="A5583" s="8" t="s">
        <v>36</v>
      </c>
      <c r="B5583" s="1" t="s">
        <v>37</v>
      </c>
      <c r="C5583" s="8"/>
      <c r="D5583" s="9"/>
      <c r="E5583" s="19"/>
      <c r="F5583" s="2"/>
      <c r="G5583" s="2"/>
    </row>
    <row r="5584" spans="1:7">
      <c r="A5584" s="8"/>
      <c r="B5584" s="1"/>
      <c r="C5584" s="8"/>
      <c r="D5584" s="9"/>
      <c r="E5584" s="19"/>
      <c r="F5584" s="2"/>
      <c r="G5584" s="2"/>
    </row>
    <row r="5585" spans="1:7">
      <c r="A5585" s="263" t="s">
        <v>419</v>
      </c>
      <c r="B5585" s="263"/>
      <c r="C5585" s="263"/>
      <c r="D5585" s="263"/>
      <c r="E5585" s="263"/>
      <c r="F5585" s="263"/>
      <c r="G5585" s="80">
        <f>SUM(G5584)</f>
        <v>0</v>
      </c>
    </row>
    <row r="5586" spans="1:7">
      <c r="A5586" s="81" t="s">
        <v>38</v>
      </c>
      <c r="B5586" s="262" t="s">
        <v>39</v>
      </c>
      <c r="C5586" s="262"/>
      <c r="D5586" s="262"/>
      <c r="E5586" s="262"/>
      <c r="F5586" s="262"/>
      <c r="G5586" s="118">
        <f>SUM(G5576:G5585)/2</f>
        <v>50012</v>
      </c>
    </row>
    <row r="5587" spans="1:7">
      <c r="A5587" s="81" t="s">
        <v>40</v>
      </c>
      <c r="B5587" s="262" t="s">
        <v>180</v>
      </c>
      <c r="C5587" s="262"/>
      <c r="D5587" s="262"/>
      <c r="E5587" s="262"/>
      <c r="F5587" s="82">
        <v>0.1</v>
      </c>
      <c r="G5587" s="80">
        <f>G5586*F5587</f>
        <v>5001.2000000000007</v>
      </c>
    </row>
    <row r="5588" spans="1:7">
      <c r="A5588" s="81" t="s">
        <v>41</v>
      </c>
      <c r="B5588" s="262" t="s">
        <v>42</v>
      </c>
      <c r="C5588" s="262"/>
      <c r="D5588" s="262"/>
      <c r="E5588" s="262"/>
      <c r="F5588" s="262"/>
      <c r="G5588" s="80">
        <f>G5586+G5587</f>
        <v>55013.2</v>
      </c>
    </row>
    <row r="5589" spans="1:7">
      <c r="A5589" s="90"/>
      <c r="B5589" s="91"/>
      <c r="C5589" s="91"/>
      <c r="D5589" s="91"/>
      <c r="E5589" s="91"/>
      <c r="F5589" s="91"/>
      <c r="G5589" s="92"/>
    </row>
    <row r="5590" spans="1:7">
      <c r="A5590" s="4" t="s">
        <v>646</v>
      </c>
      <c r="B5590" s="91"/>
      <c r="C5590" s="91"/>
      <c r="D5590" s="91"/>
      <c r="E5590" s="91"/>
      <c r="F5590" s="91"/>
      <c r="G5590" s="92"/>
    </row>
    <row r="5591" spans="1:7" ht="30">
      <c r="A5591" s="79" t="s">
        <v>0</v>
      </c>
      <c r="B5591" s="79" t="s">
        <v>1</v>
      </c>
      <c r="C5591" s="79" t="s">
        <v>207</v>
      </c>
      <c r="D5591" s="79" t="s">
        <v>3</v>
      </c>
      <c r="E5591" s="79" t="s">
        <v>2</v>
      </c>
      <c r="F5591" s="79" t="s">
        <v>417</v>
      </c>
      <c r="G5591" s="79" t="s">
        <v>418</v>
      </c>
    </row>
    <row r="5592" spans="1:7">
      <c r="A5592" s="8" t="s">
        <v>4</v>
      </c>
      <c r="B5592" s="1" t="s">
        <v>5</v>
      </c>
      <c r="C5592" s="8"/>
      <c r="D5592" s="9"/>
      <c r="E5592" s="19"/>
      <c r="F5592" s="2"/>
      <c r="G5592" s="2"/>
    </row>
    <row r="5593" spans="1:7">
      <c r="A5593" s="8">
        <v>1</v>
      </c>
      <c r="B5593" s="1" t="s">
        <v>48</v>
      </c>
      <c r="C5593" s="8" t="s">
        <v>49</v>
      </c>
      <c r="D5593" s="9" t="s">
        <v>8</v>
      </c>
      <c r="E5593" s="10" t="s">
        <v>129</v>
      </c>
      <c r="F5593" s="86">
        <f>VLOOKUP(B5593,'HSD UPAH,BAHAN,ALAT'!$C$6:F5025,4,FALSE)</f>
        <v>100000</v>
      </c>
      <c r="G5593" s="87">
        <f t="shared" ref="G5593:G5594" si="712">E5593*F5593</f>
        <v>40</v>
      </c>
    </row>
    <row r="5594" spans="1:7">
      <c r="A5594" s="8">
        <v>2</v>
      </c>
      <c r="B5594" s="1" t="s">
        <v>13</v>
      </c>
      <c r="C5594" s="8" t="s">
        <v>14</v>
      </c>
      <c r="D5594" s="9" t="s">
        <v>8</v>
      </c>
      <c r="E5594" s="10" t="s">
        <v>156</v>
      </c>
      <c r="F5594" s="86">
        <f>VLOOKUP(B5594,'HSD UPAH,BAHAN,ALAT'!$C$6:F5026,4,FALSE)</f>
        <v>100000</v>
      </c>
      <c r="G5594" s="87">
        <f t="shared" si="712"/>
        <v>2</v>
      </c>
    </row>
    <row r="5595" spans="1:7">
      <c r="A5595" s="261" t="s">
        <v>420</v>
      </c>
      <c r="B5595" s="261"/>
      <c r="C5595" s="261"/>
      <c r="D5595" s="261"/>
      <c r="E5595" s="261"/>
      <c r="F5595" s="261"/>
      <c r="G5595" s="85">
        <f>SUM(G5592:G5594)</f>
        <v>42</v>
      </c>
    </row>
    <row r="5596" spans="1:7">
      <c r="A5596" s="8" t="s">
        <v>16</v>
      </c>
      <c r="B5596" s="1" t="s">
        <v>17</v>
      </c>
      <c r="C5596" s="8"/>
      <c r="D5596" s="9"/>
      <c r="E5596" s="19"/>
      <c r="F5596" s="2"/>
      <c r="G5596" s="2"/>
    </row>
    <row r="5597" spans="1:7">
      <c r="A5597" s="8">
        <v>1</v>
      </c>
      <c r="B5597" s="1" t="s">
        <v>154</v>
      </c>
      <c r="C5597" s="8"/>
      <c r="D5597" s="9" t="s">
        <v>120</v>
      </c>
      <c r="E5597" s="10" t="s">
        <v>157</v>
      </c>
      <c r="F5597" s="86">
        <f>VLOOKUP(B5597,'HSD UPAH,BAHAN,ALAT'!$C$6:F5029,4,FALSE)</f>
        <v>10000</v>
      </c>
      <c r="G5597" s="87">
        <f t="shared" ref="G5597" si="713">E5597*F5597</f>
        <v>30000</v>
      </c>
    </row>
    <row r="5598" spans="1:7">
      <c r="A5598" s="261" t="s">
        <v>421</v>
      </c>
      <c r="B5598" s="261"/>
      <c r="C5598" s="261"/>
      <c r="D5598" s="261"/>
      <c r="E5598" s="261"/>
      <c r="F5598" s="261"/>
      <c r="G5598" s="85">
        <f>SUM(G5597:G5597)</f>
        <v>30000</v>
      </c>
    </row>
    <row r="5599" spans="1:7">
      <c r="A5599" s="8" t="s">
        <v>36</v>
      </c>
      <c r="B5599" s="1" t="s">
        <v>37</v>
      </c>
      <c r="C5599" s="8"/>
      <c r="D5599" s="9"/>
      <c r="E5599" s="19"/>
      <c r="F5599" s="2"/>
      <c r="G5599" s="2"/>
    </row>
    <row r="5600" spans="1:7">
      <c r="A5600" s="8"/>
      <c r="B5600" s="1"/>
      <c r="C5600" s="8"/>
      <c r="D5600" s="9"/>
      <c r="E5600" s="19"/>
      <c r="F5600" s="2"/>
      <c r="G5600" s="2"/>
    </row>
    <row r="5601" spans="1:7">
      <c r="A5601" s="263" t="s">
        <v>419</v>
      </c>
      <c r="B5601" s="263"/>
      <c r="C5601" s="263"/>
      <c r="D5601" s="263"/>
      <c r="E5601" s="263"/>
      <c r="F5601" s="263"/>
      <c r="G5601" s="80">
        <f>SUM(G5600)</f>
        <v>0</v>
      </c>
    </row>
    <row r="5602" spans="1:7">
      <c r="A5602" s="81" t="s">
        <v>38</v>
      </c>
      <c r="B5602" s="262" t="s">
        <v>39</v>
      </c>
      <c r="C5602" s="262"/>
      <c r="D5602" s="262"/>
      <c r="E5602" s="262"/>
      <c r="F5602" s="262"/>
      <c r="G5602" s="118">
        <f>SUM(G5592:G5601)/2</f>
        <v>30042</v>
      </c>
    </row>
    <row r="5603" spans="1:7">
      <c r="A5603" s="81" t="s">
        <v>40</v>
      </c>
      <c r="B5603" s="262" t="s">
        <v>180</v>
      </c>
      <c r="C5603" s="262"/>
      <c r="D5603" s="262"/>
      <c r="E5603" s="262"/>
      <c r="F5603" s="82">
        <v>0.1</v>
      </c>
      <c r="G5603" s="80">
        <f>G5602*F5603</f>
        <v>3004.2000000000003</v>
      </c>
    </row>
    <row r="5604" spans="1:7">
      <c r="A5604" s="81" t="s">
        <v>41</v>
      </c>
      <c r="B5604" s="262" t="s">
        <v>42</v>
      </c>
      <c r="C5604" s="262"/>
      <c r="D5604" s="262"/>
      <c r="E5604" s="262"/>
      <c r="F5604" s="262"/>
      <c r="G5604" s="80">
        <f>G5602+G5603</f>
        <v>33046.199999999997</v>
      </c>
    </row>
    <row r="5605" spans="1:7">
      <c r="A5605" s="90"/>
      <c r="B5605" s="91"/>
      <c r="C5605" s="91"/>
      <c r="D5605" s="91"/>
      <c r="E5605" s="91"/>
      <c r="F5605" s="91"/>
      <c r="G5605" s="92"/>
    </row>
    <row r="5606" spans="1:7">
      <c r="A5606" s="4" t="s">
        <v>647</v>
      </c>
      <c r="B5606" s="91"/>
      <c r="C5606" s="91"/>
      <c r="D5606" s="91"/>
      <c r="E5606" s="91"/>
      <c r="F5606" s="91"/>
      <c r="G5606" s="92"/>
    </row>
    <row r="5607" spans="1:7" ht="30">
      <c r="A5607" s="79" t="s">
        <v>0</v>
      </c>
      <c r="B5607" s="79" t="s">
        <v>1</v>
      </c>
      <c r="C5607" s="79" t="s">
        <v>207</v>
      </c>
      <c r="D5607" s="79" t="s">
        <v>3</v>
      </c>
      <c r="E5607" s="79" t="s">
        <v>2</v>
      </c>
      <c r="F5607" s="79" t="s">
        <v>417</v>
      </c>
      <c r="G5607" s="79" t="s">
        <v>418</v>
      </c>
    </row>
    <row r="5608" spans="1:7">
      <c r="A5608" s="8" t="s">
        <v>4</v>
      </c>
      <c r="B5608" s="1" t="s">
        <v>5</v>
      </c>
      <c r="C5608" s="8"/>
      <c r="D5608" s="9"/>
      <c r="E5608" s="19"/>
      <c r="F5608" s="2"/>
      <c r="G5608" s="2"/>
    </row>
    <row r="5609" spans="1:7">
      <c r="A5609" s="8">
        <v>1</v>
      </c>
      <c r="B5609" s="1" t="s">
        <v>48</v>
      </c>
      <c r="C5609" s="8" t="s">
        <v>49</v>
      </c>
      <c r="D5609" s="9" t="s">
        <v>8</v>
      </c>
      <c r="E5609" s="10" t="s">
        <v>129</v>
      </c>
      <c r="F5609" s="86">
        <f>VLOOKUP(B5609,'HSD UPAH,BAHAN,ALAT'!$C$6:F5039,4,FALSE)</f>
        <v>100000</v>
      </c>
      <c r="G5609" s="87">
        <f t="shared" ref="G5609:G5610" si="714">E5609*F5609</f>
        <v>40</v>
      </c>
    </row>
    <row r="5610" spans="1:7">
      <c r="A5610" s="8">
        <v>2</v>
      </c>
      <c r="B5610" s="1" t="s">
        <v>13</v>
      </c>
      <c r="C5610" s="8" t="s">
        <v>14</v>
      </c>
      <c r="D5610" s="9" t="s">
        <v>8</v>
      </c>
      <c r="E5610" s="10" t="s">
        <v>156</v>
      </c>
      <c r="F5610" s="86">
        <f>VLOOKUP(B5610,'HSD UPAH,BAHAN,ALAT'!$C$6:F5040,4,FALSE)</f>
        <v>100000</v>
      </c>
      <c r="G5610" s="87">
        <f t="shared" si="714"/>
        <v>2</v>
      </c>
    </row>
    <row r="5611" spans="1:7">
      <c r="A5611" s="261" t="s">
        <v>420</v>
      </c>
      <c r="B5611" s="261"/>
      <c r="C5611" s="261"/>
      <c r="D5611" s="261"/>
      <c r="E5611" s="261"/>
      <c r="F5611" s="261"/>
      <c r="G5611" s="85">
        <f>SUM(G5608:G5610)</f>
        <v>42</v>
      </c>
    </row>
    <row r="5612" spans="1:7">
      <c r="A5612" s="8" t="s">
        <v>16</v>
      </c>
      <c r="B5612" s="1" t="s">
        <v>17</v>
      </c>
      <c r="C5612" s="8"/>
      <c r="D5612" s="9"/>
      <c r="E5612" s="19"/>
      <c r="F5612" s="2"/>
      <c r="G5612" s="2"/>
    </row>
    <row r="5613" spans="1:7">
      <c r="A5613" s="8">
        <v>1</v>
      </c>
      <c r="B5613" s="1" t="s">
        <v>154</v>
      </c>
      <c r="C5613" s="8"/>
      <c r="D5613" s="9" t="s">
        <v>120</v>
      </c>
      <c r="E5613" s="10" t="s">
        <v>158</v>
      </c>
      <c r="F5613" s="86">
        <f>VLOOKUP(B5613,'HSD UPAH,BAHAN,ALAT'!$C$6:F5043,4,FALSE)</f>
        <v>10000</v>
      </c>
      <c r="G5613" s="87">
        <f t="shared" ref="G5613" si="715">E5613*F5613</f>
        <v>40000</v>
      </c>
    </row>
    <row r="5614" spans="1:7">
      <c r="A5614" s="261" t="s">
        <v>421</v>
      </c>
      <c r="B5614" s="261"/>
      <c r="C5614" s="261"/>
      <c r="D5614" s="261"/>
      <c r="E5614" s="261"/>
      <c r="F5614" s="261"/>
      <c r="G5614" s="85">
        <f>SUM(G5613:G5613)</f>
        <v>40000</v>
      </c>
    </row>
    <row r="5615" spans="1:7">
      <c r="A5615" s="8" t="s">
        <v>36</v>
      </c>
      <c r="B5615" s="1" t="s">
        <v>37</v>
      </c>
      <c r="C5615" s="8"/>
      <c r="D5615" s="9"/>
      <c r="E5615" s="19"/>
      <c r="F5615" s="2"/>
      <c r="G5615" s="2"/>
    </row>
    <row r="5616" spans="1:7">
      <c r="A5616" s="8"/>
      <c r="B5616" s="1"/>
      <c r="C5616" s="8"/>
      <c r="D5616" s="9"/>
      <c r="E5616" s="19"/>
      <c r="F5616" s="2"/>
      <c r="G5616" s="2"/>
    </row>
    <row r="5617" spans="1:7">
      <c r="A5617" s="263" t="s">
        <v>419</v>
      </c>
      <c r="B5617" s="263"/>
      <c r="C5617" s="263"/>
      <c r="D5617" s="263"/>
      <c r="E5617" s="263"/>
      <c r="F5617" s="263"/>
      <c r="G5617" s="80">
        <f>SUM(G5616)</f>
        <v>0</v>
      </c>
    </row>
    <row r="5618" spans="1:7">
      <c r="A5618" s="81" t="s">
        <v>38</v>
      </c>
      <c r="B5618" s="262" t="s">
        <v>39</v>
      </c>
      <c r="C5618" s="262"/>
      <c r="D5618" s="262"/>
      <c r="E5618" s="262"/>
      <c r="F5618" s="262"/>
      <c r="G5618" s="118">
        <f>SUM(G5608:G5617)/2</f>
        <v>40042</v>
      </c>
    </row>
    <row r="5619" spans="1:7">
      <c r="A5619" s="81" t="s">
        <v>40</v>
      </c>
      <c r="B5619" s="262" t="s">
        <v>180</v>
      </c>
      <c r="C5619" s="262"/>
      <c r="D5619" s="262"/>
      <c r="E5619" s="262"/>
      <c r="F5619" s="82">
        <v>0.1</v>
      </c>
      <c r="G5619" s="80">
        <f>G5618*F5619</f>
        <v>4004.2000000000003</v>
      </c>
    </row>
    <row r="5620" spans="1:7">
      <c r="A5620" s="81" t="s">
        <v>41</v>
      </c>
      <c r="B5620" s="262" t="s">
        <v>42</v>
      </c>
      <c r="C5620" s="262"/>
      <c r="D5620" s="262"/>
      <c r="E5620" s="262"/>
      <c r="F5620" s="262"/>
      <c r="G5620" s="80">
        <f>G5618+G5619</f>
        <v>44046.2</v>
      </c>
    </row>
    <row r="5621" spans="1:7">
      <c r="A5621" s="90"/>
      <c r="B5621" s="91"/>
      <c r="C5621" s="91"/>
      <c r="D5621" s="91"/>
      <c r="E5621" s="91"/>
      <c r="F5621" s="91"/>
      <c r="G5621" s="92"/>
    </row>
    <row r="5622" spans="1:7">
      <c r="A5622" s="4" t="s">
        <v>648</v>
      </c>
      <c r="B5622" s="91"/>
      <c r="C5622" s="91"/>
      <c r="D5622" s="91"/>
      <c r="E5622" s="91"/>
      <c r="F5622" s="91"/>
      <c r="G5622" s="92"/>
    </row>
    <row r="5623" spans="1:7" ht="30">
      <c r="A5623" s="79" t="s">
        <v>0</v>
      </c>
      <c r="B5623" s="79" t="s">
        <v>1</v>
      </c>
      <c r="C5623" s="79" t="s">
        <v>207</v>
      </c>
      <c r="D5623" s="79" t="s">
        <v>3</v>
      </c>
      <c r="E5623" s="79" t="s">
        <v>2</v>
      </c>
      <c r="F5623" s="79" t="s">
        <v>417</v>
      </c>
      <c r="G5623" s="79" t="s">
        <v>418</v>
      </c>
    </row>
    <row r="5624" spans="1:7">
      <c r="A5624" s="8" t="s">
        <v>4</v>
      </c>
      <c r="B5624" s="1" t="s">
        <v>5</v>
      </c>
      <c r="C5624" s="8"/>
      <c r="D5624" s="9"/>
      <c r="E5624" s="19"/>
      <c r="F5624" s="2"/>
      <c r="G5624" s="2"/>
    </row>
    <row r="5625" spans="1:7">
      <c r="A5625" s="8">
        <v>1</v>
      </c>
      <c r="B5625" s="1" t="s">
        <v>48</v>
      </c>
      <c r="C5625" s="8" t="s">
        <v>49</v>
      </c>
      <c r="D5625" s="9" t="s">
        <v>8</v>
      </c>
      <c r="E5625" s="10" t="s">
        <v>159</v>
      </c>
      <c r="F5625" s="86">
        <f>VLOOKUP(B5625,'HSD UPAH,BAHAN,ALAT'!$C$6:F5053,4,FALSE)</f>
        <v>100000</v>
      </c>
      <c r="G5625" s="87">
        <f t="shared" ref="G5625:G5626" si="716">E5625*F5625</f>
        <v>27</v>
      </c>
    </row>
    <row r="5626" spans="1:7">
      <c r="A5626" s="8">
        <v>2</v>
      </c>
      <c r="B5626" s="1" t="s">
        <v>13</v>
      </c>
      <c r="C5626" s="8" t="s">
        <v>14</v>
      </c>
      <c r="D5626" s="9" t="s">
        <v>8</v>
      </c>
      <c r="E5626" s="10" t="s">
        <v>160</v>
      </c>
      <c r="F5626" s="86">
        <f>VLOOKUP(B5626,'HSD UPAH,BAHAN,ALAT'!$C$6:F5054,4,FALSE)</f>
        <v>100000</v>
      </c>
      <c r="G5626" s="87">
        <f t="shared" si="716"/>
        <v>1.2999999999999998</v>
      </c>
    </row>
    <row r="5627" spans="1:7">
      <c r="A5627" s="261" t="s">
        <v>420</v>
      </c>
      <c r="B5627" s="261"/>
      <c r="C5627" s="261"/>
      <c r="D5627" s="261"/>
      <c r="E5627" s="261"/>
      <c r="F5627" s="261"/>
      <c r="G5627" s="85">
        <f>SUM(G5624:G5626)</f>
        <v>28.3</v>
      </c>
    </row>
    <row r="5628" spans="1:7">
      <c r="A5628" s="8" t="s">
        <v>16</v>
      </c>
      <c r="B5628" s="1" t="s">
        <v>17</v>
      </c>
      <c r="C5628" s="8"/>
      <c r="D5628" s="9"/>
      <c r="E5628" s="19"/>
      <c r="F5628" s="2"/>
      <c r="G5628" s="2"/>
    </row>
    <row r="5629" spans="1:7">
      <c r="A5629" s="8">
        <v>1</v>
      </c>
      <c r="B5629" s="1" t="s">
        <v>154</v>
      </c>
      <c r="C5629" s="8"/>
      <c r="D5629" s="9" t="s">
        <v>120</v>
      </c>
      <c r="E5629" s="10" t="s">
        <v>157</v>
      </c>
      <c r="F5629" s="86">
        <f>VLOOKUP(B5629,'HSD UPAH,BAHAN,ALAT'!$C$6:F5057,4,FALSE)</f>
        <v>10000</v>
      </c>
      <c r="G5629" s="87">
        <f t="shared" ref="G5629" si="717">E5629*F5629</f>
        <v>30000</v>
      </c>
    </row>
    <row r="5630" spans="1:7">
      <c r="A5630" s="261" t="s">
        <v>421</v>
      </c>
      <c r="B5630" s="261"/>
      <c r="C5630" s="261"/>
      <c r="D5630" s="261"/>
      <c r="E5630" s="261"/>
      <c r="F5630" s="261"/>
      <c r="G5630" s="85">
        <f>SUM(G5629:G5629)</f>
        <v>30000</v>
      </c>
    </row>
    <row r="5631" spans="1:7">
      <c r="A5631" s="8" t="s">
        <v>36</v>
      </c>
      <c r="B5631" s="1" t="s">
        <v>37</v>
      </c>
      <c r="C5631" s="8"/>
      <c r="D5631" s="9"/>
      <c r="E5631" s="19"/>
      <c r="F5631" s="2"/>
      <c r="G5631" s="2"/>
    </row>
    <row r="5632" spans="1:7">
      <c r="A5632" s="8"/>
      <c r="B5632" s="1"/>
      <c r="C5632" s="8"/>
      <c r="D5632" s="9"/>
      <c r="E5632" s="19"/>
      <c r="F5632" s="2"/>
      <c r="G5632" s="2"/>
    </row>
    <row r="5633" spans="1:7">
      <c r="A5633" s="263" t="s">
        <v>419</v>
      </c>
      <c r="B5633" s="263"/>
      <c r="C5633" s="263"/>
      <c r="D5633" s="263"/>
      <c r="E5633" s="263"/>
      <c r="F5633" s="263"/>
      <c r="G5633" s="80">
        <f>SUM(G5632)</f>
        <v>0</v>
      </c>
    </row>
    <row r="5634" spans="1:7">
      <c r="A5634" s="81" t="s">
        <v>38</v>
      </c>
      <c r="B5634" s="262" t="s">
        <v>39</v>
      </c>
      <c r="C5634" s="262"/>
      <c r="D5634" s="262"/>
      <c r="E5634" s="262"/>
      <c r="F5634" s="262"/>
      <c r="G5634" s="118">
        <f>SUM(G5624:G5633)/2</f>
        <v>30028.3</v>
      </c>
    </row>
    <row r="5635" spans="1:7">
      <c r="A5635" s="81" t="s">
        <v>40</v>
      </c>
      <c r="B5635" s="262" t="s">
        <v>180</v>
      </c>
      <c r="C5635" s="262"/>
      <c r="D5635" s="262"/>
      <c r="E5635" s="262"/>
      <c r="F5635" s="82">
        <v>0.1</v>
      </c>
      <c r="G5635" s="80">
        <f>G5634*F5635</f>
        <v>3002.83</v>
      </c>
    </row>
    <row r="5636" spans="1:7">
      <c r="A5636" s="81" t="s">
        <v>41</v>
      </c>
      <c r="B5636" s="262" t="s">
        <v>42</v>
      </c>
      <c r="C5636" s="262"/>
      <c r="D5636" s="262"/>
      <c r="E5636" s="262"/>
      <c r="F5636" s="262"/>
      <c r="G5636" s="80">
        <f>G5634+G5635</f>
        <v>33031.129999999997</v>
      </c>
    </row>
    <row r="5637" spans="1:7">
      <c r="A5637" s="90"/>
      <c r="B5637" s="91"/>
      <c r="C5637" s="91"/>
      <c r="D5637" s="91"/>
      <c r="E5637" s="91"/>
      <c r="F5637" s="91"/>
      <c r="G5637" s="92"/>
    </row>
    <row r="5638" spans="1:7">
      <c r="A5638" s="4" t="s">
        <v>483</v>
      </c>
      <c r="B5638" s="91"/>
      <c r="C5638" s="91"/>
      <c r="D5638" s="91"/>
      <c r="E5638" s="91"/>
      <c r="F5638" s="91"/>
      <c r="G5638" s="92"/>
    </row>
    <row r="5639" spans="1:7" ht="30">
      <c r="A5639" s="79" t="s">
        <v>0</v>
      </c>
      <c r="B5639" s="79" t="s">
        <v>1</v>
      </c>
      <c r="C5639" s="79" t="s">
        <v>207</v>
      </c>
      <c r="D5639" s="79" t="s">
        <v>3</v>
      </c>
      <c r="E5639" s="79" t="s">
        <v>2</v>
      </c>
      <c r="F5639" s="79" t="s">
        <v>417</v>
      </c>
      <c r="G5639" s="79" t="s">
        <v>418</v>
      </c>
    </row>
    <row r="5640" spans="1:7">
      <c r="A5640" s="8" t="s">
        <v>4</v>
      </c>
      <c r="B5640" s="1" t="s">
        <v>5</v>
      </c>
      <c r="C5640" s="8"/>
      <c r="D5640" s="9"/>
      <c r="E5640" s="19"/>
      <c r="F5640" s="2"/>
      <c r="G5640" s="2"/>
    </row>
    <row r="5641" spans="1:7">
      <c r="A5641" s="8">
        <v>1</v>
      </c>
      <c r="B5641" s="1" t="s">
        <v>48</v>
      </c>
      <c r="C5641" s="8" t="s">
        <v>49</v>
      </c>
      <c r="D5641" s="9" t="s">
        <v>8</v>
      </c>
      <c r="E5641" s="10" t="s">
        <v>159</v>
      </c>
      <c r="F5641" s="86">
        <f>VLOOKUP(B5641,'HSD UPAH,BAHAN,ALAT'!$C$6:F5067,4,FALSE)</f>
        <v>100000</v>
      </c>
      <c r="G5641" s="87">
        <f t="shared" ref="G5641:G5642" si="718">E5641*F5641</f>
        <v>27</v>
      </c>
    </row>
    <row r="5642" spans="1:7">
      <c r="A5642" s="8">
        <v>2</v>
      </c>
      <c r="B5642" s="1" t="s">
        <v>13</v>
      </c>
      <c r="C5642" s="8" t="s">
        <v>14</v>
      </c>
      <c r="D5642" s="9" t="s">
        <v>8</v>
      </c>
      <c r="E5642" s="10" t="s">
        <v>160</v>
      </c>
      <c r="F5642" s="86">
        <f>VLOOKUP(B5642,'HSD UPAH,BAHAN,ALAT'!$C$6:F5068,4,FALSE)</f>
        <v>100000</v>
      </c>
      <c r="G5642" s="87">
        <f t="shared" si="718"/>
        <v>1.2999999999999998</v>
      </c>
    </row>
    <row r="5643" spans="1:7">
      <c r="A5643" s="261" t="s">
        <v>420</v>
      </c>
      <c r="B5643" s="261"/>
      <c r="C5643" s="261"/>
      <c r="D5643" s="261"/>
      <c r="E5643" s="261"/>
      <c r="F5643" s="261"/>
      <c r="G5643" s="85">
        <f>SUM(G5640:G5642)</f>
        <v>28.3</v>
      </c>
    </row>
    <row r="5644" spans="1:7">
      <c r="A5644" s="8" t="s">
        <v>16</v>
      </c>
      <c r="B5644" s="1" t="s">
        <v>17</v>
      </c>
      <c r="C5644" s="8"/>
      <c r="D5644" s="9"/>
      <c r="E5644" s="19"/>
      <c r="F5644" s="2"/>
      <c r="G5644" s="2"/>
    </row>
    <row r="5645" spans="1:7">
      <c r="A5645" s="8">
        <v>1</v>
      </c>
      <c r="B5645" s="1" t="s">
        <v>154</v>
      </c>
      <c r="C5645" s="8"/>
      <c r="D5645" s="9" t="s">
        <v>120</v>
      </c>
      <c r="E5645" s="10" t="s">
        <v>158</v>
      </c>
      <c r="F5645" s="86">
        <f>VLOOKUP(B5645,'HSD UPAH,BAHAN,ALAT'!$C$6:F5071,4,FALSE)</f>
        <v>10000</v>
      </c>
      <c r="G5645" s="87">
        <f t="shared" ref="G5645" si="719">E5645*F5645</f>
        <v>40000</v>
      </c>
    </row>
    <row r="5646" spans="1:7">
      <c r="A5646" s="261" t="s">
        <v>421</v>
      </c>
      <c r="B5646" s="261"/>
      <c r="C5646" s="261"/>
      <c r="D5646" s="261"/>
      <c r="E5646" s="261"/>
      <c r="F5646" s="261"/>
      <c r="G5646" s="85">
        <f>SUM(G5645:G5645)</f>
        <v>40000</v>
      </c>
    </row>
    <row r="5647" spans="1:7">
      <c r="A5647" s="8" t="s">
        <v>36</v>
      </c>
      <c r="B5647" s="1" t="s">
        <v>37</v>
      </c>
      <c r="C5647" s="8"/>
      <c r="D5647" s="9"/>
      <c r="E5647" s="19"/>
      <c r="F5647" s="2"/>
      <c r="G5647" s="2"/>
    </row>
    <row r="5648" spans="1:7">
      <c r="A5648" s="8"/>
      <c r="B5648" s="1"/>
      <c r="C5648" s="8"/>
      <c r="D5648" s="9"/>
      <c r="E5648" s="19"/>
      <c r="F5648" s="2"/>
      <c r="G5648" s="2"/>
    </row>
    <row r="5649" spans="1:7">
      <c r="A5649" s="263" t="s">
        <v>419</v>
      </c>
      <c r="B5649" s="263"/>
      <c r="C5649" s="263"/>
      <c r="D5649" s="263"/>
      <c r="E5649" s="263"/>
      <c r="F5649" s="263"/>
      <c r="G5649" s="80">
        <f>SUM(G5648)</f>
        <v>0</v>
      </c>
    </row>
    <row r="5650" spans="1:7">
      <c r="A5650" s="81" t="s">
        <v>38</v>
      </c>
      <c r="B5650" s="262" t="s">
        <v>39</v>
      </c>
      <c r="C5650" s="262"/>
      <c r="D5650" s="262"/>
      <c r="E5650" s="262"/>
      <c r="F5650" s="262"/>
      <c r="G5650" s="118">
        <f>SUM(G5640:G5649)/2</f>
        <v>40028.300000000003</v>
      </c>
    </row>
    <row r="5651" spans="1:7">
      <c r="A5651" s="81" t="s">
        <v>40</v>
      </c>
      <c r="B5651" s="262" t="s">
        <v>180</v>
      </c>
      <c r="C5651" s="262"/>
      <c r="D5651" s="262"/>
      <c r="E5651" s="262"/>
      <c r="F5651" s="82">
        <v>0.1</v>
      </c>
      <c r="G5651" s="80">
        <f>G5650*F5651</f>
        <v>4002.8300000000004</v>
      </c>
    </row>
    <row r="5652" spans="1:7">
      <c r="A5652" s="81" t="s">
        <v>41</v>
      </c>
      <c r="B5652" s="262" t="s">
        <v>42</v>
      </c>
      <c r="C5652" s="262"/>
      <c r="D5652" s="262"/>
      <c r="E5652" s="262"/>
      <c r="F5652" s="262"/>
      <c r="G5652" s="80">
        <f>G5650+G5651</f>
        <v>44031.130000000005</v>
      </c>
    </row>
    <row r="5653" spans="1:7">
      <c r="A5653" s="90"/>
      <c r="B5653" s="91"/>
      <c r="C5653" s="91"/>
      <c r="D5653" s="91"/>
      <c r="E5653" s="91"/>
      <c r="F5653" s="91"/>
      <c r="G5653" s="92"/>
    </row>
    <row r="5654" spans="1:7">
      <c r="A5654" s="4" t="s">
        <v>442</v>
      </c>
      <c r="B5654" s="91"/>
      <c r="C5654" s="91"/>
      <c r="D5654" s="91"/>
      <c r="E5654" s="91"/>
      <c r="F5654" s="91"/>
      <c r="G5654" s="92"/>
    </row>
    <row r="5655" spans="1:7">
      <c r="A5655" s="4" t="s">
        <v>649</v>
      </c>
      <c r="B5655" s="91"/>
      <c r="C5655" s="91"/>
      <c r="D5655" s="91"/>
      <c r="E5655" s="91"/>
      <c r="F5655" s="91"/>
      <c r="G5655" s="92"/>
    </row>
    <row r="5656" spans="1:7" ht="30">
      <c r="A5656" s="79" t="s">
        <v>0</v>
      </c>
      <c r="B5656" s="79" t="s">
        <v>1</v>
      </c>
      <c r="C5656" s="79" t="s">
        <v>207</v>
      </c>
      <c r="D5656" s="79" t="s">
        <v>3</v>
      </c>
      <c r="E5656" s="79" t="s">
        <v>2</v>
      </c>
      <c r="F5656" s="79" t="s">
        <v>417</v>
      </c>
      <c r="G5656" s="79" t="s">
        <v>418</v>
      </c>
    </row>
    <row r="5657" spans="1:7">
      <c r="A5657" s="8" t="s">
        <v>4</v>
      </c>
      <c r="B5657" s="1" t="s">
        <v>5</v>
      </c>
      <c r="C5657" s="8"/>
      <c r="D5657" s="9"/>
      <c r="E5657" s="19"/>
      <c r="F5657" s="2"/>
      <c r="G5657" s="2"/>
    </row>
    <row r="5658" spans="1:7">
      <c r="A5658" s="8">
        <v>1</v>
      </c>
      <c r="B5658" s="1" t="s">
        <v>48</v>
      </c>
      <c r="C5658" s="8" t="s">
        <v>49</v>
      </c>
      <c r="D5658" s="9" t="s">
        <v>8</v>
      </c>
      <c r="E5658" s="10" t="s">
        <v>152</v>
      </c>
      <c r="F5658" s="86">
        <f>VLOOKUP(B5658,'HSD UPAH,BAHAN,ALAT'!$C$6:F5081,4,FALSE)</f>
        <v>100000</v>
      </c>
      <c r="G5658" s="87">
        <f t="shared" ref="G5658:G5659" si="720">E5658*F5658</f>
        <v>239.99999999999997</v>
      </c>
    </row>
    <row r="5659" spans="1:7">
      <c r="A5659" s="8">
        <v>2</v>
      </c>
      <c r="B5659" s="1" t="s">
        <v>13</v>
      </c>
      <c r="C5659" s="8" t="s">
        <v>14</v>
      </c>
      <c r="D5659" s="9" t="s">
        <v>8</v>
      </c>
      <c r="E5659" s="10" t="s">
        <v>153</v>
      </c>
      <c r="F5659" s="86">
        <f>VLOOKUP(B5659,'HSD UPAH,BAHAN,ALAT'!$C$6:F5082,4,FALSE)</f>
        <v>100000</v>
      </c>
      <c r="G5659" s="87">
        <f t="shared" si="720"/>
        <v>12</v>
      </c>
    </row>
    <row r="5660" spans="1:7">
      <c r="A5660" s="261" t="s">
        <v>420</v>
      </c>
      <c r="B5660" s="261"/>
      <c r="C5660" s="261"/>
      <c r="D5660" s="261"/>
      <c r="E5660" s="261"/>
      <c r="F5660" s="261"/>
      <c r="G5660" s="85">
        <f>SUM(G5657:G5659)</f>
        <v>251.99999999999997</v>
      </c>
    </row>
    <row r="5661" spans="1:7">
      <c r="A5661" s="8" t="s">
        <v>16</v>
      </c>
      <c r="B5661" s="1" t="s">
        <v>17</v>
      </c>
      <c r="C5661" s="8"/>
      <c r="D5661" s="9"/>
      <c r="E5661" s="19"/>
      <c r="F5661" s="2"/>
      <c r="G5661" s="2"/>
    </row>
    <row r="5662" spans="1:7">
      <c r="A5662" s="8">
        <v>1</v>
      </c>
      <c r="B5662" s="1" t="s">
        <v>154</v>
      </c>
      <c r="C5662" s="8"/>
      <c r="D5662" s="9" t="s">
        <v>120</v>
      </c>
      <c r="E5662" s="10" t="s">
        <v>57</v>
      </c>
      <c r="F5662" s="86">
        <f>VLOOKUP(B5662,'HSD UPAH,BAHAN,ALAT'!$C$6:F5085,4,FALSE)</f>
        <v>10000</v>
      </c>
      <c r="G5662" s="87">
        <f t="shared" ref="G5662" si="721">E5662*F5662</f>
        <v>100000</v>
      </c>
    </row>
    <row r="5663" spans="1:7">
      <c r="A5663" s="261" t="s">
        <v>421</v>
      </c>
      <c r="B5663" s="261"/>
      <c r="C5663" s="261"/>
      <c r="D5663" s="261"/>
      <c r="E5663" s="261"/>
      <c r="F5663" s="261"/>
      <c r="G5663" s="85">
        <f>SUM(G5662:G5662)</f>
        <v>100000</v>
      </c>
    </row>
    <row r="5664" spans="1:7">
      <c r="A5664" s="8" t="s">
        <v>36</v>
      </c>
      <c r="B5664" s="1" t="s">
        <v>37</v>
      </c>
      <c r="C5664" s="8"/>
      <c r="D5664" s="9"/>
      <c r="E5664" s="19"/>
      <c r="F5664" s="2"/>
      <c r="G5664" s="2"/>
    </row>
    <row r="5665" spans="1:7">
      <c r="A5665" s="8">
        <v>1</v>
      </c>
      <c r="B5665" s="1" t="s">
        <v>385</v>
      </c>
      <c r="C5665" s="8"/>
      <c r="D5665" s="9" t="s">
        <v>122</v>
      </c>
      <c r="E5665" s="10" t="s">
        <v>98</v>
      </c>
      <c r="F5665" s="86">
        <f>VLOOKUP(B5665,'HSD UPAH,BAHAN,ALAT'!$C$6:F5088,4,FALSE)</f>
        <v>10000</v>
      </c>
      <c r="G5665" s="87">
        <f t="shared" ref="G5665" si="722">E5665*F5665</f>
        <v>5</v>
      </c>
    </row>
    <row r="5666" spans="1:7">
      <c r="A5666" s="263" t="s">
        <v>419</v>
      </c>
      <c r="B5666" s="263"/>
      <c r="C5666" s="263"/>
      <c r="D5666" s="263"/>
      <c r="E5666" s="263"/>
      <c r="F5666" s="263"/>
      <c r="G5666" s="80">
        <f>SUM(G5665)</f>
        <v>5</v>
      </c>
    </row>
    <row r="5667" spans="1:7">
      <c r="A5667" s="81" t="s">
        <v>38</v>
      </c>
      <c r="B5667" s="262" t="s">
        <v>39</v>
      </c>
      <c r="C5667" s="262"/>
      <c r="D5667" s="262"/>
      <c r="E5667" s="262"/>
      <c r="F5667" s="262"/>
      <c r="G5667" s="118">
        <f>SUM(G5657:G5666)/2</f>
        <v>100257</v>
      </c>
    </row>
    <row r="5668" spans="1:7">
      <c r="A5668" s="81" t="s">
        <v>40</v>
      </c>
      <c r="B5668" s="262" t="s">
        <v>180</v>
      </c>
      <c r="C5668" s="262"/>
      <c r="D5668" s="262"/>
      <c r="E5668" s="262"/>
      <c r="F5668" s="82">
        <v>0.1</v>
      </c>
      <c r="G5668" s="80">
        <f>G5667*F5668</f>
        <v>10025.700000000001</v>
      </c>
    </row>
    <row r="5669" spans="1:7">
      <c r="A5669" s="81" t="s">
        <v>41</v>
      </c>
      <c r="B5669" s="262" t="s">
        <v>42</v>
      </c>
      <c r="C5669" s="262"/>
      <c r="D5669" s="262"/>
      <c r="E5669" s="262"/>
      <c r="F5669" s="262"/>
      <c r="G5669" s="80">
        <f>G5667+G5668</f>
        <v>110282.7</v>
      </c>
    </row>
    <row r="5670" spans="1:7">
      <c r="A5670" s="90"/>
      <c r="B5670" s="91"/>
      <c r="C5670" s="91"/>
      <c r="D5670" s="91"/>
      <c r="E5670" s="91"/>
      <c r="F5670" s="91"/>
      <c r="G5670" s="92"/>
    </row>
    <row r="5671" spans="1:7">
      <c r="A5671" s="4" t="s">
        <v>650</v>
      </c>
      <c r="B5671" s="91"/>
      <c r="C5671" s="91"/>
      <c r="D5671" s="91"/>
      <c r="E5671" s="91"/>
      <c r="F5671" s="91"/>
      <c r="G5671" s="92"/>
    </row>
    <row r="5672" spans="1:7" ht="30">
      <c r="A5672" s="79" t="s">
        <v>0</v>
      </c>
      <c r="B5672" s="79" t="s">
        <v>1</v>
      </c>
      <c r="C5672" s="79" t="s">
        <v>207</v>
      </c>
      <c r="D5672" s="79" t="s">
        <v>3</v>
      </c>
      <c r="E5672" s="79" t="s">
        <v>2</v>
      </c>
      <c r="F5672" s="79" t="s">
        <v>417</v>
      </c>
      <c r="G5672" s="79" t="s">
        <v>418</v>
      </c>
    </row>
    <row r="5673" spans="1:7">
      <c r="A5673" s="8" t="s">
        <v>4</v>
      </c>
      <c r="B5673" s="1" t="s">
        <v>5</v>
      </c>
      <c r="C5673" s="8"/>
      <c r="D5673" s="9"/>
      <c r="E5673" s="19"/>
      <c r="F5673" s="2"/>
      <c r="G5673" s="2"/>
    </row>
    <row r="5674" spans="1:7">
      <c r="A5674" s="8">
        <v>1</v>
      </c>
      <c r="B5674" s="1" t="s">
        <v>48</v>
      </c>
      <c r="C5674" s="8" t="s">
        <v>49</v>
      </c>
      <c r="D5674" s="9" t="s">
        <v>8</v>
      </c>
      <c r="E5674" s="10" t="s">
        <v>129</v>
      </c>
      <c r="F5674" s="86">
        <f>VLOOKUP(B5674,'HSD UPAH,BAHAN,ALAT'!$C$6:F5095,4,FALSE)</f>
        <v>100000</v>
      </c>
      <c r="G5674" s="87">
        <f t="shared" ref="G5674:G5675" si="723">E5674*F5674</f>
        <v>40</v>
      </c>
    </row>
    <row r="5675" spans="1:7">
      <c r="A5675" s="8">
        <v>2</v>
      </c>
      <c r="B5675" s="1" t="s">
        <v>13</v>
      </c>
      <c r="C5675" s="8" t="s">
        <v>14</v>
      </c>
      <c r="D5675" s="9" t="s">
        <v>8</v>
      </c>
      <c r="E5675" s="10" t="s">
        <v>126</v>
      </c>
      <c r="F5675" s="86">
        <f>VLOOKUP(B5675,'HSD UPAH,BAHAN,ALAT'!$C$6:F5096,4,FALSE)</f>
        <v>100000</v>
      </c>
      <c r="G5675" s="87">
        <f t="shared" si="723"/>
        <v>20</v>
      </c>
    </row>
    <row r="5676" spans="1:7">
      <c r="A5676" s="261" t="s">
        <v>420</v>
      </c>
      <c r="B5676" s="261"/>
      <c r="C5676" s="261"/>
      <c r="D5676" s="261"/>
      <c r="E5676" s="261"/>
      <c r="F5676" s="261"/>
      <c r="G5676" s="85">
        <f>SUM(G5673:G5675)</f>
        <v>60</v>
      </c>
    </row>
    <row r="5677" spans="1:7">
      <c r="A5677" s="8" t="s">
        <v>16</v>
      </c>
      <c r="B5677" s="1" t="s">
        <v>17</v>
      </c>
      <c r="C5677" s="8"/>
      <c r="D5677" s="9"/>
      <c r="E5677" s="19"/>
      <c r="F5677" s="2"/>
      <c r="G5677" s="2"/>
    </row>
    <row r="5678" spans="1:7">
      <c r="A5678" s="8">
        <v>1</v>
      </c>
      <c r="B5678" s="1" t="s">
        <v>154</v>
      </c>
      <c r="C5678" s="8"/>
      <c r="D5678" s="9" t="s">
        <v>120</v>
      </c>
      <c r="E5678" s="10" t="s">
        <v>25</v>
      </c>
      <c r="F5678" s="86">
        <f>VLOOKUP(B5678,'HSD UPAH,BAHAN,ALAT'!$C$6:F5099,4,FALSE)</f>
        <v>10000</v>
      </c>
      <c r="G5678" s="87">
        <f t="shared" ref="G5678" si="724">E5678*F5678</f>
        <v>60000</v>
      </c>
    </row>
    <row r="5679" spans="1:7">
      <c r="A5679" s="261" t="s">
        <v>421</v>
      </c>
      <c r="B5679" s="261"/>
      <c r="C5679" s="261"/>
      <c r="D5679" s="261"/>
      <c r="E5679" s="261"/>
      <c r="F5679" s="261"/>
      <c r="G5679" s="85">
        <f>SUM(G5678:G5678)</f>
        <v>60000</v>
      </c>
    </row>
    <row r="5680" spans="1:7">
      <c r="A5680" s="8" t="s">
        <v>36</v>
      </c>
      <c r="B5680" s="1" t="s">
        <v>37</v>
      </c>
      <c r="C5680" s="8"/>
      <c r="D5680" s="9"/>
      <c r="E5680" s="19"/>
      <c r="F5680" s="2"/>
      <c r="G5680" s="2"/>
    </row>
    <row r="5681" spans="1:7">
      <c r="A5681" s="8">
        <v>1</v>
      </c>
      <c r="B5681" s="1" t="s">
        <v>385</v>
      </c>
      <c r="C5681" s="8"/>
      <c r="D5681" s="9" t="s">
        <v>122</v>
      </c>
      <c r="E5681" s="10" t="s">
        <v>98</v>
      </c>
      <c r="F5681" s="86">
        <f>VLOOKUP(B5681,'HSD UPAH,BAHAN,ALAT'!$C$6:F5102,4,FALSE)</f>
        <v>10000</v>
      </c>
      <c r="G5681" s="87">
        <f t="shared" ref="G5681" si="725">E5681*F5681</f>
        <v>5</v>
      </c>
    </row>
    <row r="5682" spans="1:7">
      <c r="A5682" s="263" t="s">
        <v>419</v>
      </c>
      <c r="B5682" s="263"/>
      <c r="C5682" s="263"/>
      <c r="D5682" s="263"/>
      <c r="E5682" s="263"/>
      <c r="F5682" s="263"/>
      <c r="G5682" s="80">
        <f>SUM(G5681)</f>
        <v>5</v>
      </c>
    </row>
    <row r="5683" spans="1:7">
      <c r="A5683" s="81" t="s">
        <v>38</v>
      </c>
      <c r="B5683" s="262" t="s">
        <v>39</v>
      </c>
      <c r="C5683" s="262"/>
      <c r="D5683" s="262"/>
      <c r="E5683" s="262"/>
      <c r="F5683" s="262"/>
      <c r="G5683" s="118">
        <f>SUM(G5673:G5682)/2</f>
        <v>60065</v>
      </c>
    </row>
    <row r="5684" spans="1:7">
      <c r="A5684" s="81" t="s">
        <v>40</v>
      </c>
      <c r="B5684" s="262" t="s">
        <v>180</v>
      </c>
      <c r="C5684" s="262"/>
      <c r="D5684" s="262"/>
      <c r="E5684" s="262"/>
      <c r="F5684" s="82">
        <v>0.1</v>
      </c>
      <c r="G5684" s="80">
        <f>G5683*F5684</f>
        <v>6006.5</v>
      </c>
    </row>
    <row r="5685" spans="1:7">
      <c r="A5685" s="81" t="s">
        <v>41</v>
      </c>
      <c r="B5685" s="262" t="s">
        <v>42</v>
      </c>
      <c r="C5685" s="262"/>
      <c r="D5685" s="262"/>
      <c r="E5685" s="262"/>
      <c r="F5685" s="262"/>
      <c r="G5685" s="80">
        <f>G5683+G5684</f>
        <v>66071.5</v>
      </c>
    </row>
    <row r="5686" spans="1:7">
      <c r="A5686" s="90"/>
      <c r="B5686" s="91"/>
      <c r="C5686" s="91"/>
      <c r="D5686" s="91"/>
      <c r="E5686" s="91"/>
      <c r="F5686" s="91"/>
      <c r="G5686" s="92"/>
    </row>
    <row r="5687" spans="1:7">
      <c r="A5687" s="4" t="s">
        <v>651</v>
      </c>
      <c r="B5687" s="91"/>
      <c r="C5687" s="91"/>
      <c r="D5687" s="91"/>
      <c r="E5687" s="91"/>
      <c r="F5687" s="91"/>
      <c r="G5687" s="92"/>
    </row>
    <row r="5688" spans="1:7" ht="30">
      <c r="A5688" s="79" t="s">
        <v>0</v>
      </c>
      <c r="B5688" s="79" t="s">
        <v>1</v>
      </c>
      <c r="C5688" s="79" t="s">
        <v>207</v>
      </c>
      <c r="D5688" s="79" t="s">
        <v>3</v>
      </c>
      <c r="E5688" s="79" t="s">
        <v>2</v>
      </c>
      <c r="F5688" s="79" t="s">
        <v>417</v>
      </c>
      <c r="G5688" s="79" t="s">
        <v>418</v>
      </c>
    </row>
    <row r="5689" spans="1:7">
      <c r="A5689" s="8" t="s">
        <v>4</v>
      </c>
      <c r="B5689" s="1" t="s">
        <v>5</v>
      </c>
      <c r="C5689" s="8"/>
      <c r="D5689" s="9"/>
      <c r="E5689" s="19"/>
      <c r="F5689" s="2"/>
      <c r="G5689" s="2"/>
    </row>
    <row r="5690" spans="1:7">
      <c r="A5690" s="8">
        <v>1</v>
      </c>
      <c r="B5690" s="1" t="s">
        <v>48</v>
      </c>
      <c r="C5690" s="8" t="s">
        <v>49</v>
      </c>
      <c r="D5690" s="9" t="s">
        <v>8</v>
      </c>
      <c r="E5690" s="10" t="s">
        <v>129</v>
      </c>
      <c r="F5690" s="86">
        <f>VLOOKUP(B5690,'HSD UPAH,BAHAN,ALAT'!$C$6:F5109,4,FALSE)</f>
        <v>100000</v>
      </c>
      <c r="G5690" s="87">
        <f t="shared" ref="G5690:G5691" si="726">E5690*F5690</f>
        <v>40</v>
      </c>
    </row>
    <row r="5691" spans="1:7">
      <c r="A5691" s="8">
        <v>2</v>
      </c>
      <c r="B5691" s="1" t="s">
        <v>13</v>
      </c>
      <c r="C5691" s="8" t="s">
        <v>14</v>
      </c>
      <c r="D5691" s="9" t="s">
        <v>8</v>
      </c>
      <c r="E5691" s="10" t="s">
        <v>126</v>
      </c>
      <c r="F5691" s="86">
        <f>VLOOKUP(B5691,'HSD UPAH,BAHAN,ALAT'!$C$6:F5110,4,FALSE)</f>
        <v>100000</v>
      </c>
      <c r="G5691" s="87">
        <f t="shared" si="726"/>
        <v>20</v>
      </c>
    </row>
    <row r="5692" spans="1:7">
      <c r="A5692" s="261" t="s">
        <v>420</v>
      </c>
      <c r="B5692" s="261"/>
      <c r="C5692" s="261"/>
      <c r="D5692" s="261"/>
      <c r="E5692" s="261"/>
      <c r="F5692" s="261"/>
      <c r="G5692" s="85">
        <f>SUM(G5689:G5691)</f>
        <v>60</v>
      </c>
    </row>
    <row r="5693" spans="1:7">
      <c r="A5693" s="8" t="s">
        <v>16</v>
      </c>
      <c r="B5693" s="1" t="s">
        <v>17</v>
      </c>
      <c r="C5693" s="8"/>
      <c r="D5693" s="9"/>
      <c r="E5693" s="19"/>
      <c r="F5693" s="2"/>
      <c r="G5693" s="2"/>
    </row>
    <row r="5694" spans="1:7">
      <c r="A5694" s="8">
        <v>1</v>
      </c>
      <c r="B5694" s="1" t="s">
        <v>154</v>
      </c>
      <c r="C5694" s="8"/>
      <c r="D5694" s="9" t="s">
        <v>120</v>
      </c>
      <c r="E5694" s="10" t="s">
        <v>161</v>
      </c>
      <c r="F5694" s="86">
        <f>VLOOKUP(B5694,'HSD UPAH,BAHAN,ALAT'!$C$6:F5113,4,FALSE)</f>
        <v>10000</v>
      </c>
      <c r="G5694" s="87">
        <f t="shared" ref="G5694" si="727">E5694*F5694</f>
        <v>80000</v>
      </c>
    </row>
    <row r="5695" spans="1:7">
      <c r="A5695" s="261" t="s">
        <v>421</v>
      </c>
      <c r="B5695" s="261"/>
      <c r="C5695" s="261"/>
      <c r="D5695" s="261"/>
      <c r="E5695" s="261"/>
      <c r="F5695" s="261"/>
      <c r="G5695" s="85">
        <f>SUM(G5694:G5694)</f>
        <v>80000</v>
      </c>
    </row>
    <row r="5696" spans="1:7">
      <c r="A5696" s="8" t="s">
        <v>36</v>
      </c>
      <c r="B5696" s="1" t="s">
        <v>37</v>
      </c>
      <c r="C5696" s="8"/>
      <c r="D5696" s="9"/>
      <c r="E5696" s="19"/>
      <c r="F5696" s="2"/>
      <c r="G5696" s="2"/>
    </row>
    <row r="5697" spans="1:7">
      <c r="A5697" s="8">
        <v>1</v>
      </c>
      <c r="B5697" s="1" t="s">
        <v>385</v>
      </c>
      <c r="C5697" s="8"/>
      <c r="D5697" s="9" t="s">
        <v>122</v>
      </c>
      <c r="E5697" s="10" t="s">
        <v>98</v>
      </c>
      <c r="F5697" s="86">
        <f>VLOOKUP(B5697,'HSD UPAH,BAHAN,ALAT'!$C$6:F5116,4,FALSE)</f>
        <v>10000</v>
      </c>
      <c r="G5697" s="87">
        <f t="shared" ref="G5697" si="728">E5697*F5697</f>
        <v>5</v>
      </c>
    </row>
    <row r="5698" spans="1:7">
      <c r="A5698" s="263" t="s">
        <v>419</v>
      </c>
      <c r="B5698" s="263"/>
      <c r="C5698" s="263"/>
      <c r="D5698" s="263"/>
      <c r="E5698" s="263"/>
      <c r="F5698" s="263"/>
      <c r="G5698" s="80">
        <f>SUM(G5697)</f>
        <v>5</v>
      </c>
    </row>
    <row r="5699" spans="1:7">
      <c r="A5699" s="81" t="s">
        <v>38</v>
      </c>
      <c r="B5699" s="262" t="s">
        <v>39</v>
      </c>
      <c r="C5699" s="262"/>
      <c r="D5699" s="262"/>
      <c r="E5699" s="262"/>
      <c r="F5699" s="262"/>
      <c r="G5699" s="118">
        <f>SUM(G5689:G5698)/2</f>
        <v>80065</v>
      </c>
    </row>
    <row r="5700" spans="1:7">
      <c r="A5700" s="81" t="s">
        <v>40</v>
      </c>
      <c r="B5700" s="262" t="s">
        <v>180</v>
      </c>
      <c r="C5700" s="262"/>
      <c r="D5700" s="262"/>
      <c r="E5700" s="262"/>
      <c r="F5700" s="82">
        <v>0.1</v>
      </c>
      <c r="G5700" s="80">
        <f>G5699*F5700</f>
        <v>8006.5</v>
      </c>
    </row>
    <row r="5701" spans="1:7">
      <c r="A5701" s="81" t="s">
        <v>41</v>
      </c>
      <c r="B5701" s="262" t="s">
        <v>42</v>
      </c>
      <c r="C5701" s="262"/>
      <c r="D5701" s="262"/>
      <c r="E5701" s="262"/>
      <c r="F5701" s="262"/>
      <c r="G5701" s="80">
        <f>G5699+G5700</f>
        <v>88071.5</v>
      </c>
    </row>
    <row r="5702" spans="1:7">
      <c r="A5702" s="90"/>
      <c r="B5702" s="91"/>
      <c r="C5702" s="91"/>
      <c r="D5702" s="91"/>
      <c r="E5702" s="91"/>
      <c r="F5702" s="91"/>
      <c r="G5702" s="92"/>
    </row>
    <row r="5703" spans="1:7">
      <c r="A5703" s="4" t="s">
        <v>652</v>
      </c>
      <c r="B5703" s="91"/>
      <c r="C5703" s="91"/>
      <c r="D5703" s="91"/>
      <c r="E5703" s="91"/>
      <c r="F5703" s="91"/>
      <c r="G5703" s="92"/>
    </row>
    <row r="5704" spans="1:7" ht="30">
      <c r="A5704" s="79" t="s">
        <v>0</v>
      </c>
      <c r="B5704" s="79" t="s">
        <v>1</v>
      </c>
      <c r="C5704" s="79" t="s">
        <v>207</v>
      </c>
      <c r="D5704" s="79" t="s">
        <v>3</v>
      </c>
      <c r="E5704" s="79" t="s">
        <v>2</v>
      </c>
      <c r="F5704" s="79" t="s">
        <v>417</v>
      </c>
      <c r="G5704" s="79" t="s">
        <v>418</v>
      </c>
    </row>
    <row r="5705" spans="1:7">
      <c r="A5705" s="8" t="s">
        <v>4</v>
      </c>
      <c r="B5705" s="1" t="s">
        <v>5</v>
      </c>
      <c r="C5705" s="8"/>
      <c r="D5705" s="9"/>
      <c r="E5705" s="19"/>
      <c r="F5705" s="2"/>
      <c r="G5705" s="2"/>
    </row>
    <row r="5706" spans="1:7">
      <c r="A5706" s="8">
        <v>1</v>
      </c>
      <c r="B5706" s="1" t="s">
        <v>48</v>
      </c>
      <c r="C5706" s="8" t="s">
        <v>49</v>
      </c>
      <c r="D5706" s="9" t="s">
        <v>8</v>
      </c>
      <c r="E5706" s="10" t="s">
        <v>159</v>
      </c>
      <c r="F5706" s="86">
        <f>VLOOKUP(B5706,'HSD UPAH,BAHAN,ALAT'!$C$6:F5123,4,FALSE)</f>
        <v>100000</v>
      </c>
      <c r="G5706" s="87">
        <f t="shared" ref="G5706:G5707" si="729">E5706*F5706</f>
        <v>27</v>
      </c>
    </row>
    <row r="5707" spans="1:7">
      <c r="A5707" s="8">
        <v>2</v>
      </c>
      <c r="B5707" s="1" t="s">
        <v>13</v>
      </c>
      <c r="C5707" s="8" t="s">
        <v>14</v>
      </c>
      <c r="D5707" s="9" t="s">
        <v>8</v>
      </c>
      <c r="E5707" s="10" t="s">
        <v>160</v>
      </c>
      <c r="F5707" s="86">
        <f>VLOOKUP(B5707,'HSD UPAH,BAHAN,ALAT'!$C$6:F5124,4,FALSE)</f>
        <v>100000</v>
      </c>
      <c r="G5707" s="87">
        <f t="shared" si="729"/>
        <v>1.2999999999999998</v>
      </c>
    </row>
    <row r="5708" spans="1:7">
      <c r="A5708" s="261" t="s">
        <v>420</v>
      </c>
      <c r="B5708" s="261"/>
      <c r="C5708" s="261"/>
      <c r="D5708" s="261"/>
      <c r="E5708" s="261"/>
      <c r="F5708" s="261"/>
      <c r="G5708" s="85">
        <f>SUM(G5705:G5707)</f>
        <v>28.3</v>
      </c>
    </row>
    <row r="5709" spans="1:7">
      <c r="A5709" s="8" t="s">
        <v>16</v>
      </c>
      <c r="B5709" s="1" t="s">
        <v>17</v>
      </c>
      <c r="C5709" s="8"/>
      <c r="D5709" s="9"/>
      <c r="E5709" s="19"/>
      <c r="F5709" s="2"/>
      <c r="G5709" s="2"/>
    </row>
    <row r="5710" spans="1:7">
      <c r="A5710" s="8">
        <v>1</v>
      </c>
      <c r="B5710" s="1" t="s">
        <v>154</v>
      </c>
      <c r="C5710" s="8"/>
      <c r="D5710" s="9" t="s">
        <v>120</v>
      </c>
      <c r="E5710" s="10" t="s">
        <v>25</v>
      </c>
      <c r="F5710" s="86">
        <f>VLOOKUP(B5710,'HSD UPAH,BAHAN,ALAT'!$C$6:F5127,4,FALSE)</f>
        <v>10000</v>
      </c>
      <c r="G5710" s="87">
        <f t="shared" ref="G5710" si="730">E5710*F5710</f>
        <v>60000</v>
      </c>
    </row>
    <row r="5711" spans="1:7">
      <c r="A5711" s="261" t="s">
        <v>421</v>
      </c>
      <c r="B5711" s="261"/>
      <c r="C5711" s="261"/>
      <c r="D5711" s="261"/>
      <c r="E5711" s="261"/>
      <c r="F5711" s="261"/>
      <c r="G5711" s="85">
        <f>SUM(G5710:G5710)</f>
        <v>60000</v>
      </c>
    </row>
    <row r="5712" spans="1:7">
      <c r="A5712" s="8" t="s">
        <v>36</v>
      </c>
      <c r="B5712" s="1" t="s">
        <v>37</v>
      </c>
      <c r="C5712" s="8"/>
      <c r="D5712" s="9"/>
      <c r="E5712" s="19"/>
      <c r="F5712" s="2"/>
      <c r="G5712" s="2"/>
    </row>
    <row r="5713" spans="1:7">
      <c r="A5713" s="8">
        <v>1</v>
      </c>
      <c r="B5713" s="1" t="s">
        <v>385</v>
      </c>
      <c r="C5713" s="8"/>
      <c r="D5713" s="9" t="s">
        <v>122</v>
      </c>
      <c r="E5713" s="10" t="s">
        <v>98</v>
      </c>
      <c r="F5713" s="86">
        <f>VLOOKUP(B5713,'HSD UPAH,BAHAN,ALAT'!$C$6:F5130,4,FALSE)</f>
        <v>10000</v>
      </c>
      <c r="G5713" s="87">
        <f t="shared" ref="G5713" si="731">E5713*F5713</f>
        <v>5</v>
      </c>
    </row>
    <row r="5714" spans="1:7">
      <c r="A5714" s="263" t="s">
        <v>419</v>
      </c>
      <c r="B5714" s="263"/>
      <c r="C5714" s="263"/>
      <c r="D5714" s="263"/>
      <c r="E5714" s="263"/>
      <c r="F5714" s="263"/>
      <c r="G5714" s="80">
        <f>SUM(G5713)</f>
        <v>5</v>
      </c>
    </row>
    <row r="5715" spans="1:7">
      <c r="A5715" s="81" t="s">
        <v>38</v>
      </c>
      <c r="B5715" s="262" t="s">
        <v>39</v>
      </c>
      <c r="C5715" s="262"/>
      <c r="D5715" s="262"/>
      <c r="E5715" s="262"/>
      <c r="F5715" s="262"/>
      <c r="G5715" s="118">
        <f>SUM(G5705:G5714)/2</f>
        <v>60033.3</v>
      </c>
    </row>
    <row r="5716" spans="1:7">
      <c r="A5716" s="81" t="s">
        <v>40</v>
      </c>
      <c r="B5716" s="262" t="s">
        <v>180</v>
      </c>
      <c r="C5716" s="262"/>
      <c r="D5716" s="262"/>
      <c r="E5716" s="262"/>
      <c r="F5716" s="82">
        <v>0.1</v>
      </c>
      <c r="G5716" s="80">
        <f>G5715*F5716</f>
        <v>6003.3300000000008</v>
      </c>
    </row>
    <row r="5717" spans="1:7">
      <c r="A5717" s="81" t="s">
        <v>41</v>
      </c>
      <c r="B5717" s="262" t="s">
        <v>42</v>
      </c>
      <c r="C5717" s="262"/>
      <c r="D5717" s="262"/>
      <c r="E5717" s="262"/>
      <c r="F5717" s="262"/>
      <c r="G5717" s="80">
        <f>G5715+G5716</f>
        <v>66036.63</v>
      </c>
    </row>
    <row r="5718" spans="1:7">
      <c r="A5718" s="90"/>
      <c r="B5718" s="91"/>
      <c r="C5718" s="91"/>
      <c r="D5718" s="91"/>
      <c r="E5718" s="91"/>
      <c r="F5718" s="91"/>
      <c r="G5718" s="92"/>
    </row>
    <row r="5719" spans="1:7">
      <c r="A5719" s="97" t="s">
        <v>653</v>
      </c>
      <c r="B5719" s="91"/>
      <c r="C5719" s="91"/>
      <c r="D5719" s="91"/>
      <c r="E5719" s="91"/>
      <c r="F5719" s="91"/>
      <c r="G5719" s="92"/>
    </row>
    <row r="5720" spans="1:7" ht="30">
      <c r="A5720" s="79" t="s">
        <v>0</v>
      </c>
      <c r="B5720" s="79" t="s">
        <v>1</v>
      </c>
      <c r="C5720" s="79" t="s">
        <v>207</v>
      </c>
      <c r="D5720" s="79" t="s">
        <v>3</v>
      </c>
      <c r="E5720" s="79" t="s">
        <v>2</v>
      </c>
      <c r="F5720" s="79" t="s">
        <v>417</v>
      </c>
      <c r="G5720" s="79" t="s">
        <v>418</v>
      </c>
    </row>
    <row r="5721" spans="1:7">
      <c r="A5721" s="8" t="s">
        <v>4</v>
      </c>
      <c r="B5721" s="1" t="s">
        <v>5</v>
      </c>
      <c r="C5721" s="8"/>
      <c r="D5721" s="9"/>
      <c r="E5721" s="19"/>
      <c r="F5721" s="2"/>
      <c r="G5721" s="2"/>
    </row>
    <row r="5722" spans="1:7">
      <c r="A5722" s="8">
        <v>1</v>
      </c>
      <c r="B5722" s="1" t="s">
        <v>48</v>
      </c>
      <c r="C5722" s="8" t="s">
        <v>49</v>
      </c>
      <c r="D5722" s="9" t="s">
        <v>8</v>
      </c>
      <c r="E5722" s="10" t="s">
        <v>159</v>
      </c>
      <c r="F5722" s="86">
        <f>VLOOKUP(B5722,'HSD UPAH,BAHAN,ALAT'!$C$6:F5137,4,FALSE)</f>
        <v>100000</v>
      </c>
      <c r="G5722" s="87">
        <f t="shared" ref="G5722:G5723" si="732">E5722*F5722</f>
        <v>27</v>
      </c>
    </row>
    <row r="5723" spans="1:7">
      <c r="A5723" s="8">
        <v>2</v>
      </c>
      <c r="B5723" s="1" t="s">
        <v>13</v>
      </c>
      <c r="C5723" s="8" t="s">
        <v>14</v>
      </c>
      <c r="D5723" s="9" t="s">
        <v>8</v>
      </c>
      <c r="E5723" s="10" t="s">
        <v>160</v>
      </c>
      <c r="F5723" s="86">
        <f>VLOOKUP(B5723,'HSD UPAH,BAHAN,ALAT'!$C$6:F5138,4,FALSE)</f>
        <v>100000</v>
      </c>
      <c r="G5723" s="87">
        <f t="shared" si="732"/>
        <v>1.2999999999999998</v>
      </c>
    </row>
    <row r="5724" spans="1:7">
      <c r="A5724" s="261" t="s">
        <v>420</v>
      </c>
      <c r="B5724" s="261"/>
      <c r="C5724" s="261"/>
      <c r="D5724" s="261"/>
      <c r="E5724" s="261"/>
      <c r="F5724" s="261"/>
      <c r="G5724" s="85">
        <f>SUM(G5721:G5723)</f>
        <v>28.3</v>
      </c>
    </row>
    <row r="5725" spans="1:7">
      <c r="A5725" s="8" t="s">
        <v>16</v>
      </c>
      <c r="B5725" s="1" t="s">
        <v>17</v>
      </c>
      <c r="C5725" s="8"/>
      <c r="D5725" s="9"/>
      <c r="E5725" s="19"/>
      <c r="F5725" s="2"/>
      <c r="G5725" s="2"/>
    </row>
    <row r="5726" spans="1:7">
      <c r="A5726" s="8">
        <v>1</v>
      </c>
      <c r="B5726" s="1" t="s">
        <v>154</v>
      </c>
      <c r="C5726" s="8"/>
      <c r="D5726" s="9" t="s">
        <v>120</v>
      </c>
      <c r="E5726" s="10" t="s">
        <v>161</v>
      </c>
      <c r="F5726" s="86">
        <f>VLOOKUP(B5726,'HSD UPAH,BAHAN,ALAT'!$C$6:F5141,4,FALSE)</f>
        <v>10000</v>
      </c>
      <c r="G5726" s="87">
        <f t="shared" ref="G5726" si="733">E5726*F5726</f>
        <v>80000</v>
      </c>
    </row>
    <row r="5727" spans="1:7">
      <c r="A5727" s="261" t="s">
        <v>421</v>
      </c>
      <c r="B5727" s="261"/>
      <c r="C5727" s="261"/>
      <c r="D5727" s="261"/>
      <c r="E5727" s="261"/>
      <c r="F5727" s="261"/>
      <c r="G5727" s="85">
        <f>SUM(G5726:G5726)</f>
        <v>80000</v>
      </c>
    </row>
    <row r="5728" spans="1:7">
      <c r="A5728" s="8" t="s">
        <v>36</v>
      </c>
      <c r="B5728" s="1" t="s">
        <v>37</v>
      </c>
      <c r="C5728" s="8"/>
      <c r="D5728" s="9"/>
      <c r="E5728" s="19"/>
      <c r="F5728" s="2"/>
      <c r="G5728" s="2"/>
    </row>
    <row r="5729" spans="1:7">
      <c r="A5729" s="8">
        <v>1</v>
      </c>
      <c r="B5729" s="1" t="s">
        <v>385</v>
      </c>
      <c r="C5729" s="8"/>
      <c r="D5729" s="9" t="s">
        <v>122</v>
      </c>
      <c r="E5729" s="10" t="s">
        <v>98</v>
      </c>
      <c r="F5729" s="86">
        <f>VLOOKUP(B5729,'HSD UPAH,BAHAN,ALAT'!$C$6:F5144,4,FALSE)</f>
        <v>10000</v>
      </c>
      <c r="G5729" s="87">
        <f t="shared" ref="G5729" si="734">E5729*F5729</f>
        <v>5</v>
      </c>
    </row>
    <row r="5730" spans="1:7">
      <c r="A5730" s="263" t="s">
        <v>419</v>
      </c>
      <c r="B5730" s="263"/>
      <c r="C5730" s="263"/>
      <c r="D5730" s="263"/>
      <c r="E5730" s="263"/>
      <c r="F5730" s="263"/>
      <c r="G5730" s="80">
        <f>SUM(G5729)</f>
        <v>5</v>
      </c>
    </row>
    <row r="5731" spans="1:7">
      <c r="A5731" s="81" t="s">
        <v>38</v>
      </c>
      <c r="B5731" s="262" t="s">
        <v>39</v>
      </c>
      <c r="C5731" s="262"/>
      <c r="D5731" s="262"/>
      <c r="E5731" s="262"/>
      <c r="F5731" s="262"/>
      <c r="G5731" s="118">
        <f>SUM(G5721:G5730)/2</f>
        <v>80033.3</v>
      </c>
    </row>
    <row r="5732" spans="1:7">
      <c r="A5732" s="81" t="s">
        <v>40</v>
      </c>
      <c r="B5732" s="262" t="s">
        <v>180</v>
      </c>
      <c r="C5732" s="262"/>
      <c r="D5732" s="262"/>
      <c r="E5732" s="262"/>
      <c r="F5732" s="82">
        <v>0.1</v>
      </c>
      <c r="G5732" s="80">
        <f>G5731*F5732</f>
        <v>8003.3300000000008</v>
      </c>
    </row>
    <row r="5733" spans="1:7">
      <c r="A5733" s="81" t="s">
        <v>41</v>
      </c>
      <c r="B5733" s="262" t="s">
        <v>42</v>
      </c>
      <c r="C5733" s="262"/>
      <c r="D5733" s="262"/>
      <c r="E5733" s="262"/>
      <c r="F5733" s="262"/>
      <c r="G5733" s="80">
        <f>G5731+G5732</f>
        <v>88036.63</v>
      </c>
    </row>
    <row r="5734" spans="1:7">
      <c r="A5734" s="90"/>
      <c r="B5734" s="91"/>
      <c r="C5734" s="91"/>
      <c r="D5734" s="91"/>
      <c r="E5734" s="91"/>
      <c r="F5734" s="91"/>
      <c r="G5734" s="92"/>
    </row>
    <row r="5735" spans="1:7">
      <c r="A5735" s="4" t="s">
        <v>654</v>
      </c>
      <c r="B5735" s="91"/>
      <c r="C5735" s="91"/>
      <c r="D5735" s="91"/>
      <c r="E5735" s="91"/>
      <c r="F5735" s="91"/>
      <c r="G5735" s="92"/>
    </row>
    <row r="5736" spans="1:7" ht="30">
      <c r="A5736" s="79" t="s">
        <v>0</v>
      </c>
      <c r="B5736" s="79" t="s">
        <v>1</v>
      </c>
      <c r="C5736" s="79" t="s">
        <v>207</v>
      </c>
      <c r="D5736" s="79" t="s">
        <v>3</v>
      </c>
      <c r="E5736" s="79" t="s">
        <v>2</v>
      </c>
      <c r="F5736" s="79" t="s">
        <v>417</v>
      </c>
      <c r="G5736" s="79" t="s">
        <v>418</v>
      </c>
    </row>
    <row r="5737" spans="1:7">
      <c r="A5737" s="8" t="s">
        <v>4</v>
      </c>
      <c r="B5737" s="1" t="s">
        <v>5</v>
      </c>
      <c r="C5737" s="8"/>
      <c r="D5737" s="9"/>
      <c r="E5737" s="19"/>
      <c r="F5737" s="2"/>
      <c r="G5737" s="2"/>
    </row>
    <row r="5738" spans="1:7">
      <c r="A5738" s="8">
        <v>1</v>
      </c>
      <c r="B5738" s="1" t="s">
        <v>48</v>
      </c>
      <c r="C5738" s="8" t="s">
        <v>49</v>
      </c>
      <c r="D5738" s="9" t="s">
        <v>8</v>
      </c>
      <c r="E5738" s="10" t="s">
        <v>152</v>
      </c>
      <c r="F5738" s="86">
        <f>VLOOKUP(B5738,'HSD UPAH,BAHAN,ALAT'!$C$6:F5151,4,FALSE)</f>
        <v>100000</v>
      </c>
      <c r="G5738" s="87">
        <f t="shared" ref="G5738:G5739" si="735">E5738*F5738</f>
        <v>239.99999999999997</v>
      </c>
    </row>
    <row r="5739" spans="1:7">
      <c r="A5739" s="8">
        <v>2</v>
      </c>
      <c r="B5739" s="1" t="s">
        <v>13</v>
      </c>
      <c r="C5739" s="8" t="s">
        <v>14</v>
      </c>
      <c r="D5739" s="9" t="s">
        <v>8</v>
      </c>
      <c r="E5739" s="10" t="s">
        <v>153</v>
      </c>
      <c r="F5739" s="86">
        <f>VLOOKUP(B5739,'HSD UPAH,BAHAN,ALAT'!$C$6:F5152,4,FALSE)</f>
        <v>100000</v>
      </c>
      <c r="G5739" s="87">
        <f t="shared" si="735"/>
        <v>12</v>
      </c>
    </row>
    <row r="5740" spans="1:7">
      <c r="A5740" s="261" t="s">
        <v>420</v>
      </c>
      <c r="B5740" s="261"/>
      <c r="C5740" s="261"/>
      <c r="D5740" s="261"/>
      <c r="E5740" s="261"/>
      <c r="F5740" s="261"/>
      <c r="G5740" s="85">
        <f>SUM(G5737:G5739)</f>
        <v>251.99999999999997</v>
      </c>
    </row>
    <row r="5741" spans="1:7">
      <c r="A5741" s="8" t="s">
        <v>16</v>
      </c>
      <c r="B5741" s="1" t="s">
        <v>17</v>
      </c>
      <c r="C5741" s="8"/>
      <c r="D5741" s="9"/>
      <c r="E5741" s="19"/>
      <c r="F5741" s="2"/>
      <c r="G5741" s="2"/>
    </row>
    <row r="5742" spans="1:7">
      <c r="A5742" s="8">
        <v>1</v>
      </c>
      <c r="B5742" s="1" t="s">
        <v>154</v>
      </c>
      <c r="C5742" s="8"/>
      <c r="D5742" s="9" t="s">
        <v>120</v>
      </c>
      <c r="E5742" s="10" t="s">
        <v>57</v>
      </c>
      <c r="F5742" s="86">
        <f>VLOOKUP(B5742,'HSD UPAH,BAHAN,ALAT'!$C$6:F5155,4,FALSE)</f>
        <v>10000</v>
      </c>
      <c r="G5742" s="87">
        <f t="shared" ref="G5742" si="736">E5742*F5742</f>
        <v>100000</v>
      </c>
    </row>
    <row r="5743" spans="1:7">
      <c r="A5743" s="261" t="s">
        <v>421</v>
      </c>
      <c r="B5743" s="261"/>
      <c r="C5743" s="261"/>
      <c r="D5743" s="261"/>
      <c r="E5743" s="261"/>
      <c r="F5743" s="261"/>
      <c r="G5743" s="85">
        <f>SUM(G5742:G5742)</f>
        <v>100000</v>
      </c>
    </row>
    <row r="5744" spans="1:7">
      <c r="A5744" s="8" t="s">
        <v>36</v>
      </c>
      <c r="B5744" s="1" t="s">
        <v>37</v>
      </c>
      <c r="C5744" s="8"/>
      <c r="D5744" s="9"/>
      <c r="E5744" s="19"/>
      <c r="F5744" s="2"/>
      <c r="G5744" s="2"/>
    </row>
    <row r="5745" spans="1:7">
      <c r="A5745" s="8"/>
      <c r="B5745" s="1"/>
      <c r="C5745" s="8"/>
      <c r="D5745" s="9"/>
      <c r="E5745" s="19"/>
      <c r="F5745" s="2"/>
      <c r="G5745" s="2"/>
    </row>
    <row r="5746" spans="1:7">
      <c r="A5746" s="263" t="s">
        <v>419</v>
      </c>
      <c r="B5746" s="263"/>
      <c r="C5746" s="263"/>
      <c r="D5746" s="263"/>
      <c r="E5746" s="263"/>
      <c r="F5746" s="263"/>
      <c r="G5746" s="80">
        <f>SUM(G5745)</f>
        <v>0</v>
      </c>
    </row>
    <row r="5747" spans="1:7">
      <c r="A5747" s="81" t="s">
        <v>38</v>
      </c>
      <c r="B5747" s="262" t="s">
        <v>39</v>
      </c>
      <c r="C5747" s="262"/>
      <c r="D5747" s="262"/>
      <c r="E5747" s="262"/>
      <c r="F5747" s="262"/>
      <c r="G5747" s="118">
        <f>SUM(G5737:G5746)/2</f>
        <v>100252</v>
      </c>
    </row>
    <row r="5748" spans="1:7">
      <c r="A5748" s="81" t="s">
        <v>40</v>
      </c>
      <c r="B5748" s="262" t="s">
        <v>180</v>
      </c>
      <c r="C5748" s="262"/>
      <c r="D5748" s="262"/>
      <c r="E5748" s="262"/>
      <c r="F5748" s="82">
        <v>0.1</v>
      </c>
      <c r="G5748" s="80">
        <f>G5747*F5748</f>
        <v>10025.200000000001</v>
      </c>
    </row>
    <row r="5749" spans="1:7">
      <c r="A5749" s="81" t="s">
        <v>41</v>
      </c>
      <c r="B5749" s="262" t="s">
        <v>42</v>
      </c>
      <c r="C5749" s="262"/>
      <c r="D5749" s="262"/>
      <c r="E5749" s="262"/>
      <c r="F5749" s="262"/>
      <c r="G5749" s="80">
        <f>G5747+G5748</f>
        <v>110277.2</v>
      </c>
    </row>
    <row r="5750" spans="1:7">
      <c r="A5750" s="90"/>
      <c r="B5750" s="91"/>
      <c r="C5750" s="91"/>
      <c r="D5750" s="91"/>
      <c r="E5750" s="91"/>
      <c r="F5750" s="91"/>
      <c r="G5750" s="92"/>
    </row>
    <row r="5751" spans="1:7">
      <c r="A5751" s="4" t="s">
        <v>655</v>
      </c>
      <c r="B5751" s="91"/>
      <c r="C5751" s="91"/>
      <c r="D5751" s="91"/>
      <c r="E5751" s="91"/>
      <c r="F5751" s="91"/>
      <c r="G5751" s="92"/>
    </row>
    <row r="5752" spans="1:7" ht="30">
      <c r="A5752" s="79" t="s">
        <v>0</v>
      </c>
      <c r="B5752" s="79" t="s">
        <v>1</v>
      </c>
      <c r="C5752" s="79" t="s">
        <v>207</v>
      </c>
      <c r="D5752" s="79" t="s">
        <v>3</v>
      </c>
      <c r="E5752" s="79" t="s">
        <v>2</v>
      </c>
      <c r="F5752" s="79" t="s">
        <v>417</v>
      </c>
      <c r="G5752" s="79" t="s">
        <v>418</v>
      </c>
    </row>
    <row r="5753" spans="1:7">
      <c r="A5753" s="8" t="s">
        <v>4</v>
      </c>
      <c r="B5753" s="1" t="s">
        <v>5</v>
      </c>
      <c r="C5753" s="8"/>
      <c r="D5753" s="9"/>
      <c r="E5753" s="19"/>
      <c r="F5753" s="2"/>
      <c r="G5753" s="2"/>
    </row>
    <row r="5754" spans="1:7">
      <c r="A5754" s="8">
        <v>1</v>
      </c>
      <c r="B5754" s="1" t="s">
        <v>48</v>
      </c>
      <c r="C5754" s="8" t="s">
        <v>49</v>
      </c>
      <c r="D5754" s="9" t="s">
        <v>8</v>
      </c>
      <c r="E5754" s="10" t="s">
        <v>129</v>
      </c>
      <c r="F5754" s="86">
        <f>VLOOKUP(B5754,'HSD UPAH,BAHAN,ALAT'!$C$6:F5165,4,FALSE)</f>
        <v>100000</v>
      </c>
      <c r="G5754" s="87">
        <f t="shared" ref="G5754:G5755" si="737">E5754*F5754</f>
        <v>40</v>
      </c>
    </row>
    <row r="5755" spans="1:7">
      <c r="A5755" s="8">
        <v>2</v>
      </c>
      <c r="B5755" s="1" t="s">
        <v>13</v>
      </c>
      <c r="C5755" s="8" t="s">
        <v>14</v>
      </c>
      <c r="D5755" s="9" t="s">
        <v>8</v>
      </c>
      <c r="E5755" s="10" t="s">
        <v>126</v>
      </c>
      <c r="F5755" s="86">
        <f>VLOOKUP(B5755,'HSD UPAH,BAHAN,ALAT'!$C$6:F5166,4,FALSE)</f>
        <v>100000</v>
      </c>
      <c r="G5755" s="87">
        <f t="shared" si="737"/>
        <v>20</v>
      </c>
    </row>
    <row r="5756" spans="1:7">
      <c r="A5756" s="261" t="s">
        <v>420</v>
      </c>
      <c r="B5756" s="261"/>
      <c r="C5756" s="261"/>
      <c r="D5756" s="261"/>
      <c r="E5756" s="261"/>
      <c r="F5756" s="261"/>
      <c r="G5756" s="85">
        <f>SUM(G5753:G5755)</f>
        <v>60</v>
      </c>
    </row>
    <row r="5757" spans="1:7">
      <c r="A5757" s="8" t="s">
        <v>16</v>
      </c>
      <c r="B5757" s="1" t="s">
        <v>17</v>
      </c>
      <c r="C5757" s="8"/>
      <c r="D5757" s="9"/>
      <c r="E5757" s="19"/>
      <c r="F5757" s="2"/>
      <c r="G5757" s="2"/>
    </row>
    <row r="5758" spans="1:7">
      <c r="A5758" s="8">
        <v>1</v>
      </c>
      <c r="B5758" s="1" t="s">
        <v>154</v>
      </c>
      <c r="C5758" s="8"/>
      <c r="D5758" s="9" t="s">
        <v>120</v>
      </c>
      <c r="E5758" s="10" t="s">
        <v>25</v>
      </c>
      <c r="F5758" s="86">
        <f>VLOOKUP(B5758,'HSD UPAH,BAHAN,ALAT'!$C$6:F5169,4,FALSE)</f>
        <v>10000</v>
      </c>
      <c r="G5758" s="87">
        <f t="shared" ref="G5758" si="738">E5758*F5758</f>
        <v>60000</v>
      </c>
    </row>
    <row r="5759" spans="1:7">
      <c r="A5759" s="261" t="s">
        <v>421</v>
      </c>
      <c r="B5759" s="261"/>
      <c r="C5759" s="261"/>
      <c r="D5759" s="261"/>
      <c r="E5759" s="261"/>
      <c r="F5759" s="261"/>
      <c r="G5759" s="85">
        <f>SUM(G5758:G5758)</f>
        <v>60000</v>
      </c>
    </row>
    <row r="5760" spans="1:7">
      <c r="A5760" s="8" t="s">
        <v>36</v>
      </c>
      <c r="B5760" s="1" t="s">
        <v>37</v>
      </c>
      <c r="C5760" s="8"/>
      <c r="D5760" s="9"/>
      <c r="E5760" s="19"/>
      <c r="F5760" s="2"/>
      <c r="G5760" s="2"/>
    </row>
    <row r="5761" spans="1:7">
      <c r="A5761" s="8"/>
      <c r="B5761" s="1"/>
      <c r="C5761" s="8"/>
      <c r="D5761" s="9"/>
      <c r="E5761" s="19"/>
      <c r="F5761" s="2"/>
      <c r="G5761" s="2"/>
    </row>
    <row r="5762" spans="1:7">
      <c r="A5762" s="263" t="s">
        <v>419</v>
      </c>
      <c r="B5762" s="263"/>
      <c r="C5762" s="263"/>
      <c r="D5762" s="263"/>
      <c r="E5762" s="263"/>
      <c r="F5762" s="263"/>
      <c r="G5762" s="80">
        <f>SUM(G5761)</f>
        <v>0</v>
      </c>
    </row>
    <row r="5763" spans="1:7">
      <c r="A5763" s="81" t="s">
        <v>38</v>
      </c>
      <c r="B5763" s="262" t="s">
        <v>39</v>
      </c>
      <c r="C5763" s="262"/>
      <c r="D5763" s="262"/>
      <c r="E5763" s="262"/>
      <c r="F5763" s="262"/>
      <c r="G5763" s="118">
        <f>SUM(G5753:G5762)/2</f>
        <v>60060</v>
      </c>
    </row>
    <row r="5764" spans="1:7">
      <c r="A5764" s="81" t="s">
        <v>40</v>
      </c>
      <c r="B5764" s="262" t="s">
        <v>180</v>
      </c>
      <c r="C5764" s="262"/>
      <c r="D5764" s="262"/>
      <c r="E5764" s="262"/>
      <c r="F5764" s="82">
        <v>0.1</v>
      </c>
      <c r="G5764" s="80">
        <f>G5763*F5764</f>
        <v>6006</v>
      </c>
    </row>
    <row r="5765" spans="1:7">
      <c r="A5765" s="81" t="s">
        <v>41</v>
      </c>
      <c r="B5765" s="262" t="s">
        <v>42</v>
      </c>
      <c r="C5765" s="262"/>
      <c r="D5765" s="262"/>
      <c r="E5765" s="262"/>
      <c r="F5765" s="262"/>
      <c r="G5765" s="80">
        <f>G5763+G5764</f>
        <v>66066</v>
      </c>
    </row>
    <row r="5766" spans="1:7">
      <c r="A5766" s="90"/>
      <c r="B5766" s="91"/>
      <c r="C5766" s="91"/>
      <c r="D5766" s="91"/>
      <c r="E5766" s="91"/>
      <c r="F5766" s="91"/>
      <c r="G5766" s="92"/>
    </row>
    <row r="5767" spans="1:7">
      <c r="A5767" s="4" t="s">
        <v>656</v>
      </c>
      <c r="B5767" s="91"/>
      <c r="C5767" s="91"/>
      <c r="D5767" s="91"/>
      <c r="E5767" s="91"/>
      <c r="F5767" s="91"/>
      <c r="G5767" s="92"/>
    </row>
    <row r="5768" spans="1:7" ht="30">
      <c r="A5768" s="79" t="s">
        <v>0</v>
      </c>
      <c r="B5768" s="79" t="s">
        <v>1</v>
      </c>
      <c r="C5768" s="79" t="s">
        <v>207</v>
      </c>
      <c r="D5768" s="79" t="s">
        <v>3</v>
      </c>
      <c r="E5768" s="79" t="s">
        <v>2</v>
      </c>
      <c r="F5768" s="79" t="s">
        <v>417</v>
      </c>
      <c r="G5768" s="79" t="s">
        <v>418</v>
      </c>
    </row>
    <row r="5769" spans="1:7">
      <c r="A5769" s="8" t="s">
        <v>4</v>
      </c>
      <c r="B5769" s="1" t="s">
        <v>5</v>
      </c>
      <c r="C5769" s="8"/>
      <c r="D5769" s="9"/>
      <c r="E5769" s="19"/>
      <c r="F5769" s="2"/>
      <c r="G5769" s="2"/>
    </row>
    <row r="5770" spans="1:7">
      <c r="A5770" s="8">
        <v>1</v>
      </c>
      <c r="B5770" s="1" t="s">
        <v>48</v>
      </c>
      <c r="C5770" s="8" t="s">
        <v>49</v>
      </c>
      <c r="D5770" s="9" t="s">
        <v>8</v>
      </c>
      <c r="E5770" s="10" t="s">
        <v>129</v>
      </c>
      <c r="F5770" s="86">
        <f>VLOOKUP(B5770,'HSD UPAH,BAHAN,ALAT'!$C$6:F5179,4,FALSE)</f>
        <v>100000</v>
      </c>
      <c r="G5770" s="87">
        <f t="shared" ref="G5770:G5771" si="739">E5770*F5770</f>
        <v>40</v>
      </c>
    </row>
    <row r="5771" spans="1:7">
      <c r="A5771" s="8">
        <v>2</v>
      </c>
      <c r="B5771" s="1" t="s">
        <v>13</v>
      </c>
      <c r="C5771" s="8" t="s">
        <v>14</v>
      </c>
      <c r="D5771" s="9" t="s">
        <v>8</v>
      </c>
      <c r="E5771" s="10" t="s">
        <v>126</v>
      </c>
      <c r="F5771" s="86">
        <f>VLOOKUP(B5771,'HSD UPAH,BAHAN,ALAT'!$C$6:F5180,4,FALSE)</f>
        <v>100000</v>
      </c>
      <c r="G5771" s="87">
        <f t="shared" si="739"/>
        <v>20</v>
      </c>
    </row>
    <row r="5772" spans="1:7">
      <c r="A5772" s="261" t="s">
        <v>420</v>
      </c>
      <c r="B5772" s="261"/>
      <c r="C5772" s="261"/>
      <c r="D5772" s="261"/>
      <c r="E5772" s="261"/>
      <c r="F5772" s="261"/>
      <c r="G5772" s="85">
        <f>SUM(G5769:G5771)</f>
        <v>60</v>
      </c>
    </row>
    <row r="5773" spans="1:7">
      <c r="A5773" s="8" t="s">
        <v>16</v>
      </c>
      <c r="B5773" s="1" t="s">
        <v>17</v>
      </c>
      <c r="C5773" s="8"/>
      <c r="D5773" s="9"/>
      <c r="E5773" s="19"/>
      <c r="F5773" s="2"/>
      <c r="G5773" s="2"/>
    </row>
    <row r="5774" spans="1:7">
      <c r="A5774" s="8">
        <v>1</v>
      </c>
      <c r="B5774" s="1" t="s">
        <v>154</v>
      </c>
      <c r="C5774" s="8"/>
      <c r="D5774" s="9" t="s">
        <v>120</v>
      </c>
      <c r="E5774" s="10" t="s">
        <v>161</v>
      </c>
      <c r="F5774" s="86">
        <f>VLOOKUP(B5774,'HSD UPAH,BAHAN,ALAT'!$C$6:F5183,4,FALSE)</f>
        <v>10000</v>
      </c>
      <c r="G5774" s="87">
        <f t="shared" ref="G5774" si="740">E5774*F5774</f>
        <v>80000</v>
      </c>
    </row>
    <row r="5775" spans="1:7">
      <c r="A5775" s="261" t="s">
        <v>421</v>
      </c>
      <c r="B5775" s="261"/>
      <c r="C5775" s="261"/>
      <c r="D5775" s="261"/>
      <c r="E5775" s="261"/>
      <c r="F5775" s="261"/>
      <c r="G5775" s="85">
        <f>SUM(G5774:G5774)</f>
        <v>80000</v>
      </c>
    </row>
    <row r="5776" spans="1:7">
      <c r="A5776" s="8" t="s">
        <v>36</v>
      </c>
      <c r="B5776" s="1" t="s">
        <v>37</v>
      </c>
      <c r="C5776" s="8"/>
      <c r="D5776" s="9"/>
      <c r="E5776" s="19"/>
      <c r="F5776" s="2"/>
      <c r="G5776" s="2"/>
    </row>
    <row r="5777" spans="1:7">
      <c r="A5777" s="8"/>
      <c r="B5777" s="1"/>
      <c r="C5777" s="8"/>
      <c r="D5777" s="9"/>
      <c r="E5777" s="19"/>
      <c r="F5777" s="2"/>
      <c r="G5777" s="2"/>
    </row>
    <row r="5778" spans="1:7">
      <c r="A5778" s="263" t="s">
        <v>419</v>
      </c>
      <c r="B5778" s="263"/>
      <c r="C5778" s="263"/>
      <c r="D5778" s="263"/>
      <c r="E5778" s="263"/>
      <c r="F5778" s="263"/>
      <c r="G5778" s="80">
        <f>SUM(G5777)</f>
        <v>0</v>
      </c>
    </row>
    <row r="5779" spans="1:7">
      <c r="A5779" s="81" t="s">
        <v>38</v>
      </c>
      <c r="B5779" s="262" t="s">
        <v>39</v>
      </c>
      <c r="C5779" s="262"/>
      <c r="D5779" s="262"/>
      <c r="E5779" s="262"/>
      <c r="F5779" s="262"/>
      <c r="G5779" s="118">
        <f>SUM(G5769:G5778)/2</f>
        <v>80060</v>
      </c>
    </row>
    <row r="5780" spans="1:7">
      <c r="A5780" s="81" t="s">
        <v>40</v>
      </c>
      <c r="B5780" s="262" t="s">
        <v>180</v>
      </c>
      <c r="C5780" s="262"/>
      <c r="D5780" s="262"/>
      <c r="E5780" s="262"/>
      <c r="F5780" s="82">
        <v>0.1</v>
      </c>
      <c r="G5780" s="80">
        <f>G5779*F5780</f>
        <v>8006</v>
      </c>
    </row>
    <row r="5781" spans="1:7">
      <c r="A5781" s="81" t="s">
        <v>41</v>
      </c>
      <c r="B5781" s="262" t="s">
        <v>42</v>
      </c>
      <c r="C5781" s="262"/>
      <c r="D5781" s="262"/>
      <c r="E5781" s="262"/>
      <c r="F5781" s="262"/>
      <c r="G5781" s="80">
        <f>G5779+G5780</f>
        <v>88066</v>
      </c>
    </row>
    <row r="5782" spans="1:7">
      <c r="A5782" s="90"/>
      <c r="B5782" s="91"/>
      <c r="C5782" s="91"/>
      <c r="D5782" s="91"/>
      <c r="E5782" s="91"/>
      <c r="F5782" s="91"/>
      <c r="G5782" s="92"/>
    </row>
    <row r="5783" spans="1:7">
      <c r="A5783" s="4" t="s">
        <v>657</v>
      </c>
      <c r="B5783" s="91"/>
      <c r="C5783" s="91"/>
      <c r="D5783" s="91"/>
      <c r="E5783" s="91"/>
      <c r="F5783" s="91"/>
      <c r="G5783" s="92"/>
    </row>
    <row r="5784" spans="1:7" ht="30">
      <c r="A5784" s="79" t="s">
        <v>0</v>
      </c>
      <c r="B5784" s="79" t="s">
        <v>1</v>
      </c>
      <c r="C5784" s="79" t="s">
        <v>207</v>
      </c>
      <c r="D5784" s="79" t="s">
        <v>3</v>
      </c>
      <c r="E5784" s="79" t="s">
        <v>2</v>
      </c>
      <c r="F5784" s="79" t="s">
        <v>417</v>
      </c>
      <c r="G5784" s="79" t="s">
        <v>418</v>
      </c>
    </row>
    <row r="5785" spans="1:7">
      <c r="A5785" s="8" t="s">
        <v>4</v>
      </c>
      <c r="B5785" s="1" t="s">
        <v>5</v>
      </c>
      <c r="C5785" s="8"/>
      <c r="D5785" s="9"/>
      <c r="E5785" s="19"/>
      <c r="F5785" s="2"/>
      <c r="G5785" s="2"/>
    </row>
    <row r="5786" spans="1:7">
      <c r="A5786" s="8">
        <v>1</v>
      </c>
      <c r="B5786" s="1" t="s">
        <v>48</v>
      </c>
      <c r="C5786" s="8" t="s">
        <v>49</v>
      </c>
      <c r="D5786" s="9" t="s">
        <v>8</v>
      </c>
      <c r="E5786" s="10" t="s">
        <v>159</v>
      </c>
      <c r="F5786" s="86">
        <f>VLOOKUP(B5786,'HSD UPAH,BAHAN,ALAT'!$C$6:F5193,4,FALSE)</f>
        <v>100000</v>
      </c>
      <c r="G5786" s="87">
        <f t="shared" ref="G5786:G5787" si="741">E5786*F5786</f>
        <v>27</v>
      </c>
    </row>
    <row r="5787" spans="1:7">
      <c r="A5787" s="8">
        <v>2</v>
      </c>
      <c r="B5787" s="1" t="s">
        <v>13</v>
      </c>
      <c r="C5787" s="8" t="s">
        <v>14</v>
      </c>
      <c r="D5787" s="9" t="s">
        <v>8</v>
      </c>
      <c r="E5787" s="10" t="s">
        <v>160</v>
      </c>
      <c r="F5787" s="86">
        <f>VLOOKUP(B5787,'HSD UPAH,BAHAN,ALAT'!$C$6:F5194,4,FALSE)</f>
        <v>100000</v>
      </c>
      <c r="G5787" s="87">
        <f t="shared" si="741"/>
        <v>1.2999999999999998</v>
      </c>
    </row>
    <row r="5788" spans="1:7">
      <c r="A5788" s="261" t="s">
        <v>420</v>
      </c>
      <c r="B5788" s="261"/>
      <c r="C5788" s="261"/>
      <c r="D5788" s="261"/>
      <c r="E5788" s="261"/>
      <c r="F5788" s="261"/>
      <c r="G5788" s="85">
        <f>SUM(G5785:G5787)</f>
        <v>28.3</v>
      </c>
    </row>
    <row r="5789" spans="1:7">
      <c r="A5789" s="8" t="s">
        <v>16</v>
      </c>
      <c r="B5789" s="1" t="s">
        <v>17</v>
      </c>
      <c r="C5789" s="8"/>
      <c r="D5789" s="9"/>
      <c r="E5789" s="19"/>
      <c r="F5789" s="2"/>
      <c r="G5789" s="2"/>
    </row>
    <row r="5790" spans="1:7">
      <c r="A5790" s="8">
        <v>1</v>
      </c>
      <c r="B5790" s="1" t="s">
        <v>154</v>
      </c>
      <c r="C5790" s="8"/>
      <c r="D5790" s="9" t="s">
        <v>120</v>
      </c>
      <c r="E5790" s="10" t="s">
        <v>25</v>
      </c>
      <c r="F5790" s="86">
        <f>VLOOKUP(B5790,'HSD UPAH,BAHAN,ALAT'!$C$6:F5197,4,FALSE)</f>
        <v>10000</v>
      </c>
      <c r="G5790" s="87">
        <f t="shared" ref="G5790" si="742">E5790*F5790</f>
        <v>60000</v>
      </c>
    </row>
    <row r="5791" spans="1:7">
      <c r="A5791" s="261" t="s">
        <v>421</v>
      </c>
      <c r="B5791" s="261"/>
      <c r="C5791" s="261"/>
      <c r="D5791" s="261"/>
      <c r="E5791" s="261"/>
      <c r="F5791" s="261"/>
      <c r="G5791" s="85">
        <f>SUM(G5790:G5790)</f>
        <v>60000</v>
      </c>
    </row>
    <row r="5792" spans="1:7">
      <c r="A5792" s="8" t="s">
        <v>36</v>
      </c>
      <c r="B5792" s="1" t="s">
        <v>37</v>
      </c>
      <c r="C5792" s="8"/>
      <c r="D5792" s="9"/>
      <c r="E5792" s="19"/>
      <c r="F5792" s="2"/>
      <c r="G5792" s="2"/>
    </row>
    <row r="5793" spans="1:7">
      <c r="A5793" s="8"/>
      <c r="B5793" s="1"/>
      <c r="C5793" s="8"/>
      <c r="D5793" s="9"/>
      <c r="E5793" s="19"/>
      <c r="F5793" s="2"/>
      <c r="G5793" s="2"/>
    </row>
    <row r="5794" spans="1:7">
      <c r="A5794" s="263" t="s">
        <v>419</v>
      </c>
      <c r="B5794" s="263"/>
      <c r="C5794" s="263"/>
      <c r="D5794" s="263"/>
      <c r="E5794" s="263"/>
      <c r="F5794" s="263"/>
      <c r="G5794" s="80">
        <f>SUM(G5793)</f>
        <v>0</v>
      </c>
    </row>
    <row r="5795" spans="1:7">
      <c r="A5795" s="81" t="s">
        <v>38</v>
      </c>
      <c r="B5795" s="262" t="s">
        <v>39</v>
      </c>
      <c r="C5795" s="262"/>
      <c r="D5795" s="262"/>
      <c r="E5795" s="262"/>
      <c r="F5795" s="262"/>
      <c r="G5795" s="118">
        <f>SUM(G5785:G5794)/2</f>
        <v>60028.3</v>
      </c>
    </row>
    <row r="5796" spans="1:7">
      <c r="A5796" s="81" t="s">
        <v>40</v>
      </c>
      <c r="B5796" s="262" t="s">
        <v>180</v>
      </c>
      <c r="C5796" s="262"/>
      <c r="D5796" s="262"/>
      <c r="E5796" s="262"/>
      <c r="F5796" s="82">
        <v>0.1</v>
      </c>
      <c r="G5796" s="80">
        <f>G5795*F5796</f>
        <v>6002.8300000000008</v>
      </c>
    </row>
    <row r="5797" spans="1:7">
      <c r="A5797" s="81" t="s">
        <v>41</v>
      </c>
      <c r="B5797" s="262" t="s">
        <v>42</v>
      </c>
      <c r="C5797" s="262"/>
      <c r="D5797" s="262"/>
      <c r="E5797" s="262"/>
      <c r="F5797" s="262"/>
      <c r="G5797" s="80">
        <f>G5795+G5796</f>
        <v>66031.13</v>
      </c>
    </row>
    <row r="5798" spans="1:7">
      <c r="A5798" s="90"/>
      <c r="B5798" s="91"/>
      <c r="C5798" s="91"/>
      <c r="D5798" s="91"/>
      <c r="E5798" s="91"/>
      <c r="F5798" s="91"/>
      <c r="G5798" s="92"/>
    </row>
    <row r="5799" spans="1:7">
      <c r="A5799" s="4" t="s">
        <v>658</v>
      </c>
      <c r="B5799" s="91"/>
      <c r="C5799" s="91"/>
      <c r="D5799" s="91"/>
      <c r="E5799" s="91"/>
      <c r="F5799" s="91"/>
      <c r="G5799" s="92"/>
    </row>
    <row r="5800" spans="1:7" ht="30">
      <c r="A5800" s="79" t="s">
        <v>0</v>
      </c>
      <c r="B5800" s="79" t="s">
        <v>1</v>
      </c>
      <c r="C5800" s="79" t="s">
        <v>207</v>
      </c>
      <c r="D5800" s="79" t="s">
        <v>3</v>
      </c>
      <c r="E5800" s="79" t="s">
        <v>2</v>
      </c>
      <c r="F5800" s="79" t="s">
        <v>417</v>
      </c>
      <c r="G5800" s="79" t="s">
        <v>418</v>
      </c>
    </row>
    <row r="5801" spans="1:7">
      <c r="A5801" s="8" t="s">
        <v>4</v>
      </c>
      <c r="B5801" s="1" t="s">
        <v>5</v>
      </c>
      <c r="C5801" s="8"/>
      <c r="D5801" s="9"/>
      <c r="E5801" s="19"/>
      <c r="F5801" s="2"/>
      <c r="G5801" s="2"/>
    </row>
    <row r="5802" spans="1:7">
      <c r="A5802" s="8">
        <v>1</v>
      </c>
      <c r="B5802" s="1" t="s">
        <v>48</v>
      </c>
      <c r="C5802" s="8" t="s">
        <v>49</v>
      </c>
      <c r="D5802" s="9" t="s">
        <v>8</v>
      </c>
      <c r="E5802" s="10" t="s">
        <v>159</v>
      </c>
      <c r="F5802" s="86">
        <f>VLOOKUP(B5802,'HSD UPAH,BAHAN,ALAT'!$C$6:F5207,4,FALSE)</f>
        <v>100000</v>
      </c>
      <c r="G5802" s="87">
        <f t="shared" ref="G5802:G5803" si="743">E5802*F5802</f>
        <v>27</v>
      </c>
    </row>
    <row r="5803" spans="1:7">
      <c r="A5803" s="8">
        <v>2</v>
      </c>
      <c r="B5803" s="1" t="s">
        <v>13</v>
      </c>
      <c r="C5803" s="8" t="s">
        <v>14</v>
      </c>
      <c r="D5803" s="9" t="s">
        <v>8</v>
      </c>
      <c r="E5803" s="10" t="s">
        <v>160</v>
      </c>
      <c r="F5803" s="86">
        <f>VLOOKUP(B5803,'HSD UPAH,BAHAN,ALAT'!$C$6:F5208,4,FALSE)</f>
        <v>100000</v>
      </c>
      <c r="G5803" s="87">
        <f t="shared" si="743"/>
        <v>1.2999999999999998</v>
      </c>
    </row>
    <row r="5804" spans="1:7">
      <c r="A5804" s="261" t="s">
        <v>420</v>
      </c>
      <c r="B5804" s="261"/>
      <c r="C5804" s="261"/>
      <c r="D5804" s="261"/>
      <c r="E5804" s="261"/>
      <c r="F5804" s="261"/>
      <c r="G5804" s="85">
        <f>SUM(G5801:G5803)</f>
        <v>28.3</v>
      </c>
    </row>
    <row r="5805" spans="1:7">
      <c r="A5805" s="8" t="s">
        <v>16</v>
      </c>
      <c r="B5805" s="1" t="s">
        <v>17</v>
      </c>
      <c r="C5805" s="8"/>
      <c r="D5805" s="9"/>
      <c r="E5805" s="19"/>
      <c r="F5805" s="2"/>
      <c r="G5805" s="2"/>
    </row>
    <row r="5806" spans="1:7">
      <c r="A5806" s="8">
        <v>1</v>
      </c>
      <c r="B5806" s="1" t="s">
        <v>154</v>
      </c>
      <c r="C5806" s="8"/>
      <c r="D5806" s="9" t="s">
        <v>120</v>
      </c>
      <c r="E5806" s="10" t="s">
        <v>161</v>
      </c>
      <c r="F5806" s="86">
        <f>VLOOKUP(B5806,'HSD UPAH,BAHAN,ALAT'!$C$6:F5211,4,FALSE)</f>
        <v>10000</v>
      </c>
      <c r="G5806" s="87">
        <f t="shared" ref="G5806" si="744">E5806*F5806</f>
        <v>80000</v>
      </c>
    </row>
    <row r="5807" spans="1:7">
      <c r="A5807" s="261" t="s">
        <v>421</v>
      </c>
      <c r="B5807" s="261"/>
      <c r="C5807" s="261"/>
      <c r="D5807" s="261"/>
      <c r="E5807" s="261"/>
      <c r="F5807" s="261"/>
      <c r="G5807" s="85">
        <f>SUM(G5806:G5806)</f>
        <v>80000</v>
      </c>
    </row>
    <row r="5808" spans="1:7">
      <c r="A5808" s="8" t="s">
        <v>36</v>
      </c>
      <c r="B5808" s="1" t="s">
        <v>37</v>
      </c>
      <c r="C5808" s="8"/>
      <c r="D5808" s="9"/>
      <c r="E5808" s="19"/>
      <c r="F5808" s="2"/>
      <c r="G5808" s="2"/>
    </row>
    <row r="5809" spans="1:7">
      <c r="A5809" s="8"/>
      <c r="B5809" s="1"/>
      <c r="C5809" s="8"/>
      <c r="D5809" s="9"/>
      <c r="E5809" s="19"/>
      <c r="F5809" s="2"/>
      <c r="G5809" s="2"/>
    </row>
    <row r="5810" spans="1:7">
      <c r="A5810" s="263" t="s">
        <v>419</v>
      </c>
      <c r="B5810" s="263"/>
      <c r="C5810" s="263"/>
      <c r="D5810" s="263"/>
      <c r="E5810" s="263"/>
      <c r="F5810" s="263"/>
      <c r="G5810" s="80">
        <f>SUM(G5809)</f>
        <v>0</v>
      </c>
    </row>
    <row r="5811" spans="1:7">
      <c r="A5811" s="81" t="s">
        <v>38</v>
      </c>
      <c r="B5811" s="262" t="s">
        <v>39</v>
      </c>
      <c r="C5811" s="262"/>
      <c r="D5811" s="262"/>
      <c r="E5811" s="262"/>
      <c r="F5811" s="262"/>
      <c r="G5811" s="118">
        <f>SUM(G5801:G5810)/2</f>
        <v>80028.3</v>
      </c>
    </row>
    <row r="5812" spans="1:7">
      <c r="A5812" s="81" t="s">
        <v>40</v>
      </c>
      <c r="B5812" s="262" t="s">
        <v>180</v>
      </c>
      <c r="C5812" s="262"/>
      <c r="D5812" s="262"/>
      <c r="E5812" s="262"/>
      <c r="F5812" s="82">
        <v>0.1</v>
      </c>
      <c r="G5812" s="80">
        <f>G5811*F5812</f>
        <v>8002.8300000000008</v>
      </c>
    </row>
    <row r="5813" spans="1:7">
      <c r="A5813" s="81" t="s">
        <v>41</v>
      </c>
      <c r="B5813" s="262" t="s">
        <v>42</v>
      </c>
      <c r="C5813" s="262"/>
      <c r="D5813" s="262"/>
      <c r="E5813" s="262"/>
      <c r="F5813" s="262"/>
      <c r="G5813" s="80">
        <f>G5811+G5812</f>
        <v>88031.13</v>
      </c>
    </row>
    <row r="5814" spans="1:7">
      <c r="A5814" s="90"/>
      <c r="B5814" s="91"/>
      <c r="C5814" s="91"/>
      <c r="D5814" s="91"/>
      <c r="E5814" s="91"/>
      <c r="F5814" s="91"/>
      <c r="G5814" s="92"/>
    </row>
    <row r="5815" spans="1:7">
      <c r="A5815" s="4" t="s">
        <v>443</v>
      </c>
      <c r="B5815" s="91"/>
      <c r="C5815" s="91"/>
      <c r="D5815" s="91"/>
      <c r="E5815" s="91"/>
      <c r="F5815" s="91"/>
      <c r="G5815" s="92"/>
    </row>
    <row r="5816" spans="1:7">
      <c r="A5816" s="97" t="s">
        <v>484</v>
      </c>
      <c r="B5816" s="91"/>
      <c r="C5816" s="91"/>
      <c r="D5816" s="91"/>
      <c r="E5816" s="91"/>
      <c r="F5816" s="91"/>
      <c r="G5816" s="92"/>
    </row>
    <row r="5817" spans="1:7" ht="30">
      <c r="A5817" s="79" t="s">
        <v>0</v>
      </c>
      <c r="B5817" s="79" t="s">
        <v>1</v>
      </c>
      <c r="C5817" s="79" t="s">
        <v>207</v>
      </c>
      <c r="D5817" s="79" t="s">
        <v>3</v>
      </c>
      <c r="E5817" s="79" t="s">
        <v>2</v>
      </c>
      <c r="F5817" s="79" t="s">
        <v>417</v>
      </c>
      <c r="G5817" s="79" t="s">
        <v>418</v>
      </c>
    </row>
    <row r="5818" spans="1:7">
      <c r="A5818" s="8" t="s">
        <v>4</v>
      </c>
      <c r="B5818" s="1" t="s">
        <v>5</v>
      </c>
      <c r="C5818" s="8"/>
      <c r="D5818" s="9"/>
      <c r="E5818" s="19"/>
      <c r="F5818" s="2"/>
      <c r="G5818" s="2"/>
    </row>
    <row r="5819" spans="1:7">
      <c r="A5819" s="8">
        <v>1</v>
      </c>
      <c r="B5819" s="1" t="s">
        <v>48</v>
      </c>
      <c r="C5819" s="8" t="s">
        <v>49</v>
      </c>
      <c r="D5819" s="9" t="s">
        <v>8</v>
      </c>
      <c r="E5819" s="10" t="s">
        <v>162</v>
      </c>
      <c r="F5819" s="86">
        <f>VLOOKUP(B5819,'HSD UPAH,BAHAN,ALAT'!$C$6:F5221,4,FALSE)</f>
        <v>100000</v>
      </c>
      <c r="G5819" s="87">
        <f t="shared" ref="G5819:G5820" si="745">E5819*F5819</f>
        <v>51.000000000000007</v>
      </c>
    </row>
    <row r="5820" spans="1:7">
      <c r="A5820" s="8">
        <v>2</v>
      </c>
      <c r="B5820" s="1" t="s">
        <v>13</v>
      </c>
      <c r="C5820" s="8" t="s">
        <v>14</v>
      </c>
      <c r="D5820" s="9" t="s">
        <v>8</v>
      </c>
      <c r="E5820" s="10" t="s">
        <v>163</v>
      </c>
      <c r="F5820" s="86">
        <f>VLOOKUP(B5820,'HSD UPAH,BAHAN,ALAT'!$C$6:F5222,4,FALSE)</f>
        <v>100000</v>
      </c>
      <c r="G5820" s="87">
        <f t="shared" si="745"/>
        <v>5</v>
      </c>
    </row>
    <row r="5821" spans="1:7">
      <c r="A5821" s="261" t="s">
        <v>420</v>
      </c>
      <c r="B5821" s="261"/>
      <c r="C5821" s="261"/>
      <c r="D5821" s="261"/>
      <c r="E5821" s="261"/>
      <c r="F5821" s="261"/>
      <c r="G5821" s="85">
        <f>SUM(G5818:G5820)</f>
        <v>56.000000000000007</v>
      </c>
    </row>
    <row r="5822" spans="1:7">
      <c r="A5822" s="8" t="s">
        <v>16</v>
      </c>
      <c r="B5822" s="1" t="s">
        <v>17</v>
      </c>
      <c r="C5822" s="8"/>
      <c r="D5822" s="9"/>
      <c r="E5822" s="19"/>
      <c r="F5822" s="2"/>
      <c r="G5822" s="2"/>
    </row>
    <row r="5823" spans="1:7">
      <c r="A5823" s="8">
        <v>1</v>
      </c>
      <c r="B5823" s="1" t="s">
        <v>154</v>
      </c>
      <c r="C5823" s="8"/>
      <c r="D5823" s="9" t="s">
        <v>120</v>
      </c>
      <c r="E5823" s="10" t="s">
        <v>155</v>
      </c>
      <c r="F5823" s="86">
        <f>VLOOKUP(B5823,'HSD UPAH,BAHAN,ALAT'!$C$6:F5225,4,FALSE)</f>
        <v>10000</v>
      </c>
      <c r="G5823" s="87">
        <f t="shared" ref="G5823" si="746">E5823*F5823</f>
        <v>50000</v>
      </c>
    </row>
    <row r="5824" spans="1:7">
      <c r="A5824" s="261" t="s">
        <v>421</v>
      </c>
      <c r="B5824" s="261"/>
      <c r="C5824" s="261"/>
      <c r="D5824" s="261"/>
      <c r="E5824" s="261"/>
      <c r="F5824" s="261"/>
      <c r="G5824" s="85">
        <f>SUM(G5823:G5823)</f>
        <v>50000</v>
      </c>
    </row>
    <row r="5825" spans="1:7">
      <c r="A5825" s="8" t="s">
        <v>36</v>
      </c>
      <c r="B5825" s="1" t="s">
        <v>37</v>
      </c>
      <c r="C5825" s="8"/>
      <c r="D5825" s="9"/>
      <c r="E5825" s="19"/>
      <c r="F5825" s="2"/>
      <c r="G5825" s="2"/>
    </row>
    <row r="5826" spans="1:7">
      <c r="A5826" s="8"/>
      <c r="B5826" s="1"/>
      <c r="C5826" s="8"/>
      <c r="D5826" s="9"/>
      <c r="E5826" s="19"/>
      <c r="F5826" s="2"/>
      <c r="G5826" s="2"/>
    </row>
    <row r="5827" spans="1:7">
      <c r="A5827" s="263" t="s">
        <v>419</v>
      </c>
      <c r="B5827" s="263"/>
      <c r="C5827" s="263"/>
      <c r="D5827" s="263"/>
      <c r="E5827" s="263"/>
      <c r="F5827" s="263"/>
      <c r="G5827" s="80">
        <f>SUM(G5826)</f>
        <v>0</v>
      </c>
    </row>
    <row r="5828" spans="1:7">
      <c r="A5828" s="81" t="s">
        <v>38</v>
      </c>
      <c r="B5828" s="262" t="s">
        <v>39</v>
      </c>
      <c r="C5828" s="262"/>
      <c r="D5828" s="262"/>
      <c r="E5828" s="262"/>
      <c r="F5828" s="262"/>
      <c r="G5828" s="118">
        <f>SUM(G5818:G5827)/2</f>
        <v>50056</v>
      </c>
    </row>
    <row r="5829" spans="1:7">
      <c r="A5829" s="81" t="s">
        <v>40</v>
      </c>
      <c r="B5829" s="262" t="s">
        <v>180</v>
      </c>
      <c r="C5829" s="262"/>
      <c r="D5829" s="262"/>
      <c r="E5829" s="262"/>
      <c r="F5829" s="82">
        <v>0.1</v>
      </c>
      <c r="G5829" s="80">
        <f>G5828*F5829</f>
        <v>5005.6000000000004</v>
      </c>
    </row>
    <row r="5830" spans="1:7">
      <c r="A5830" s="81" t="s">
        <v>41</v>
      </c>
      <c r="B5830" s="262" t="s">
        <v>42</v>
      </c>
      <c r="C5830" s="262"/>
      <c r="D5830" s="262"/>
      <c r="E5830" s="262"/>
      <c r="F5830" s="262"/>
      <c r="G5830" s="80">
        <f>G5828+G5829</f>
        <v>55061.599999999999</v>
      </c>
    </row>
    <row r="5831" spans="1:7">
      <c r="A5831" s="90"/>
      <c r="B5831" s="91"/>
      <c r="C5831" s="91"/>
      <c r="D5831" s="91"/>
      <c r="E5831" s="91"/>
      <c r="F5831" s="91"/>
      <c r="G5831" s="92"/>
    </row>
    <row r="5832" spans="1:7">
      <c r="A5832" s="97" t="s">
        <v>485</v>
      </c>
      <c r="B5832" s="91"/>
      <c r="C5832" s="91"/>
      <c r="D5832" s="91"/>
      <c r="E5832" s="91"/>
      <c r="F5832" s="91"/>
      <c r="G5832" s="92"/>
    </row>
    <row r="5833" spans="1:7" ht="30">
      <c r="A5833" s="79" t="s">
        <v>0</v>
      </c>
      <c r="B5833" s="79" t="s">
        <v>1</v>
      </c>
      <c r="C5833" s="79" t="s">
        <v>207</v>
      </c>
      <c r="D5833" s="79" t="s">
        <v>3</v>
      </c>
      <c r="E5833" s="79" t="s">
        <v>2</v>
      </c>
      <c r="F5833" s="79" t="s">
        <v>417</v>
      </c>
      <c r="G5833" s="79" t="s">
        <v>418</v>
      </c>
    </row>
    <row r="5834" spans="1:7">
      <c r="A5834" s="8" t="s">
        <v>4</v>
      </c>
      <c r="B5834" s="1" t="s">
        <v>5</v>
      </c>
      <c r="C5834" s="8"/>
      <c r="D5834" s="9"/>
      <c r="E5834" s="19"/>
      <c r="F5834" s="2"/>
      <c r="G5834" s="2"/>
    </row>
    <row r="5835" spans="1:7">
      <c r="A5835" s="8">
        <v>1</v>
      </c>
      <c r="B5835" s="1" t="s">
        <v>48</v>
      </c>
      <c r="C5835" s="8" t="s">
        <v>49</v>
      </c>
      <c r="D5835" s="9" t="s">
        <v>8</v>
      </c>
      <c r="E5835" s="10" t="s">
        <v>164</v>
      </c>
      <c r="F5835" s="86">
        <f>VLOOKUP(B5835,'HSD UPAH,BAHAN,ALAT'!$C$6:F5235,4,FALSE)</f>
        <v>100000</v>
      </c>
      <c r="G5835" s="87">
        <f t="shared" ref="G5835:G5836" si="747">E5835*F5835</f>
        <v>62</v>
      </c>
    </row>
    <row r="5836" spans="1:7">
      <c r="A5836" s="8">
        <v>2</v>
      </c>
      <c r="B5836" s="1" t="s">
        <v>13</v>
      </c>
      <c r="C5836" s="8" t="s">
        <v>14</v>
      </c>
      <c r="D5836" s="9" t="s">
        <v>8</v>
      </c>
      <c r="E5836" s="10" t="s">
        <v>165</v>
      </c>
      <c r="F5836" s="86">
        <f>VLOOKUP(B5836,'HSD UPAH,BAHAN,ALAT'!$C$6:F5236,4,FALSE)</f>
        <v>100000</v>
      </c>
      <c r="G5836" s="87">
        <f t="shared" si="747"/>
        <v>9</v>
      </c>
    </row>
    <row r="5837" spans="1:7">
      <c r="A5837" s="261" t="s">
        <v>420</v>
      </c>
      <c r="B5837" s="261"/>
      <c r="C5837" s="261"/>
      <c r="D5837" s="261"/>
      <c r="E5837" s="261"/>
      <c r="F5837" s="261"/>
      <c r="G5837" s="85">
        <f>SUM(G5834:G5836)</f>
        <v>71</v>
      </c>
    </row>
    <row r="5838" spans="1:7">
      <c r="A5838" s="8" t="s">
        <v>16</v>
      </c>
      <c r="B5838" s="1" t="s">
        <v>17</v>
      </c>
      <c r="C5838" s="8"/>
      <c r="D5838" s="9"/>
      <c r="E5838" s="19"/>
      <c r="F5838" s="2"/>
      <c r="G5838" s="2"/>
    </row>
    <row r="5839" spans="1:7">
      <c r="A5839" s="8">
        <v>1</v>
      </c>
      <c r="B5839" s="1" t="s">
        <v>154</v>
      </c>
      <c r="C5839" s="8"/>
      <c r="D5839" s="9" t="s">
        <v>120</v>
      </c>
      <c r="E5839" s="10" t="s">
        <v>155</v>
      </c>
      <c r="F5839" s="86">
        <f>VLOOKUP(B5839,'HSD UPAH,BAHAN,ALAT'!$C$6:F5239,4,FALSE)</f>
        <v>10000</v>
      </c>
      <c r="G5839" s="87">
        <f t="shared" ref="G5839" si="748">E5839*F5839</f>
        <v>50000</v>
      </c>
    </row>
    <row r="5840" spans="1:7">
      <c r="A5840" s="261" t="s">
        <v>421</v>
      </c>
      <c r="B5840" s="261"/>
      <c r="C5840" s="261"/>
      <c r="D5840" s="261"/>
      <c r="E5840" s="261"/>
      <c r="F5840" s="261"/>
      <c r="G5840" s="85">
        <f>SUM(G5839:G5839)</f>
        <v>50000</v>
      </c>
    </row>
    <row r="5841" spans="1:7">
      <c r="A5841" s="8" t="s">
        <v>36</v>
      </c>
      <c r="B5841" s="1" t="s">
        <v>37</v>
      </c>
      <c r="C5841" s="8"/>
      <c r="D5841" s="9"/>
      <c r="E5841" s="19"/>
      <c r="F5841" s="2"/>
      <c r="G5841" s="2"/>
    </row>
    <row r="5842" spans="1:7">
      <c r="A5842" s="8"/>
      <c r="B5842" s="1"/>
      <c r="C5842" s="8"/>
      <c r="D5842" s="9"/>
      <c r="E5842" s="19"/>
      <c r="F5842" s="2"/>
      <c r="G5842" s="2"/>
    </row>
    <row r="5843" spans="1:7">
      <c r="A5843" s="263" t="s">
        <v>419</v>
      </c>
      <c r="B5843" s="263"/>
      <c r="C5843" s="263"/>
      <c r="D5843" s="263"/>
      <c r="E5843" s="263"/>
      <c r="F5843" s="263"/>
      <c r="G5843" s="80">
        <f>SUM(G5842)</f>
        <v>0</v>
      </c>
    </row>
    <row r="5844" spans="1:7">
      <c r="A5844" s="81" t="s">
        <v>38</v>
      </c>
      <c r="B5844" s="262" t="s">
        <v>39</v>
      </c>
      <c r="C5844" s="262"/>
      <c r="D5844" s="262"/>
      <c r="E5844" s="262"/>
      <c r="F5844" s="262"/>
      <c r="G5844" s="118">
        <f>SUM(G5834:G5843)/2</f>
        <v>50071</v>
      </c>
    </row>
    <row r="5845" spans="1:7">
      <c r="A5845" s="81" t="s">
        <v>40</v>
      </c>
      <c r="B5845" s="262" t="s">
        <v>180</v>
      </c>
      <c r="C5845" s="262"/>
      <c r="D5845" s="262"/>
      <c r="E5845" s="262"/>
      <c r="F5845" s="82">
        <v>0.1</v>
      </c>
      <c r="G5845" s="80">
        <f>G5844*F5845</f>
        <v>5007.1000000000004</v>
      </c>
    </row>
    <row r="5846" spans="1:7">
      <c r="A5846" s="81" t="s">
        <v>41</v>
      </c>
      <c r="B5846" s="262" t="s">
        <v>42</v>
      </c>
      <c r="C5846" s="262"/>
      <c r="D5846" s="262"/>
      <c r="E5846" s="262"/>
      <c r="F5846" s="262"/>
      <c r="G5846" s="80">
        <f>G5844+G5845</f>
        <v>55078.1</v>
      </c>
    </row>
    <row r="5847" spans="1:7">
      <c r="A5847" s="90"/>
      <c r="B5847" s="91"/>
      <c r="C5847" s="91"/>
      <c r="D5847" s="91"/>
      <c r="E5847" s="91"/>
      <c r="F5847" s="91"/>
      <c r="G5847" s="92"/>
    </row>
    <row r="5848" spans="1:7">
      <c r="A5848" s="4" t="s">
        <v>659</v>
      </c>
      <c r="B5848" s="91"/>
      <c r="C5848" s="91"/>
      <c r="D5848" s="91"/>
      <c r="E5848" s="91"/>
      <c r="F5848" s="91"/>
      <c r="G5848" s="92"/>
    </row>
    <row r="5849" spans="1:7" ht="30">
      <c r="A5849" s="79" t="s">
        <v>0</v>
      </c>
      <c r="B5849" s="79" t="s">
        <v>1</v>
      </c>
      <c r="C5849" s="79" t="s">
        <v>207</v>
      </c>
      <c r="D5849" s="79" t="s">
        <v>3</v>
      </c>
      <c r="E5849" s="79" t="s">
        <v>2</v>
      </c>
      <c r="F5849" s="79" t="s">
        <v>417</v>
      </c>
      <c r="G5849" s="79" t="s">
        <v>418</v>
      </c>
    </row>
    <row r="5850" spans="1:7">
      <c r="A5850" s="8" t="s">
        <v>4</v>
      </c>
      <c r="B5850" s="1" t="s">
        <v>5</v>
      </c>
      <c r="C5850" s="8"/>
      <c r="D5850" s="9"/>
      <c r="E5850" s="19"/>
      <c r="F5850" s="2"/>
      <c r="G5850" s="2"/>
    </row>
    <row r="5851" spans="1:7">
      <c r="A5851" s="8">
        <v>1</v>
      </c>
      <c r="B5851" s="1" t="s">
        <v>48</v>
      </c>
      <c r="C5851" s="8" t="s">
        <v>49</v>
      </c>
      <c r="D5851" s="9" t="s">
        <v>8</v>
      </c>
      <c r="E5851" s="10" t="s">
        <v>166</v>
      </c>
      <c r="F5851" s="86">
        <f>VLOOKUP(B5851,'HSD UPAH,BAHAN,ALAT'!$C$6:F5249,4,FALSE)</f>
        <v>100000</v>
      </c>
      <c r="G5851" s="87">
        <f t="shared" ref="G5851:G5852" si="749">E5851*F5851</f>
        <v>111.00000000000001</v>
      </c>
    </row>
    <row r="5852" spans="1:7">
      <c r="A5852" s="8">
        <v>2</v>
      </c>
      <c r="B5852" s="1" t="s">
        <v>13</v>
      </c>
      <c r="C5852" s="8" t="s">
        <v>14</v>
      </c>
      <c r="D5852" s="9" t="s">
        <v>8</v>
      </c>
      <c r="E5852" s="10" t="s">
        <v>167</v>
      </c>
      <c r="F5852" s="86">
        <f>VLOOKUP(B5852,'HSD UPAH,BAHAN,ALAT'!$C$6:F5250,4,FALSE)</f>
        <v>100000</v>
      </c>
      <c r="G5852" s="87">
        <f t="shared" si="749"/>
        <v>22</v>
      </c>
    </row>
    <row r="5853" spans="1:7">
      <c r="A5853" s="261" t="s">
        <v>420</v>
      </c>
      <c r="B5853" s="261"/>
      <c r="C5853" s="261"/>
      <c r="D5853" s="261"/>
      <c r="E5853" s="261"/>
      <c r="F5853" s="261"/>
      <c r="G5853" s="85">
        <f>SUM(G5850:G5852)</f>
        <v>133</v>
      </c>
    </row>
    <row r="5854" spans="1:7">
      <c r="A5854" s="8" t="s">
        <v>16</v>
      </c>
      <c r="B5854" s="1" t="s">
        <v>17</v>
      </c>
      <c r="C5854" s="8"/>
      <c r="D5854" s="9"/>
      <c r="E5854" s="19"/>
      <c r="F5854" s="2"/>
      <c r="G5854" s="2"/>
    </row>
    <row r="5855" spans="1:7">
      <c r="A5855" s="8">
        <v>1</v>
      </c>
      <c r="B5855" s="1" t="s">
        <v>154</v>
      </c>
      <c r="C5855" s="8"/>
      <c r="D5855" s="9" t="s">
        <v>120</v>
      </c>
      <c r="E5855" s="10" t="s">
        <v>155</v>
      </c>
      <c r="F5855" s="86">
        <f>VLOOKUP(B5855,'HSD UPAH,BAHAN,ALAT'!$C$6:F5253,4,FALSE)</f>
        <v>10000</v>
      </c>
      <c r="G5855" s="87">
        <f t="shared" ref="G5855" si="750">E5855*F5855</f>
        <v>50000</v>
      </c>
    </row>
    <row r="5856" spans="1:7">
      <c r="A5856" s="261" t="s">
        <v>421</v>
      </c>
      <c r="B5856" s="261"/>
      <c r="C5856" s="261"/>
      <c r="D5856" s="261"/>
      <c r="E5856" s="261"/>
      <c r="F5856" s="261"/>
      <c r="G5856" s="85">
        <f>SUM(G5855:G5855)</f>
        <v>50000</v>
      </c>
    </row>
    <row r="5857" spans="1:7">
      <c r="A5857" s="8" t="s">
        <v>36</v>
      </c>
      <c r="B5857" s="1" t="s">
        <v>37</v>
      </c>
      <c r="C5857" s="8"/>
      <c r="D5857" s="9"/>
      <c r="E5857" s="19"/>
      <c r="F5857" s="2"/>
      <c r="G5857" s="2"/>
    </row>
    <row r="5858" spans="1:7">
      <c r="A5858" s="8"/>
      <c r="B5858" s="1"/>
      <c r="C5858" s="8"/>
      <c r="D5858" s="9"/>
      <c r="E5858" s="19"/>
      <c r="F5858" s="2"/>
      <c r="G5858" s="2"/>
    </row>
    <row r="5859" spans="1:7">
      <c r="A5859" s="263" t="s">
        <v>419</v>
      </c>
      <c r="B5859" s="263"/>
      <c r="C5859" s="263"/>
      <c r="D5859" s="263"/>
      <c r="E5859" s="263"/>
      <c r="F5859" s="263"/>
      <c r="G5859" s="80">
        <f>SUM(G5858)</f>
        <v>0</v>
      </c>
    </row>
    <row r="5860" spans="1:7">
      <c r="A5860" s="81" t="s">
        <v>38</v>
      </c>
      <c r="B5860" s="262" t="s">
        <v>39</v>
      </c>
      <c r="C5860" s="262"/>
      <c r="D5860" s="262"/>
      <c r="E5860" s="262"/>
      <c r="F5860" s="262"/>
      <c r="G5860" s="118">
        <f>SUM(G5850:G5859)/2</f>
        <v>50133</v>
      </c>
    </row>
    <row r="5861" spans="1:7">
      <c r="A5861" s="81" t="s">
        <v>40</v>
      </c>
      <c r="B5861" s="262" t="s">
        <v>180</v>
      </c>
      <c r="C5861" s="262"/>
      <c r="D5861" s="262"/>
      <c r="E5861" s="262"/>
      <c r="F5861" s="82">
        <v>0.1</v>
      </c>
      <c r="G5861" s="80">
        <f>G5860*F5861</f>
        <v>5013.3</v>
      </c>
    </row>
    <row r="5862" spans="1:7">
      <c r="A5862" s="81" t="s">
        <v>41</v>
      </c>
      <c r="B5862" s="262" t="s">
        <v>42</v>
      </c>
      <c r="C5862" s="262"/>
      <c r="D5862" s="262"/>
      <c r="E5862" s="262"/>
      <c r="F5862" s="262"/>
      <c r="G5862" s="80">
        <f>G5860+G5861</f>
        <v>55146.3</v>
      </c>
    </row>
    <row r="5863" spans="1:7">
      <c r="A5863" s="90"/>
      <c r="B5863" s="91"/>
      <c r="C5863" s="91"/>
      <c r="D5863" s="91"/>
      <c r="E5863" s="91"/>
      <c r="F5863" s="91"/>
      <c r="G5863" s="92"/>
    </row>
    <row r="5864" spans="1:7">
      <c r="A5864" s="4" t="s">
        <v>444</v>
      </c>
      <c r="B5864" s="91"/>
      <c r="C5864" s="91"/>
      <c r="D5864" s="91"/>
      <c r="E5864" s="91"/>
      <c r="F5864" s="91"/>
      <c r="G5864" s="92"/>
    </row>
    <row r="5865" spans="1:7">
      <c r="A5865" s="4" t="s">
        <v>660</v>
      </c>
      <c r="B5865" s="91"/>
      <c r="C5865" s="91"/>
      <c r="D5865" s="91"/>
      <c r="E5865" s="91"/>
      <c r="F5865" s="91"/>
      <c r="G5865" s="92"/>
    </row>
    <row r="5866" spans="1:7" ht="30">
      <c r="A5866" s="79" t="s">
        <v>0</v>
      </c>
      <c r="B5866" s="79" t="s">
        <v>1</v>
      </c>
      <c r="C5866" s="79" t="s">
        <v>207</v>
      </c>
      <c r="D5866" s="79" t="s">
        <v>3</v>
      </c>
      <c r="E5866" s="79" t="s">
        <v>2</v>
      </c>
      <c r="F5866" s="79" t="s">
        <v>417</v>
      </c>
      <c r="G5866" s="79" t="s">
        <v>418</v>
      </c>
    </row>
    <row r="5867" spans="1:7">
      <c r="A5867" s="8" t="s">
        <v>4</v>
      </c>
      <c r="B5867" s="1" t="s">
        <v>5</v>
      </c>
      <c r="C5867" s="8"/>
      <c r="D5867" s="9"/>
      <c r="E5867" s="19"/>
      <c r="F5867" s="2"/>
      <c r="G5867" s="2"/>
    </row>
    <row r="5868" spans="1:7">
      <c r="A5868" s="8">
        <v>1</v>
      </c>
      <c r="B5868" s="1" t="s">
        <v>48</v>
      </c>
      <c r="C5868" s="8" t="s">
        <v>49</v>
      </c>
      <c r="D5868" s="9" t="s">
        <v>8</v>
      </c>
      <c r="E5868" s="10" t="s">
        <v>162</v>
      </c>
      <c r="F5868" s="86">
        <f>VLOOKUP(B5868,'HSD UPAH,BAHAN,ALAT'!$C$6:F5263,4,FALSE)</f>
        <v>100000</v>
      </c>
      <c r="G5868" s="87">
        <f t="shared" ref="G5868:G5869" si="751">E5868*F5868</f>
        <v>51.000000000000007</v>
      </c>
    </row>
    <row r="5869" spans="1:7">
      <c r="A5869" s="8">
        <v>2</v>
      </c>
      <c r="B5869" s="1" t="s">
        <v>13</v>
      </c>
      <c r="C5869" s="8" t="s">
        <v>14</v>
      </c>
      <c r="D5869" s="9" t="s">
        <v>8</v>
      </c>
      <c r="E5869" s="10" t="s">
        <v>163</v>
      </c>
      <c r="F5869" s="86">
        <f>VLOOKUP(B5869,'HSD UPAH,BAHAN,ALAT'!$C$6:F5264,4,FALSE)</f>
        <v>100000</v>
      </c>
      <c r="G5869" s="87">
        <f t="shared" si="751"/>
        <v>5</v>
      </c>
    </row>
    <row r="5870" spans="1:7">
      <c r="A5870" s="261" t="s">
        <v>420</v>
      </c>
      <c r="B5870" s="261"/>
      <c r="C5870" s="261"/>
      <c r="D5870" s="261"/>
      <c r="E5870" s="261"/>
      <c r="F5870" s="261"/>
      <c r="G5870" s="85">
        <f>SUM(G5867:G5869)</f>
        <v>56.000000000000007</v>
      </c>
    </row>
    <row r="5871" spans="1:7">
      <c r="A5871" s="8" t="s">
        <v>16</v>
      </c>
      <c r="B5871" s="1" t="s">
        <v>17</v>
      </c>
      <c r="C5871" s="8"/>
      <c r="D5871" s="9"/>
      <c r="E5871" s="19"/>
      <c r="F5871" s="2"/>
      <c r="G5871" s="2"/>
    </row>
    <row r="5872" spans="1:7">
      <c r="A5872" s="8">
        <v>1</v>
      </c>
      <c r="B5872" s="1" t="s">
        <v>154</v>
      </c>
      <c r="C5872" s="8"/>
      <c r="D5872" s="9" t="s">
        <v>120</v>
      </c>
      <c r="E5872" s="10" t="s">
        <v>57</v>
      </c>
      <c r="F5872" s="86">
        <f>VLOOKUP(B5872,'HSD UPAH,BAHAN,ALAT'!$C$6:F5267,4,FALSE)</f>
        <v>10000</v>
      </c>
      <c r="G5872" s="87">
        <f t="shared" ref="G5872" si="752">E5872*F5872</f>
        <v>100000</v>
      </c>
    </row>
    <row r="5873" spans="1:7">
      <c r="A5873" s="261" t="s">
        <v>421</v>
      </c>
      <c r="B5873" s="261"/>
      <c r="C5873" s="261"/>
      <c r="D5873" s="261"/>
      <c r="E5873" s="261"/>
      <c r="F5873" s="261"/>
      <c r="G5873" s="85">
        <f>SUM(G5872:G5872)</f>
        <v>100000</v>
      </c>
    </row>
    <row r="5874" spans="1:7">
      <c r="A5874" s="8" t="s">
        <v>36</v>
      </c>
      <c r="B5874" s="1" t="s">
        <v>37</v>
      </c>
      <c r="C5874" s="8"/>
      <c r="D5874" s="9"/>
      <c r="E5874" s="19"/>
      <c r="F5874" s="2"/>
      <c r="G5874" s="2"/>
    </row>
    <row r="5875" spans="1:7">
      <c r="A5875" s="8"/>
      <c r="B5875" s="1" t="s">
        <v>385</v>
      </c>
      <c r="C5875" s="8"/>
      <c r="D5875" s="9" t="s">
        <v>122</v>
      </c>
      <c r="E5875" s="10" t="s">
        <v>98</v>
      </c>
      <c r="F5875" s="86">
        <f>VLOOKUP(B5875,'HSD UPAH,BAHAN,ALAT'!$C$6:F5270,4,FALSE)</f>
        <v>10000</v>
      </c>
      <c r="G5875" s="87">
        <f t="shared" ref="G5875" si="753">E5875*F5875</f>
        <v>5</v>
      </c>
    </row>
    <row r="5876" spans="1:7">
      <c r="A5876" s="263" t="s">
        <v>419</v>
      </c>
      <c r="B5876" s="263"/>
      <c r="C5876" s="263"/>
      <c r="D5876" s="263"/>
      <c r="E5876" s="263"/>
      <c r="F5876" s="263"/>
      <c r="G5876" s="80">
        <f>SUM(G5875)</f>
        <v>5</v>
      </c>
    </row>
    <row r="5877" spans="1:7">
      <c r="A5877" s="81" t="s">
        <v>38</v>
      </c>
      <c r="B5877" s="262" t="s">
        <v>39</v>
      </c>
      <c r="C5877" s="262"/>
      <c r="D5877" s="262"/>
      <c r="E5877" s="262"/>
      <c r="F5877" s="262"/>
      <c r="G5877" s="118">
        <f>SUM(G5867:G5876)/2</f>
        <v>100061</v>
      </c>
    </row>
    <row r="5878" spans="1:7">
      <c r="A5878" s="81" t="s">
        <v>40</v>
      </c>
      <c r="B5878" s="262" t="s">
        <v>180</v>
      </c>
      <c r="C5878" s="262"/>
      <c r="D5878" s="262"/>
      <c r="E5878" s="262"/>
      <c r="F5878" s="82">
        <v>0.1</v>
      </c>
      <c r="G5878" s="80">
        <f>G5877*F5878</f>
        <v>10006.1</v>
      </c>
    </row>
    <row r="5879" spans="1:7">
      <c r="A5879" s="81" t="s">
        <v>41</v>
      </c>
      <c r="B5879" s="262" t="s">
        <v>42</v>
      </c>
      <c r="C5879" s="262"/>
      <c r="D5879" s="262"/>
      <c r="E5879" s="262"/>
      <c r="F5879" s="262"/>
      <c r="G5879" s="80">
        <f>G5877+G5878</f>
        <v>110067.1</v>
      </c>
    </row>
    <row r="5880" spans="1:7">
      <c r="A5880" s="90"/>
      <c r="B5880" s="91"/>
      <c r="C5880" s="91"/>
      <c r="D5880" s="91"/>
      <c r="E5880" s="91"/>
      <c r="F5880" s="91"/>
      <c r="G5880" s="92"/>
    </row>
    <row r="5881" spans="1:7">
      <c r="A5881" s="4" t="s">
        <v>661</v>
      </c>
      <c r="B5881" s="91"/>
      <c r="C5881" s="91"/>
      <c r="D5881" s="91"/>
      <c r="E5881" s="91"/>
      <c r="F5881" s="91"/>
      <c r="G5881" s="92"/>
    </row>
    <row r="5882" spans="1:7" ht="30">
      <c r="A5882" s="79" t="s">
        <v>0</v>
      </c>
      <c r="B5882" s="79" t="s">
        <v>1</v>
      </c>
      <c r="C5882" s="79" t="s">
        <v>207</v>
      </c>
      <c r="D5882" s="79" t="s">
        <v>3</v>
      </c>
      <c r="E5882" s="79" t="s">
        <v>2</v>
      </c>
      <c r="F5882" s="79" t="s">
        <v>417</v>
      </c>
      <c r="G5882" s="79" t="s">
        <v>418</v>
      </c>
    </row>
    <row r="5883" spans="1:7">
      <c r="A5883" s="8" t="s">
        <v>4</v>
      </c>
      <c r="B5883" s="1" t="s">
        <v>5</v>
      </c>
      <c r="C5883" s="8"/>
      <c r="D5883" s="9"/>
      <c r="E5883" s="19"/>
      <c r="F5883" s="2"/>
      <c r="G5883" s="2"/>
    </row>
    <row r="5884" spans="1:7">
      <c r="A5884" s="8">
        <v>1</v>
      </c>
      <c r="B5884" s="1" t="s">
        <v>48</v>
      </c>
      <c r="C5884" s="8" t="s">
        <v>49</v>
      </c>
      <c r="D5884" s="9" t="s">
        <v>8</v>
      </c>
      <c r="E5884" s="10" t="s">
        <v>164</v>
      </c>
      <c r="F5884" s="86">
        <f>VLOOKUP(B5884,'HSD UPAH,BAHAN,ALAT'!$C$6:F5277,4,FALSE)</f>
        <v>100000</v>
      </c>
      <c r="G5884" s="87">
        <f t="shared" ref="G5884:G5885" si="754">E5884*F5884</f>
        <v>62</v>
      </c>
    </row>
    <row r="5885" spans="1:7">
      <c r="A5885" s="8">
        <v>2</v>
      </c>
      <c r="B5885" s="1" t="s">
        <v>13</v>
      </c>
      <c r="C5885" s="8" t="s">
        <v>14</v>
      </c>
      <c r="D5885" s="9" t="s">
        <v>8</v>
      </c>
      <c r="E5885" s="10" t="s">
        <v>165</v>
      </c>
      <c r="F5885" s="86">
        <f>VLOOKUP(B5885,'HSD UPAH,BAHAN,ALAT'!$C$6:F5278,4,FALSE)</f>
        <v>100000</v>
      </c>
      <c r="G5885" s="87">
        <f t="shared" si="754"/>
        <v>9</v>
      </c>
    </row>
    <row r="5886" spans="1:7">
      <c r="A5886" s="261" t="s">
        <v>420</v>
      </c>
      <c r="B5886" s="261"/>
      <c r="C5886" s="261"/>
      <c r="D5886" s="261"/>
      <c r="E5886" s="261"/>
      <c r="F5886" s="261"/>
      <c r="G5886" s="85">
        <f>SUM(G5883:G5885)</f>
        <v>71</v>
      </c>
    </row>
    <row r="5887" spans="1:7">
      <c r="A5887" s="8" t="s">
        <v>16</v>
      </c>
      <c r="B5887" s="1" t="s">
        <v>17</v>
      </c>
      <c r="C5887" s="8"/>
      <c r="D5887" s="9"/>
      <c r="E5887" s="19"/>
      <c r="F5887" s="2"/>
      <c r="G5887" s="2"/>
    </row>
    <row r="5888" spans="1:7">
      <c r="A5888" s="8">
        <v>1</v>
      </c>
      <c r="B5888" s="1" t="s">
        <v>154</v>
      </c>
      <c r="C5888" s="8"/>
      <c r="D5888" s="9" t="s">
        <v>120</v>
      </c>
      <c r="E5888" s="10" t="s">
        <v>57</v>
      </c>
      <c r="F5888" s="86">
        <f>VLOOKUP(B5888,'HSD UPAH,BAHAN,ALAT'!$C$6:F5281,4,FALSE)</f>
        <v>10000</v>
      </c>
      <c r="G5888" s="87">
        <f t="shared" ref="G5888" si="755">E5888*F5888</f>
        <v>100000</v>
      </c>
    </row>
    <row r="5889" spans="1:7">
      <c r="A5889" s="261" t="s">
        <v>421</v>
      </c>
      <c r="B5889" s="261"/>
      <c r="C5889" s="261"/>
      <c r="D5889" s="261"/>
      <c r="E5889" s="261"/>
      <c r="F5889" s="261"/>
      <c r="G5889" s="85">
        <f>SUM(G5888:G5888)</f>
        <v>100000</v>
      </c>
    </row>
    <row r="5890" spans="1:7">
      <c r="A5890" s="8" t="s">
        <v>36</v>
      </c>
      <c r="B5890" s="1" t="s">
        <v>37</v>
      </c>
      <c r="C5890" s="8"/>
      <c r="D5890" s="9"/>
      <c r="E5890" s="19"/>
      <c r="F5890" s="2"/>
      <c r="G5890" s="2"/>
    </row>
    <row r="5891" spans="1:7">
      <c r="A5891" s="8"/>
      <c r="B5891" s="1" t="s">
        <v>385</v>
      </c>
      <c r="C5891" s="8"/>
      <c r="D5891" s="9" t="s">
        <v>122</v>
      </c>
      <c r="E5891" s="10" t="s">
        <v>98</v>
      </c>
      <c r="F5891" s="86">
        <f>VLOOKUP(B5891,'HSD UPAH,BAHAN,ALAT'!$C$6:F5284,4,FALSE)</f>
        <v>10000</v>
      </c>
      <c r="G5891" s="87">
        <f t="shared" ref="G5891" si="756">E5891*F5891</f>
        <v>5</v>
      </c>
    </row>
    <row r="5892" spans="1:7">
      <c r="A5892" s="263" t="s">
        <v>419</v>
      </c>
      <c r="B5892" s="263"/>
      <c r="C5892" s="263"/>
      <c r="D5892" s="263"/>
      <c r="E5892" s="263"/>
      <c r="F5892" s="263"/>
      <c r="G5892" s="80">
        <f>SUM(G5891)</f>
        <v>5</v>
      </c>
    </row>
    <row r="5893" spans="1:7">
      <c r="A5893" s="81" t="s">
        <v>38</v>
      </c>
      <c r="B5893" s="262" t="s">
        <v>39</v>
      </c>
      <c r="C5893" s="262"/>
      <c r="D5893" s="262"/>
      <c r="E5893" s="262"/>
      <c r="F5893" s="262"/>
      <c r="G5893" s="118">
        <f>SUM(G5883:G5892)/2</f>
        <v>100076</v>
      </c>
    </row>
    <row r="5894" spans="1:7">
      <c r="A5894" s="81" t="s">
        <v>40</v>
      </c>
      <c r="B5894" s="262" t="s">
        <v>180</v>
      </c>
      <c r="C5894" s="262"/>
      <c r="D5894" s="262"/>
      <c r="E5894" s="262"/>
      <c r="F5894" s="82">
        <v>0.1</v>
      </c>
      <c r="G5894" s="80">
        <f>G5893*F5894</f>
        <v>10007.6</v>
      </c>
    </row>
    <row r="5895" spans="1:7">
      <c r="A5895" s="81" t="s">
        <v>41</v>
      </c>
      <c r="B5895" s="262" t="s">
        <v>42</v>
      </c>
      <c r="C5895" s="262"/>
      <c r="D5895" s="262"/>
      <c r="E5895" s="262"/>
      <c r="F5895" s="262"/>
      <c r="G5895" s="80">
        <f>G5893+G5894</f>
        <v>110083.6</v>
      </c>
    </row>
    <row r="5896" spans="1:7">
      <c r="A5896" s="90"/>
      <c r="B5896" s="91"/>
      <c r="C5896" s="91"/>
      <c r="D5896" s="91"/>
      <c r="E5896" s="91"/>
      <c r="F5896" s="91"/>
      <c r="G5896" s="92"/>
    </row>
    <row r="5897" spans="1:7">
      <c r="A5897" s="4" t="s">
        <v>662</v>
      </c>
      <c r="B5897" s="91"/>
      <c r="C5897" s="91"/>
      <c r="D5897" s="91"/>
      <c r="E5897" s="91"/>
      <c r="F5897" s="91"/>
      <c r="G5897" s="92"/>
    </row>
    <row r="5898" spans="1:7" ht="30">
      <c r="A5898" s="79" t="s">
        <v>0</v>
      </c>
      <c r="B5898" s="79" t="s">
        <v>1</v>
      </c>
      <c r="C5898" s="79" t="s">
        <v>207</v>
      </c>
      <c r="D5898" s="79" t="s">
        <v>3</v>
      </c>
      <c r="E5898" s="79" t="s">
        <v>2</v>
      </c>
      <c r="F5898" s="79" t="s">
        <v>417</v>
      </c>
      <c r="G5898" s="79" t="s">
        <v>418</v>
      </c>
    </row>
    <row r="5899" spans="1:7">
      <c r="A5899" s="8" t="s">
        <v>4</v>
      </c>
      <c r="B5899" s="1" t="s">
        <v>5</v>
      </c>
      <c r="C5899" s="8"/>
      <c r="D5899" s="9"/>
      <c r="E5899" s="19"/>
      <c r="F5899" s="2"/>
      <c r="G5899" s="2"/>
    </row>
    <row r="5900" spans="1:7">
      <c r="A5900" s="8">
        <v>1</v>
      </c>
      <c r="B5900" s="1" t="s">
        <v>48</v>
      </c>
      <c r="C5900" s="8" t="s">
        <v>49</v>
      </c>
      <c r="D5900" s="9" t="s">
        <v>8</v>
      </c>
      <c r="E5900" s="10" t="s">
        <v>166</v>
      </c>
      <c r="F5900" s="86">
        <f>VLOOKUP(B5900,'HSD UPAH,BAHAN,ALAT'!$C$6:F5291,4,FALSE)</f>
        <v>100000</v>
      </c>
      <c r="G5900" s="87">
        <f t="shared" ref="G5900:G5901" si="757">E5900*F5900</f>
        <v>111.00000000000001</v>
      </c>
    </row>
    <row r="5901" spans="1:7">
      <c r="A5901" s="8">
        <v>2</v>
      </c>
      <c r="B5901" s="1" t="s">
        <v>13</v>
      </c>
      <c r="C5901" s="8" t="s">
        <v>14</v>
      </c>
      <c r="D5901" s="9" t="s">
        <v>8</v>
      </c>
      <c r="E5901" s="10" t="s">
        <v>167</v>
      </c>
      <c r="F5901" s="86">
        <f>VLOOKUP(B5901,'HSD UPAH,BAHAN,ALAT'!$C$6:F5292,4,FALSE)</f>
        <v>100000</v>
      </c>
      <c r="G5901" s="87">
        <f t="shared" si="757"/>
        <v>22</v>
      </c>
    </row>
    <row r="5902" spans="1:7">
      <c r="A5902" s="261" t="s">
        <v>420</v>
      </c>
      <c r="B5902" s="261"/>
      <c r="C5902" s="261"/>
      <c r="D5902" s="261"/>
      <c r="E5902" s="261"/>
      <c r="F5902" s="261"/>
      <c r="G5902" s="85">
        <f>SUM(G5899:G5901)</f>
        <v>133</v>
      </c>
    </row>
    <row r="5903" spans="1:7">
      <c r="A5903" s="8" t="s">
        <v>16</v>
      </c>
      <c r="B5903" s="1" t="s">
        <v>17</v>
      </c>
      <c r="C5903" s="8"/>
      <c r="D5903" s="9"/>
      <c r="E5903" s="19"/>
      <c r="F5903" s="2"/>
      <c r="G5903" s="2"/>
    </row>
    <row r="5904" spans="1:7">
      <c r="A5904" s="8">
        <v>1</v>
      </c>
      <c r="B5904" s="1" t="s">
        <v>154</v>
      </c>
      <c r="C5904" s="8"/>
      <c r="D5904" s="9" t="s">
        <v>120</v>
      </c>
      <c r="E5904" s="10" t="s">
        <v>57</v>
      </c>
      <c r="F5904" s="86">
        <f>VLOOKUP(B5904,'HSD UPAH,BAHAN,ALAT'!$C$6:F5295,4,FALSE)</f>
        <v>10000</v>
      </c>
      <c r="G5904" s="87">
        <f t="shared" ref="G5904" si="758">E5904*F5904</f>
        <v>100000</v>
      </c>
    </row>
    <row r="5905" spans="1:7">
      <c r="A5905" s="261" t="s">
        <v>421</v>
      </c>
      <c r="B5905" s="261"/>
      <c r="C5905" s="261"/>
      <c r="D5905" s="261"/>
      <c r="E5905" s="261"/>
      <c r="F5905" s="261"/>
      <c r="G5905" s="85">
        <f>SUM(G5904:G5904)</f>
        <v>100000</v>
      </c>
    </row>
    <row r="5906" spans="1:7">
      <c r="A5906" s="8" t="s">
        <v>36</v>
      </c>
      <c r="B5906" s="1" t="s">
        <v>37</v>
      </c>
      <c r="C5906" s="8"/>
      <c r="D5906" s="9"/>
      <c r="E5906" s="19"/>
      <c r="F5906" s="2"/>
      <c r="G5906" s="2"/>
    </row>
    <row r="5907" spans="1:7">
      <c r="A5907" s="8"/>
      <c r="B5907" s="1" t="s">
        <v>385</v>
      </c>
      <c r="C5907" s="8"/>
      <c r="D5907" s="9" t="s">
        <v>122</v>
      </c>
      <c r="E5907" s="10" t="s">
        <v>98</v>
      </c>
      <c r="F5907" s="86">
        <f>VLOOKUP(B5907,'HSD UPAH,BAHAN,ALAT'!$C$6:F5298,4,FALSE)</f>
        <v>10000</v>
      </c>
      <c r="G5907" s="87">
        <f t="shared" ref="G5907" si="759">E5907*F5907</f>
        <v>5</v>
      </c>
    </row>
    <row r="5908" spans="1:7">
      <c r="A5908" s="263" t="s">
        <v>419</v>
      </c>
      <c r="B5908" s="263"/>
      <c r="C5908" s="263"/>
      <c r="D5908" s="263"/>
      <c r="E5908" s="263"/>
      <c r="F5908" s="263"/>
      <c r="G5908" s="80">
        <f>SUM(G5907)</f>
        <v>5</v>
      </c>
    </row>
    <row r="5909" spans="1:7">
      <c r="A5909" s="81" t="s">
        <v>38</v>
      </c>
      <c r="B5909" s="262" t="s">
        <v>39</v>
      </c>
      <c r="C5909" s="262"/>
      <c r="D5909" s="262"/>
      <c r="E5909" s="262"/>
      <c r="F5909" s="262"/>
      <c r="G5909" s="118">
        <f>SUM(G5899:G5908)/2</f>
        <v>100138</v>
      </c>
    </row>
    <row r="5910" spans="1:7">
      <c r="A5910" s="81" t="s">
        <v>40</v>
      </c>
      <c r="B5910" s="262" t="s">
        <v>180</v>
      </c>
      <c r="C5910" s="262"/>
      <c r="D5910" s="262"/>
      <c r="E5910" s="262"/>
      <c r="F5910" s="82">
        <v>0.1</v>
      </c>
      <c r="G5910" s="80">
        <f>G5909*F5910</f>
        <v>10013.800000000001</v>
      </c>
    </row>
    <row r="5911" spans="1:7">
      <c r="A5911" s="81" t="s">
        <v>41</v>
      </c>
      <c r="B5911" s="262" t="s">
        <v>42</v>
      </c>
      <c r="C5911" s="262"/>
      <c r="D5911" s="262"/>
      <c r="E5911" s="262"/>
      <c r="F5911" s="262"/>
      <c r="G5911" s="80">
        <f>G5909+G5910</f>
        <v>110151.8</v>
      </c>
    </row>
    <row r="5912" spans="1:7">
      <c r="A5912" s="90"/>
      <c r="B5912" s="91"/>
      <c r="C5912" s="91"/>
      <c r="D5912" s="91"/>
      <c r="E5912" s="91"/>
      <c r="F5912" s="91"/>
      <c r="G5912" s="92"/>
    </row>
    <row r="5913" spans="1:7">
      <c r="A5913" s="4" t="s">
        <v>663</v>
      </c>
      <c r="B5913" s="91"/>
      <c r="C5913" s="91"/>
      <c r="D5913" s="91"/>
      <c r="E5913" s="91"/>
      <c r="F5913" s="91"/>
      <c r="G5913" s="92"/>
    </row>
    <row r="5914" spans="1:7" ht="30">
      <c r="A5914" s="79" t="s">
        <v>0</v>
      </c>
      <c r="B5914" s="79" t="s">
        <v>1</v>
      </c>
      <c r="C5914" s="79" t="s">
        <v>207</v>
      </c>
      <c r="D5914" s="79" t="s">
        <v>3</v>
      </c>
      <c r="E5914" s="79" t="s">
        <v>2</v>
      </c>
      <c r="F5914" s="79" t="s">
        <v>417</v>
      </c>
      <c r="G5914" s="79" t="s">
        <v>418</v>
      </c>
    </row>
    <row r="5915" spans="1:7">
      <c r="A5915" s="8" t="s">
        <v>4</v>
      </c>
      <c r="B5915" s="1" t="s">
        <v>5</v>
      </c>
      <c r="C5915" s="8"/>
      <c r="D5915" s="9"/>
      <c r="E5915" s="19"/>
      <c r="F5915" s="2"/>
      <c r="G5915" s="2"/>
    </row>
    <row r="5916" spans="1:7">
      <c r="A5916" s="8">
        <v>1</v>
      </c>
      <c r="B5916" s="1" t="s">
        <v>48</v>
      </c>
      <c r="C5916" s="8" t="s">
        <v>49</v>
      </c>
      <c r="D5916" s="9" t="s">
        <v>8</v>
      </c>
      <c r="E5916" s="10" t="s">
        <v>162</v>
      </c>
      <c r="F5916" s="86">
        <f>VLOOKUP(B5916,'HSD UPAH,BAHAN,ALAT'!$C$6:F5305,4,FALSE)</f>
        <v>100000</v>
      </c>
      <c r="G5916" s="87">
        <f t="shared" ref="G5916:G5917" si="760">E5916*F5916</f>
        <v>51.000000000000007</v>
      </c>
    </row>
    <row r="5917" spans="1:7">
      <c r="A5917" s="8">
        <v>2</v>
      </c>
      <c r="B5917" s="1" t="s">
        <v>13</v>
      </c>
      <c r="C5917" s="8" t="s">
        <v>14</v>
      </c>
      <c r="D5917" s="9" t="s">
        <v>8</v>
      </c>
      <c r="E5917" s="10" t="s">
        <v>163</v>
      </c>
      <c r="F5917" s="86">
        <f>VLOOKUP(B5917,'HSD UPAH,BAHAN,ALAT'!$C$6:F5306,4,FALSE)</f>
        <v>100000</v>
      </c>
      <c r="G5917" s="87">
        <f t="shared" si="760"/>
        <v>5</v>
      </c>
    </row>
    <row r="5918" spans="1:7">
      <c r="A5918" s="261" t="s">
        <v>420</v>
      </c>
      <c r="B5918" s="261"/>
      <c r="C5918" s="261"/>
      <c r="D5918" s="261"/>
      <c r="E5918" s="261"/>
      <c r="F5918" s="261"/>
      <c r="G5918" s="85">
        <f>SUM(G5915:G5917)</f>
        <v>56.000000000000007</v>
      </c>
    </row>
    <row r="5919" spans="1:7">
      <c r="A5919" s="8" t="s">
        <v>16</v>
      </c>
      <c r="B5919" s="1" t="s">
        <v>17</v>
      </c>
      <c r="C5919" s="8"/>
      <c r="D5919" s="9"/>
      <c r="E5919" s="19"/>
      <c r="F5919" s="2"/>
      <c r="G5919" s="2"/>
    </row>
    <row r="5920" spans="1:7">
      <c r="A5920" s="8">
        <v>1</v>
      </c>
      <c r="B5920" s="1" t="s">
        <v>154</v>
      </c>
      <c r="C5920" s="8"/>
      <c r="D5920" s="9" t="s">
        <v>120</v>
      </c>
      <c r="E5920" s="10" t="s">
        <v>57</v>
      </c>
      <c r="F5920" s="86">
        <f>VLOOKUP(B5920,'HSD UPAH,BAHAN,ALAT'!$C$6:F5309,4,FALSE)</f>
        <v>10000</v>
      </c>
      <c r="G5920" s="87">
        <f t="shared" ref="G5920" si="761">E5920*F5920</f>
        <v>100000</v>
      </c>
    </row>
    <row r="5921" spans="1:7">
      <c r="A5921" s="261" t="s">
        <v>421</v>
      </c>
      <c r="B5921" s="261"/>
      <c r="C5921" s="261"/>
      <c r="D5921" s="261"/>
      <c r="E5921" s="261"/>
      <c r="F5921" s="261"/>
      <c r="G5921" s="85">
        <f>SUM(G5920:G5920)</f>
        <v>100000</v>
      </c>
    </row>
    <row r="5922" spans="1:7">
      <c r="A5922" s="8" t="s">
        <v>36</v>
      </c>
      <c r="B5922" s="1" t="s">
        <v>37</v>
      </c>
      <c r="C5922" s="8"/>
      <c r="D5922" s="9"/>
      <c r="E5922" s="19"/>
      <c r="F5922" s="2"/>
      <c r="G5922" s="2"/>
    </row>
    <row r="5923" spans="1:7">
      <c r="A5923" s="8"/>
      <c r="B5923" s="1"/>
      <c r="C5923" s="8"/>
      <c r="D5923" s="9"/>
      <c r="E5923" s="19"/>
      <c r="F5923" s="2"/>
      <c r="G5923" s="2"/>
    </row>
    <row r="5924" spans="1:7">
      <c r="A5924" s="263" t="s">
        <v>419</v>
      </c>
      <c r="B5924" s="263"/>
      <c r="C5924" s="263"/>
      <c r="D5924" s="263"/>
      <c r="E5924" s="263"/>
      <c r="F5924" s="263"/>
      <c r="G5924" s="80">
        <f>SUM(G5923)</f>
        <v>0</v>
      </c>
    </row>
    <row r="5925" spans="1:7">
      <c r="A5925" s="81" t="s">
        <v>38</v>
      </c>
      <c r="B5925" s="262" t="s">
        <v>39</v>
      </c>
      <c r="C5925" s="262"/>
      <c r="D5925" s="262"/>
      <c r="E5925" s="262"/>
      <c r="F5925" s="262"/>
      <c r="G5925" s="118">
        <f>SUM(G5915:G5924)/2</f>
        <v>100056</v>
      </c>
    </row>
    <row r="5926" spans="1:7">
      <c r="A5926" s="81" t="s">
        <v>40</v>
      </c>
      <c r="B5926" s="262" t="s">
        <v>180</v>
      </c>
      <c r="C5926" s="262"/>
      <c r="D5926" s="262"/>
      <c r="E5926" s="262"/>
      <c r="F5926" s="82">
        <v>0.1</v>
      </c>
      <c r="G5926" s="80">
        <f>G5925*F5926</f>
        <v>10005.6</v>
      </c>
    </row>
    <row r="5927" spans="1:7">
      <c r="A5927" s="81" t="s">
        <v>41</v>
      </c>
      <c r="B5927" s="262" t="s">
        <v>42</v>
      </c>
      <c r="C5927" s="262"/>
      <c r="D5927" s="262"/>
      <c r="E5927" s="262"/>
      <c r="F5927" s="262"/>
      <c r="G5927" s="80">
        <f>G5925+G5926</f>
        <v>110061.6</v>
      </c>
    </row>
    <row r="5928" spans="1:7">
      <c r="A5928" s="90"/>
      <c r="B5928" s="91"/>
      <c r="C5928" s="91"/>
      <c r="D5928" s="91"/>
      <c r="E5928" s="91"/>
      <c r="F5928" s="91"/>
      <c r="G5928" s="92"/>
    </row>
    <row r="5929" spans="1:7">
      <c r="A5929" s="4" t="s">
        <v>664</v>
      </c>
      <c r="B5929" s="91"/>
      <c r="C5929" s="91"/>
      <c r="D5929" s="91"/>
      <c r="E5929" s="91"/>
      <c r="F5929" s="91"/>
      <c r="G5929" s="92"/>
    </row>
    <row r="5930" spans="1:7" ht="30">
      <c r="A5930" s="79" t="s">
        <v>0</v>
      </c>
      <c r="B5930" s="79" t="s">
        <v>1</v>
      </c>
      <c r="C5930" s="79" t="s">
        <v>207</v>
      </c>
      <c r="D5930" s="79" t="s">
        <v>3</v>
      </c>
      <c r="E5930" s="79" t="s">
        <v>2</v>
      </c>
      <c r="F5930" s="79" t="s">
        <v>417</v>
      </c>
      <c r="G5930" s="79" t="s">
        <v>418</v>
      </c>
    </row>
    <row r="5931" spans="1:7">
      <c r="A5931" s="8" t="s">
        <v>4</v>
      </c>
      <c r="B5931" s="1" t="s">
        <v>5</v>
      </c>
      <c r="C5931" s="8"/>
      <c r="D5931" s="9"/>
      <c r="E5931" s="19"/>
      <c r="F5931" s="2"/>
      <c r="G5931" s="2"/>
    </row>
    <row r="5932" spans="1:7">
      <c r="A5932" s="8">
        <v>1</v>
      </c>
      <c r="B5932" s="1" t="s">
        <v>48</v>
      </c>
      <c r="C5932" s="8" t="s">
        <v>49</v>
      </c>
      <c r="D5932" s="9" t="s">
        <v>8</v>
      </c>
      <c r="E5932" s="10" t="s">
        <v>164</v>
      </c>
      <c r="F5932" s="86">
        <f>VLOOKUP(B5932,'HSD UPAH,BAHAN,ALAT'!$C$6:F5319,4,FALSE)</f>
        <v>100000</v>
      </c>
      <c r="G5932" s="87">
        <f t="shared" ref="G5932:G5933" si="762">E5932*F5932</f>
        <v>62</v>
      </c>
    </row>
    <row r="5933" spans="1:7">
      <c r="A5933" s="8">
        <v>2</v>
      </c>
      <c r="B5933" s="1" t="s">
        <v>13</v>
      </c>
      <c r="C5933" s="8" t="s">
        <v>14</v>
      </c>
      <c r="D5933" s="9" t="s">
        <v>8</v>
      </c>
      <c r="E5933" s="10" t="s">
        <v>165</v>
      </c>
      <c r="F5933" s="86">
        <f>VLOOKUP(B5933,'HSD UPAH,BAHAN,ALAT'!$C$6:F5320,4,FALSE)</f>
        <v>100000</v>
      </c>
      <c r="G5933" s="87">
        <f t="shared" si="762"/>
        <v>9</v>
      </c>
    </row>
    <row r="5934" spans="1:7">
      <c r="A5934" s="261" t="s">
        <v>420</v>
      </c>
      <c r="B5934" s="261"/>
      <c r="C5934" s="261"/>
      <c r="D5934" s="261"/>
      <c r="E5934" s="261"/>
      <c r="F5934" s="261"/>
      <c r="G5934" s="85">
        <f>SUM(G5931:G5933)</f>
        <v>71</v>
      </c>
    </row>
    <row r="5935" spans="1:7">
      <c r="A5935" s="8" t="s">
        <v>16</v>
      </c>
      <c r="B5935" s="1" t="s">
        <v>17</v>
      </c>
      <c r="C5935" s="8"/>
      <c r="D5935" s="9"/>
      <c r="E5935" s="19"/>
      <c r="F5935" s="2"/>
      <c r="G5935" s="2"/>
    </row>
    <row r="5936" spans="1:7">
      <c r="A5936" s="8">
        <v>1</v>
      </c>
      <c r="B5936" s="1" t="s">
        <v>154</v>
      </c>
      <c r="C5936" s="8"/>
      <c r="D5936" s="9" t="s">
        <v>120</v>
      </c>
      <c r="E5936" s="10" t="s">
        <v>57</v>
      </c>
      <c r="F5936" s="86">
        <f>VLOOKUP(B5936,'HSD UPAH,BAHAN,ALAT'!$C$6:F5323,4,FALSE)</f>
        <v>10000</v>
      </c>
      <c r="G5936" s="87">
        <f t="shared" ref="G5936" si="763">E5936*F5936</f>
        <v>100000</v>
      </c>
    </row>
    <row r="5937" spans="1:7">
      <c r="A5937" s="261" t="s">
        <v>421</v>
      </c>
      <c r="B5937" s="261"/>
      <c r="C5937" s="261"/>
      <c r="D5937" s="261"/>
      <c r="E5937" s="261"/>
      <c r="F5937" s="261"/>
      <c r="G5937" s="85">
        <f>SUM(G5936:G5936)</f>
        <v>100000</v>
      </c>
    </row>
    <row r="5938" spans="1:7">
      <c r="A5938" s="8" t="s">
        <v>36</v>
      </c>
      <c r="B5938" s="1" t="s">
        <v>37</v>
      </c>
      <c r="C5938" s="8"/>
      <c r="D5938" s="9"/>
      <c r="E5938" s="19"/>
      <c r="F5938" s="2"/>
      <c r="G5938" s="2"/>
    </row>
    <row r="5939" spans="1:7">
      <c r="A5939" s="8"/>
      <c r="B5939" s="1"/>
      <c r="C5939" s="8"/>
      <c r="D5939" s="9"/>
      <c r="E5939" s="19"/>
      <c r="F5939" s="2"/>
      <c r="G5939" s="2"/>
    </row>
    <row r="5940" spans="1:7">
      <c r="A5940" s="263" t="s">
        <v>419</v>
      </c>
      <c r="B5940" s="263"/>
      <c r="C5940" s="263"/>
      <c r="D5940" s="263"/>
      <c r="E5940" s="263"/>
      <c r="F5940" s="263"/>
      <c r="G5940" s="80">
        <f>SUM(G5939)</f>
        <v>0</v>
      </c>
    </row>
    <row r="5941" spans="1:7">
      <c r="A5941" s="81" t="s">
        <v>38</v>
      </c>
      <c r="B5941" s="262" t="s">
        <v>39</v>
      </c>
      <c r="C5941" s="262"/>
      <c r="D5941" s="262"/>
      <c r="E5941" s="262"/>
      <c r="F5941" s="262"/>
      <c r="G5941" s="118">
        <f>SUM(G5931:G5940)/2</f>
        <v>100071</v>
      </c>
    </row>
    <row r="5942" spans="1:7">
      <c r="A5942" s="81" t="s">
        <v>40</v>
      </c>
      <c r="B5942" s="262" t="s">
        <v>180</v>
      </c>
      <c r="C5942" s="262"/>
      <c r="D5942" s="262"/>
      <c r="E5942" s="262"/>
      <c r="F5942" s="82">
        <v>0.1</v>
      </c>
      <c r="G5942" s="80">
        <f>G5941*F5942</f>
        <v>10007.1</v>
      </c>
    </row>
    <row r="5943" spans="1:7">
      <c r="A5943" s="81" t="s">
        <v>41</v>
      </c>
      <c r="B5943" s="262" t="s">
        <v>42</v>
      </c>
      <c r="C5943" s="262"/>
      <c r="D5943" s="262"/>
      <c r="E5943" s="262"/>
      <c r="F5943" s="262"/>
      <c r="G5943" s="80">
        <f>G5941+G5942</f>
        <v>110078.1</v>
      </c>
    </row>
    <row r="5944" spans="1:7">
      <c r="A5944" s="90"/>
      <c r="B5944" s="91"/>
      <c r="C5944" s="91"/>
      <c r="D5944" s="91"/>
      <c r="E5944" s="91"/>
      <c r="F5944" s="91"/>
      <c r="G5944" s="92"/>
    </row>
    <row r="5945" spans="1:7">
      <c r="A5945" s="4" t="s">
        <v>665</v>
      </c>
      <c r="B5945" s="91"/>
      <c r="C5945" s="91"/>
      <c r="D5945" s="91"/>
      <c r="E5945" s="91"/>
      <c r="F5945" s="91"/>
      <c r="G5945" s="92"/>
    </row>
    <row r="5946" spans="1:7" ht="30">
      <c r="A5946" s="79" t="s">
        <v>0</v>
      </c>
      <c r="B5946" s="79" t="s">
        <v>1</v>
      </c>
      <c r="C5946" s="79" t="s">
        <v>207</v>
      </c>
      <c r="D5946" s="79" t="s">
        <v>3</v>
      </c>
      <c r="E5946" s="79" t="s">
        <v>2</v>
      </c>
      <c r="F5946" s="79" t="s">
        <v>417</v>
      </c>
      <c r="G5946" s="79" t="s">
        <v>418</v>
      </c>
    </row>
    <row r="5947" spans="1:7">
      <c r="A5947" s="8" t="s">
        <v>4</v>
      </c>
      <c r="B5947" s="1" t="s">
        <v>5</v>
      </c>
      <c r="C5947" s="8"/>
      <c r="D5947" s="9"/>
      <c r="E5947" s="19"/>
      <c r="F5947" s="2"/>
      <c r="G5947" s="2"/>
    </row>
    <row r="5948" spans="1:7">
      <c r="A5948" s="8">
        <v>1</v>
      </c>
      <c r="B5948" s="1" t="s">
        <v>48</v>
      </c>
      <c r="C5948" s="8" t="s">
        <v>49</v>
      </c>
      <c r="D5948" s="9" t="s">
        <v>8</v>
      </c>
      <c r="E5948" s="10" t="s">
        <v>166</v>
      </c>
      <c r="F5948" s="86">
        <f>VLOOKUP(B5948,'HSD UPAH,BAHAN,ALAT'!$C$6:F5333,4,FALSE)</f>
        <v>100000</v>
      </c>
      <c r="G5948" s="87">
        <f t="shared" ref="G5948:G5949" si="764">E5948*F5948</f>
        <v>111.00000000000001</v>
      </c>
    </row>
    <row r="5949" spans="1:7">
      <c r="A5949" s="8">
        <v>2</v>
      </c>
      <c r="B5949" s="1" t="s">
        <v>13</v>
      </c>
      <c r="C5949" s="8" t="s">
        <v>14</v>
      </c>
      <c r="D5949" s="9" t="s">
        <v>8</v>
      </c>
      <c r="E5949" s="10" t="s">
        <v>167</v>
      </c>
      <c r="F5949" s="86">
        <f>VLOOKUP(B5949,'HSD UPAH,BAHAN,ALAT'!$C$6:F5334,4,FALSE)</f>
        <v>100000</v>
      </c>
      <c r="G5949" s="87">
        <f t="shared" si="764"/>
        <v>22</v>
      </c>
    </row>
    <row r="5950" spans="1:7">
      <c r="A5950" s="261" t="s">
        <v>420</v>
      </c>
      <c r="B5950" s="261"/>
      <c r="C5950" s="261"/>
      <c r="D5950" s="261"/>
      <c r="E5950" s="261"/>
      <c r="F5950" s="261"/>
      <c r="G5950" s="85">
        <f>SUM(G5947:G5949)</f>
        <v>133</v>
      </c>
    </row>
    <row r="5951" spans="1:7">
      <c r="A5951" s="8" t="s">
        <v>16</v>
      </c>
      <c r="B5951" s="1" t="s">
        <v>17</v>
      </c>
      <c r="C5951" s="8"/>
      <c r="D5951" s="9"/>
      <c r="E5951" s="19"/>
      <c r="F5951" s="2"/>
      <c r="G5951" s="2"/>
    </row>
    <row r="5952" spans="1:7">
      <c r="A5952" s="8">
        <v>1</v>
      </c>
      <c r="B5952" s="1" t="s">
        <v>154</v>
      </c>
      <c r="C5952" s="8"/>
      <c r="D5952" s="9" t="s">
        <v>120</v>
      </c>
      <c r="E5952" s="10" t="s">
        <v>57</v>
      </c>
      <c r="F5952" s="86">
        <f>VLOOKUP(B5952,'HSD UPAH,BAHAN,ALAT'!$C$6:F5337,4,FALSE)</f>
        <v>10000</v>
      </c>
      <c r="G5952" s="87">
        <f t="shared" ref="G5952" si="765">E5952*F5952</f>
        <v>100000</v>
      </c>
    </row>
    <row r="5953" spans="1:7">
      <c r="A5953" s="261" t="s">
        <v>421</v>
      </c>
      <c r="B5953" s="261"/>
      <c r="C5953" s="261"/>
      <c r="D5953" s="261"/>
      <c r="E5953" s="261"/>
      <c r="F5953" s="261"/>
      <c r="G5953" s="85">
        <f>SUM(G5952:G5952)</f>
        <v>100000</v>
      </c>
    </row>
    <row r="5954" spans="1:7">
      <c r="A5954" s="8" t="s">
        <v>36</v>
      </c>
      <c r="B5954" s="1" t="s">
        <v>37</v>
      </c>
      <c r="C5954" s="8"/>
      <c r="D5954" s="9"/>
      <c r="E5954" s="19"/>
      <c r="F5954" s="2"/>
      <c r="G5954" s="2"/>
    </row>
    <row r="5955" spans="1:7">
      <c r="A5955" s="8"/>
      <c r="B5955" s="1"/>
      <c r="C5955" s="8"/>
      <c r="D5955" s="9"/>
      <c r="E5955" s="19"/>
      <c r="F5955" s="2"/>
      <c r="G5955" s="2"/>
    </row>
    <row r="5956" spans="1:7">
      <c r="A5956" s="263" t="s">
        <v>419</v>
      </c>
      <c r="B5956" s="263"/>
      <c r="C5956" s="263"/>
      <c r="D5956" s="263"/>
      <c r="E5956" s="263"/>
      <c r="F5956" s="263"/>
      <c r="G5956" s="80">
        <f>SUM(G5955)</f>
        <v>0</v>
      </c>
    </row>
    <row r="5957" spans="1:7">
      <c r="A5957" s="81" t="s">
        <v>38</v>
      </c>
      <c r="B5957" s="262" t="s">
        <v>39</v>
      </c>
      <c r="C5957" s="262"/>
      <c r="D5957" s="262"/>
      <c r="E5957" s="262"/>
      <c r="F5957" s="262"/>
      <c r="G5957" s="118">
        <f>SUM(G5947:G5956)/2</f>
        <v>100133</v>
      </c>
    </row>
    <row r="5958" spans="1:7">
      <c r="A5958" s="81" t="s">
        <v>40</v>
      </c>
      <c r="B5958" s="262" t="s">
        <v>180</v>
      </c>
      <c r="C5958" s="262"/>
      <c r="D5958" s="262"/>
      <c r="E5958" s="262"/>
      <c r="F5958" s="82">
        <v>0.1</v>
      </c>
      <c r="G5958" s="80">
        <f>G5957*F5958</f>
        <v>10013.300000000001</v>
      </c>
    </row>
    <row r="5959" spans="1:7">
      <c r="A5959" s="81" t="s">
        <v>41</v>
      </c>
      <c r="B5959" s="262" t="s">
        <v>42</v>
      </c>
      <c r="C5959" s="262"/>
      <c r="D5959" s="262"/>
      <c r="E5959" s="262"/>
      <c r="F5959" s="262"/>
      <c r="G5959" s="80">
        <f>G5957+G5958</f>
        <v>110146.3</v>
      </c>
    </row>
    <row r="5960" spans="1:7">
      <c r="A5960" s="90"/>
      <c r="B5960" s="91"/>
      <c r="C5960" s="91"/>
      <c r="D5960" s="91"/>
      <c r="E5960" s="91"/>
      <c r="F5960" s="91"/>
      <c r="G5960" s="92"/>
    </row>
    <row r="5961" spans="1:7">
      <c r="A5961" s="4" t="s">
        <v>445</v>
      </c>
      <c r="B5961" s="91"/>
      <c r="C5961" s="91"/>
      <c r="D5961" s="91"/>
      <c r="E5961" s="91"/>
      <c r="F5961" s="91"/>
      <c r="G5961" s="92"/>
    </row>
    <row r="5962" spans="1:7">
      <c r="A5962" s="4" t="s">
        <v>446</v>
      </c>
      <c r="B5962" s="91"/>
      <c r="C5962" s="91"/>
      <c r="D5962" s="91"/>
      <c r="E5962" s="91"/>
      <c r="F5962" s="91"/>
      <c r="G5962" s="92"/>
    </row>
    <row r="5963" spans="1:7">
      <c r="A5963" s="4" t="s">
        <v>666</v>
      </c>
      <c r="B5963" s="91"/>
      <c r="C5963" s="91"/>
      <c r="D5963" s="91"/>
      <c r="E5963" s="91"/>
      <c r="F5963" s="91"/>
      <c r="G5963" s="92"/>
    </row>
    <row r="5964" spans="1:7" ht="30">
      <c r="A5964" s="79" t="s">
        <v>0</v>
      </c>
      <c r="B5964" s="79" t="s">
        <v>1</v>
      </c>
      <c r="C5964" s="79" t="s">
        <v>207</v>
      </c>
      <c r="D5964" s="79" t="s">
        <v>3</v>
      </c>
      <c r="E5964" s="79" t="s">
        <v>2</v>
      </c>
      <c r="F5964" s="79" t="s">
        <v>417</v>
      </c>
      <c r="G5964" s="79" t="s">
        <v>418</v>
      </c>
    </row>
    <row r="5965" spans="1:7">
      <c r="A5965" s="8" t="s">
        <v>4</v>
      </c>
      <c r="B5965" s="1" t="s">
        <v>5</v>
      </c>
      <c r="C5965" s="8"/>
      <c r="D5965" s="9"/>
      <c r="E5965" s="19"/>
      <c r="F5965" s="2"/>
      <c r="G5965" s="2"/>
    </row>
    <row r="5966" spans="1:7">
      <c r="A5966" s="8">
        <v>1</v>
      </c>
      <c r="B5966" s="1" t="s">
        <v>48</v>
      </c>
      <c r="C5966" s="8" t="s">
        <v>49</v>
      </c>
      <c r="D5966" s="9" t="s">
        <v>8</v>
      </c>
      <c r="E5966" s="10" t="s">
        <v>129</v>
      </c>
      <c r="F5966" s="86">
        <f>VLOOKUP(B5966,'HSD UPAH,BAHAN,ALAT'!$C$6:F5347,4,FALSE)</f>
        <v>100000</v>
      </c>
      <c r="G5966" s="87">
        <f t="shared" ref="G5966:G5967" si="766">E5966*F5966</f>
        <v>40</v>
      </c>
    </row>
    <row r="5967" spans="1:7">
      <c r="A5967" s="8">
        <v>2</v>
      </c>
      <c r="B5967" s="1" t="s">
        <v>13</v>
      </c>
      <c r="C5967" s="8" t="s">
        <v>14</v>
      </c>
      <c r="D5967" s="9" t="s">
        <v>8</v>
      </c>
      <c r="E5967" s="10" t="s">
        <v>156</v>
      </c>
      <c r="F5967" s="86">
        <f>VLOOKUP(B5967,'HSD UPAH,BAHAN,ALAT'!$C$6:F5348,4,FALSE)</f>
        <v>100000</v>
      </c>
      <c r="G5967" s="87">
        <f t="shared" si="766"/>
        <v>2</v>
      </c>
    </row>
    <row r="5968" spans="1:7">
      <c r="A5968" s="261" t="s">
        <v>420</v>
      </c>
      <c r="B5968" s="261"/>
      <c r="C5968" s="261"/>
      <c r="D5968" s="261"/>
      <c r="E5968" s="261"/>
      <c r="F5968" s="261"/>
      <c r="G5968" s="85">
        <f>SUM(G5965:G5967)</f>
        <v>42</v>
      </c>
    </row>
    <row r="5969" spans="1:7">
      <c r="A5969" s="8" t="s">
        <v>16</v>
      </c>
      <c r="B5969" s="1" t="s">
        <v>17</v>
      </c>
      <c r="C5969" s="8"/>
      <c r="D5969" s="9"/>
      <c r="E5969" s="19"/>
      <c r="F5969" s="2"/>
      <c r="G5969" s="2"/>
    </row>
    <row r="5970" spans="1:7">
      <c r="A5970" s="8">
        <v>1</v>
      </c>
      <c r="B5970" s="1" t="s">
        <v>154</v>
      </c>
      <c r="C5970" s="8"/>
      <c r="D5970" s="9" t="s">
        <v>120</v>
      </c>
      <c r="E5970" s="10" t="s">
        <v>155</v>
      </c>
      <c r="F5970" s="86">
        <f>VLOOKUP(B5970,'HSD UPAH,BAHAN,ALAT'!$C$6:F5351,4,FALSE)</f>
        <v>10000</v>
      </c>
      <c r="G5970" s="87">
        <f t="shared" ref="G5970" si="767">E5970*F5970</f>
        <v>50000</v>
      </c>
    </row>
    <row r="5971" spans="1:7">
      <c r="A5971" s="261" t="s">
        <v>421</v>
      </c>
      <c r="B5971" s="261"/>
      <c r="C5971" s="261"/>
      <c r="D5971" s="261"/>
      <c r="E5971" s="261"/>
      <c r="F5971" s="261"/>
      <c r="G5971" s="85">
        <f>SUM(G5970:G5970)</f>
        <v>50000</v>
      </c>
    </row>
    <row r="5972" spans="1:7">
      <c r="A5972" s="8" t="s">
        <v>36</v>
      </c>
      <c r="B5972" s="1" t="s">
        <v>37</v>
      </c>
      <c r="C5972" s="8"/>
      <c r="D5972" s="9"/>
      <c r="E5972" s="19"/>
      <c r="F5972" s="2"/>
      <c r="G5972" s="2"/>
    </row>
    <row r="5973" spans="1:7">
      <c r="A5973" s="8"/>
      <c r="B5973" s="1"/>
      <c r="C5973" s="8"/>
      <c r="D5973" s="9"/>
      <c r="E5973" s="19"/>
      <c r="F5973" s="2"/>
      <c r="G5973" s="2"/>
    </row>
    <row r="5974" spans="1:7">
      <c r="A5974" s="263" t="s">
        <v>419</v>
      </c>
      <c r="B5974" s="263"/>
      <c r="C5974" s="263"/>
      <c r="D5974" s="263"/>
      <c r="E5974" s="263"/>
      <c r="F5974" s="263"/>
      <c r="G5974" s="80">
        <f>SUM(G5973)</f>
        <v>0</v>
      </c>
    </row>
    <row r="5975" spans="1:7">
      <c r="A5975" s="81" t="s">
        <v>38</v>
      </c>
      <c r="B5975" s="262" t="s">
        <v>39</v>
      </c>
      <c r="C5975" s="262"/>
      <c r="D5975" s="262"/>
      <c r="E5975" s="262"/>
      <c r="F5975" s="262"/>
      <c r="G5975" s="118">
        <f>SUM(G5965:G5974)/2</f>
        <v>50042</v>
      </c>
    </row>
    <row r="5976" spans="1:7">
      <c r="A5976" s="81" t="s">
        <v>40</v>
      </c>
      <c r="B5976" s="262" t="s">
        <v>180</v>
      </c>
      <c r="C5976" s="262"/>
      <c r="D5976" s="262"/>
      <c r="E5976" s="262"/>
      <c r="F5976" s="82">
        <v>0.1</v>
      </c>
      <c r="G5976" s="80">
        <f>G5975*F5976</f>
        <v>5004.2000000000007</v>
      </c>
    </row>
    <row r="5977" spans="1:7">
      <c r="A5977" s="81" t="s">
        <v>41</v>
      </c>
      <c r="B5977" s="262" t="s">
        <v>42</v>
      </c>
      <c r="C5977" s="262"/>
      <c r="D5977" s="262"/>
      <c r="E5977" s="262"/>
      <c r="F5977" s="262"/>
      <c r="G5977" s="80">
        <f>G5975+G5976</f>
        <v>55046.2</v>
      </c>
    </row>
    <row r="5978" spans="1:7">
      <c r="A5978" s="90"/>
      <c r="B5978" s="91"/>
      <c r="C5978" s="91"/>
      <c r="D5978" s="91"/>
      <c r="E5978" s="91"/>
      <c r="F5978" s="91"/>
      <c r="G5978" s="92"/>
    </row>
    <row r="5979" spans="1:7">
      <c r="A5979" s="4" t="s">
        <v>486</v>
      </c>
      <c r="B5979" s="91"/>
      <c r="C5979" s="91"/>
      <c r="D5979" s="91"/>
      <c r="E5979" s="91"/>
      <c r="F5979" s="91"/>
      <c r="G5979" s="92"/>
    </row>
    <row r="5980" spans="1:7" ht="30">
      <c r="A5980" s="79" t="s">
        <v>0</v>
      </c>
      <c r="B5980" s="79" t="s">
        <v>1</v>
      </c>
      <c r="C5980" s="79" t="s">
        <v>207</v>
      </c>
      <c r="D5980" s="79" t="s">
        <v>3</v>
      </c>
      <c r="E5980" s="79" t="s">
        <v>2</v>
      </c>
      <c r="F5980" s="79" t="s">
        <v>417</v>
      </c>
      <c r="G5980" s="79" t="s">
        <v>418</v>
      </c>
    </row>
    <row r="5981" spans="1:7">
      <c r="A5981" s="8" t="s">
        <v>4</v>
      </c>
      <c r="B5981" s="1" t="s">
        <v>5</v>
      </c>
      <c r="C5981" s="8"/>
      <c r="D5981" s="9"/>
      <c r="E5981" s="19"/>
      <c r="F5981" s="2"/>
      <c r="G5981" s="2"/>
    </row>
    <row r="5982" spans="1:7">
      <c r="A5982" s="8">
        <v>1</v>
      </c>
      <c r="B5982" s="1" t="s">
        <v>48</v>
      </c>
      <c r="C5982" s="8" t="s">
        <v>49</v>
      </c>
      <c r="D5982" s="9" t="s">
        <v>8</v>
      </c>
      <c r="E5982" s="10" t="s">
        <v>159</v>
      </c>
      <c r="F5982" s="86">
        <f>VLOOKUP(B5982,'HSD UPAH,BAHAN,ALAT'!$C$6:F5361,4,FALSE)</f>
        <v>100000</v>
      </c>
      <c r="G5982" s="87">
        <f t="shared" ref="G5982:G5983" si="768">E5982*F5982</f>
        <v>27</v>
      </c>
    </row>
    <row r="5983" spans="1:7">
      <c r="A5983" s="8">
        <v>2</v>
      </c>
      <c r="B5983" s="1" t="s">
        <v>13</v>
      </c>
      <c r="C5983" s="8" t="s">
        <v>14</v>
      </c>
      <c r="D5983" s="9" t="s">
        <v>8</v>
      </c>
      <c r="E5983" s="10" t="s">
        <v>160</v>
      </c>
      <c r="F5983" s="86">
        <f>VLOOKUP(B5983,'HSD UPAH,BAHAN,ALAT'!$C$6:F5362,4,FALSE)</f>
        <v>100000</v>
      </c>
      <c r="G5983" s="87">
        <f t="shared" si="768"/>
        <v>1.2999999999999998</v>
      </c>
    </row>
    <row r="5984" spans="1:7">
      <c r="A5984" s="261" t="s">
        <v>420</v>
      </c>
      <c r="B5984" s="261"/>
      <c r="C5984" s="261"/>
      <c r="D5984" s="261"/>
      <c r="E5984" s="261"/>
      <c r="F5984" s="261"/>
      <c r="G5984" s="85">
        <f>SUM(G5981:G5983)</f>
        <v>28.3</v>
      </c>
    </row>
    <row r="5985" spans="1:7">
      <c r="A5985" s="8" t="s">
        <v>16</v>
      </c>
      <c r="B5985" s="1" t="s">
        <v>17</v>
      </c>
      <c r="C5985" s="8"/>
      <c r="D5985" s="9"/>
      <c r="E5985" s="19"/>
      <c r="F5985" s="2"/>
      <c r="G5985" s="2"/>
    </row>
    <row r="5986" spans="1:7">
      <c r="A5986" s="8">
        <v>1</v>
      </c>
      <c r="B5986" s="1" t="s">
        <v>154</v>
      </c>
      <c r="C5986" s="8"/>
      <c r="D5986" s="9" t="s">
        <v>120</v>
      </c>
      <c r="E5986" s="10" t="s">
        <v>155</v>
      </c>
      <c r="F5986" s="86">
        <f>VLOOKUP(B5986,'HSD UPAH,BAHAN,ALAT'!$C$6:F5365,4,FALSE)</f>
        <v>10000</v>
      </c>
      <c r="G5986" s="87">
        <f t="shared" ref="G5986" si="769">E5986*F5986</f>
        <v>50000</v>
      </c>
    </row>
    <row r="5987" spans="1:7">
      <c r="A5987" s="261" t="s">
        <v>421</v>
      </c>
      <c r="B5987" s="261"/>
      <c r="C5987" s="261"/>
      <c r="D5987" s="261"/>
      <c r="E5987" s="261"/>
      <c r="F5987" s="261"/>
      <c r="G5987" s="85">
        <f>SUM(G5986:G5986)</f>
        <v>50000</v>
      </c>
    </row>
    <row r="5988" spans="1:7">
      <c r="A5988" s="8" t="s">
        <v>36</v>
      </c>
      <c r="B5988" s="1" t="s">
        <v>37</v>
      </c>
      <c r="C5988" s="8"/>
      <c r="D5988" s="9"/>
      <c r="E5988" s="19"/>
      <c r="F5988" s="2"/>
      <c r="G5988" s="2"/>
    </row>
    <row r="5989" spans="1:7">
      <c r="A5989" s="8"/>
      <c r="B5989" s="1"/>
      <c r="C5989" s="8"/>
      <c r="D5989" s="9"/>
      <c r="E5989" s="19"/>
      <c r="F5989" s="2"/>
      <c r="G5989" s="2"/>
    </row>
    <row r="5990" spans="1:7">
      <c r="A5990" s="263" t="s">
        <v>419</v>
      </c>
      <c r="B5990" s="263"/>
      <c r="C5990" s="263"/>
      <c r="D5990" s="263"/>
      <c r="E5990" s="263"/>
      <c r="F5990" s="263"/>
      <c r="G5990" s="80">
        <f>SUM(G5989)</f>
        <v>0</v>
      </c>
    </row>
    <row r="5991" spans="1:7">
      <c r="A5991" s="81" t="s">
        <v>38</v>
      </c>
      <c r="B5991" s="262" t="s">
        <v>39</v>
      </c>
      <c r="C5991" s="262"/>
      <c r="D5991" s="262"/>
      <c r="E5991" s="262"/>
      <c r="F5991" s="262"/>
      <c r="G5991" s="118">
        <f>SUM(G5981:G5990)/2</f>
        <v>50028.3</v>
      </c>
    </row>
    <row r="5992" spans="1:7">
      <c r="A5992" s="81" t="s">
        <v>40</v>
      </c>
      <c r="B5992" s="262" t="s">
        <v>180</v>
      </c>
      <c r="C5992" s="262"/>
      <c r="D5992" s="262"/>
      <c r="E5992" s="262"/>
      <c r="F5992" s="82">
        <v>0.1</v>
      </c>
      <c r="G5992" s="80">
        <f>G5991*F5992</f>
        <v>5002.8300000000008</v>
      </c>
    </row>
    <row r="5993" spans="1:7">
      <c r="A5993" s="81" t="s">
        <v>41</v>
      </c>
      <c r="B5993" s="262" t="s">
        <v>42</v>
      </c>
      <c r="C5993" s="262"/>
      <c r="D5993" s="262"/>
      <c r="E5993" s="262"/>
      <c r="F5993" s="262"/>
      <c r="G5993" s="80">
        <f>G5991+G5992</f>
        <v>55031.130000000005</v>
      </c>
    </row>
    <row r="5994" spans="1:7">
      <c r="A5994" s="90"/>
      <c r="B5994" s="91"/>
      <c r="C5994" s="91"/>
      <c r="D5994" s="91"/>
      <c r="E5994" s="91"/>
      <c r="F5994" s="91"/>
      <c r="G5994" s="92"/>
    </row>
    <row r="5995" spans="1:7">
      <c r="A5995" s="93" t="s">
        <v>447</v>
      </c>
      <c r="B5995" s="91"/>
      <c r="C5995" s="91"/>
      <c r="D5995" s="91"/>
      <c r="E5995" s="91"/>
      <c r="F5995" s="91"/>
      <c r="G5995" s="92"/>
    </row>
    <row r="5996" spans="1:7">
      <c r="A5996" s="93" t="s">
        <v>448</v>
      </c>
      <c r="B5996" s="91"/>
      <c r="C5996" s="91"/>
      <c r="D5996" s="91"/>
      <c r="E5996" s="91"/>
      <c r="F5996" s="91"/>
      <c r="G5996" s="92"/>
    </row>
    <row r="5997" spans="1:7" ht="30">
      <c r="A5997" s="79" t="s">
        <v>0</v>
      </c>
      <c r="B5997" s="79" t="s">
        <v>1</v>
      </c>
      <c r="C5997" s="79" t="s">
        <v>207</v>
      </c>
      <c r="D5997" s="79" t="s">
        <v>3</v>
      </c>
      <c r="E5997" s="79" t="s">
        <v>2</v>
      </c>
      <c r="F5997" s="79" t="s">
        <v>417</v>
      </c>
      <c r="G5997" s="79" t="s">
        <v>418</v>
      </c>
    </row>
    <row r="5998" spans="1:7">
      <c r="A5998" s="8" t="s">
        <v>4</v>
      </c>
      <c r="B5998" s="1" t="s">
        <v>5</v>
      </c>
      <c r="C5998" s="8"/>
      <c r="D5998" s="9"/>
      <c r="E5998" s="19"/>
      <c r="F5998" s="2"/>
      <c r="G5998" s="2"/>
    </row>
    <row r="5999" spans="1:7" ht="30">
      <c r="A5999" s="8">
        <v>1</v>
      </c>
      <c r="B5999" s="5" t="s">
        <v>222</v>
      </c>
      <c r="C5999" s="8" t="s">
        <v>7</v>
      </c>
      <c r="D5999" s="9" t="s">
        <v>8</v>
      </c>
      <c r="E5999" s="7" t="s">
        <v>223</v>
      </c>
      <c r="F5999" s="86">
        <f>VLOOKUP(B5999,'HSD UPAH,BAHAN,ALAT'!$C$6:F5375,4,FALSE)</f>
        <v>100000</v>
      </c>
      <c r="G5999" s="87">
        <f t="shared" ref="G5999:G6000" si="770">E5999*F5999</f>
        <v>1790</v>
      </c>
    </row>
    <row r="6000" spans="1:7">
      <c r="A6000" s="8">
        <v>2</v>
      </c>
      <c r="B6000" s="1" t="s">
        <v>13</v>
      </c>
      <c r="C6000" s="8" t="s">
        <v>14</v>
      </c>
      <c r="D6000" s="9" t="s">
        <v>8</v>
      </c>
      <c r="E6000" s="10" t="s">
        <v>168</v>
      </c>
      <c r="F6000" s="86">
        <f>VLOOKUP(B6000,'HSD UPAH,BAHAN,ALAT'!$C$6:F5376,4,FALSE)</f>
        <v>100000</v>
      </c>
      <c r="G6000" s="87">
        <f t="shared" si="770"/>
        <v>89.5</v>
      </c>
    </row>
    <row r="6001" spans="1:7">
      <c r="A6001" s="261" t="s">
        <v>420</v>
      </c>
      <c r="B6001" s="261"/>
      <c r="C6001" s="261"/>
      <c r="D6001" s="261"/>
      <c r="E6001" s="261"/>
      <c r="F6001" s="261"/>
      <c r="G6001" s="85">
        <f>SUM(G5998:G6000)</f>
        <v>1879.5</v>
      </c>
    </row>
    <row r="6002" spans="1:7">
      <c r="A6002" s="8" t="s">
        <v>16</v>
      </c>
      <c r="B6002" s="1" t="s">
        <v>17</v>
      </c>
      <c r="C6002" s="8"/>
      <c r="D6002" s="9"/>
      <c r="E6002" s="19"/>
      <c r="F6002" s="2"/>
      <c r="G6002" s="2"/>
    </row>
    <row r="6003" spans="1:7">
      <c r="A6003" s="8">
        <v>1</v>
      </c>
      <c r="B6003" s="1" t="s">
        <v>169</v>
      </c>
      <c r="C6003" s="8"/>
      <c r="D6003" s="9" t="s">
        <v>28</v>
      </c>
      <c r="E6003" s="10" t="s">
        <v>152</v>
      </c>
      <c r="F6003" s="86">
        <f>VLOOKUP(B6003,'HSD UPAH,BAHAN,ALAT'!$C$6:F5379,4,FALSE)</f>
        <v>10000</v>
      </c>
      <c r="G6003" s="87">
        <f t="shared" ref="G6003" si="771">E6003*F6003</f>
        <v>23.999999999999996</v>
      </c>
    </row>
    <row r="6004" spans="1:7">
      <c r="A6004" s="261" t="s">
        <v>421</v>
      </c>
      <c r="B6004" s="261"/>
      <c r="C6004" s="261"/>
      <c r="D6004" s="261"/>
      <c r="E6004" s="261"/>
      <c r="F6004" s="261"/>
      <c r="G6004" s="85">
        <f>SUM(G6003:G6003)</f>
        <v>23.999999999999996</v>
      </c>
    </row>
    <row r="6005" spans="1:7">
      <c r="A6005" s="8" t="s">
        <v>36</v>
      </c>
      <c r="B6005" s="1" t="s">
        <v>37</v>
      </c>
      <c r="C6005" s="8"/>
      <c r="D6005" s="9"/>
      <c r="E6005" s="19"/>
      <c r="F6005" s="2"/>
      <c r="G6005" s="2"/>
    </row>
    <row r="6006" spans="1:7">
      <c r="A6006" s="263" t="s">
        <v>419</v>
      </c>
      <c r="B6006" s="263"/>
      <c r="C6006" s="263"/>
      <c r="D6006" s="263"/>
      <c r="E6006" s="263"/>
      <c r="F6006" s="263"/>
      <c r="G6006" s="80">
        <f>SUM(G6005)</f>
        <v>0</v>
      </c>
    </row>
    <row r="6007" spans="1:7">
      <c r="A6007" s="81" t="s">
        <v>38</v>
      </c>
      <c r="B6007" s="262" t="s">
        <v>39</v>
      </c>
      <c r="C6007" s="262"/>
      <c r="D6007" s="262"/>
      <c r="E6007" s="262"/>
      <c r="F6007" s="262"/>
      <c r="G6007" s="118">
        <f>SUM(G5997:G6006)/2</f>
        <v>1903.5</v>
      </c>
    </row>
    <row r="6008" spans="1:7">
      <c r="A6008" s="81" t="s">
        <v>40</v>
      </c>
      <c r="B6008" s="262" t="s">
        <v>180</v>
      </c>
      <c r="C6008" s="262"/>
      <c r="D6008" s="262"/>
      <c r="E6008" s="262"/>
      <c r="F6008" s="82">
        <v>0.1</v>
      </c>
      <c r="G6008" s="80">
        <f>G6007*F6008</f>
        <v>190.35000000000002</v>
      </c>
    </row>
    <row r="6009" spans="1:7">
      <c r="A6009" s="81" t="s">
        <v>41</v>
      </c>
      <c r="B6009" s="262" t="s">
        <v>42</v>
      </c>
      <c r="C6009" s="262"/>
      <c r="D6009" s="262"/>
      <c r="E6009" s="262"/>
      <c r="F6009" s="262"/>
      <c r="G6009" s="80">
        <f>G6007+G6008</f>
        <v>2093.85</v>
      </c>
    </row>
    <row r="6010" spans="1:7">
      <c r="A6010" s="90"/>
      <c r="B6010" s="91"/>
      <c r="C6010" s="91"/>
      <c r="D6010" s="91"/>
      <c r="E6010" s="91"/>
      <c r="F6010" s="91"/>
      <c r="G6010" s="92"/>
    </row>
    <row r="6011" spans="1:7">
      <c r="A6011" s="93" t="s">
        <v>667</v>
      </c>
      <c r="B6011" s="91"/>
      <c r="C6011" s="91"/>
      <c r="D6011" s="91"/>
      <c r="E6011" s="91"/>
      <c r="F6011" s="91"/>
      <c r="G6011" s="92"/>
    </row>
    <row r="6012" spans="1:7" ht="30">
      <c r="A6012" s="79" t="s">
        <v>0</v>
      </c>
      <c r="B6012" s="79" t="s">
        <v>1</v>
      </c>
      <c r="C6012" s="79" t="s">
        <v>207</v>
      </c>
      <c r="D6012" s="79" t="s">
        <v>3</v>
      </c>
      <c r="E6012" s="79" t="s">
        <v>2</v>
      </c>
      <c r="F6012" s="79" t="s">
        <v>417</v>
      </c>
      <c r="G6012" s="79" t="s">
        <v>418</v>
      </c>
    </row>
    <row r="6013" spans="1:7">
      <c r="A6013" s="8" t="s">
        <v>4</v>
      </c>
      <c r="B6013" s="1" t="s">
        <v>5</v>
      </c>
      <c r="C6013" s="8"/>
      <c r="D6013" s="9"/>
      <c r="E6013" s="19"/>
      <c r="F6013" s="2"/>
      <c r="G6013" s="2"/>
    </row>
    <row r="6014" spans="1:7" ht="30">
      <c r="A6014" s="8">
        <v>1</v>
      </c>
      <c r="B6014" s="5" t="s">
        <v>222</v>
      </c>
      <c r="C6014" s="17" t="s">
        <v>7</v>
      </c>
      <c r="D6014" s="12" t="s">
        <v>8</v>
      </c>
      <c r="E6014" s="7" t="s">
        <v>224</v>
      </c>
      <c r="F6014" s="86">
        <f>VLOOKUP(B6014,'HSD UPAH,BAHAN,ALAT'!$C$6:F5388,4,FALSE)</f>
        <v>100000</v>
      </c>
      <c r="G6014" s="87">
        <f t="shared" ref="G6014:G6015" si="772">E6014*F6014</f>
        <v>140</v>
      </c>
    </row>
    <row r="6015" spans="1:7">
      <c r="A6015" s="8">
        <v>2</v>
      </c>
      <c r="B6015" s="1" t="s">
        <v>13</v>
      </c>
      <c r="C6015" s="8" t="s">
        <v>14</v>
      </c>
      <c r="D6015" s="9" t="s">
        <v>8</v>
      </c>
      <c r="E6015" s="10" t="s">
        <v>170</v>
      </c>
      <c r="F6015" s="86">
        <f>VLOOKUP(B6015,'HSD UPAH,BAHAN,ALAT'!$C$6:F5389,4,FALSE)</f>
        <v>100000</v>
      </c>
      <c r="G6015" s="87">
        <f t="shared" si="772"/>
        <v>6.9999999999999991</v>
      </c>
    </row>
    <row r="6016" spans="1:7">
      <c r="A6016" s="261" t="s">
        <v>420</v>
      </c>
      <c r="B6016" s="261"/>
      <c r="C6016" s="261"/>
      <c r="D6016" s="261"/>
      <c r="E6016" s="261"/>
      <c r="F6016" s="261"/>
      <c r="G6016" s="85">
        <f>SUM(G6013:G6015)</f>
        <v>147</v>
      </c>
    </row>
    <row r="6017" spans="1:7">
      <c r="A6017" s="8" t="s">
        <v>16</v>
      </c>
      <c r="B6017" s="1" t="s">
        <v>17</v>
      </c>
      <c r="C6017" s="8"/>
      <c r="D6017" s="9"/>
      <c r="E6017" s="19"/>
      <c r="F6017" s="2"/>
      <c r="G6017" s="2"/>
    </row>
    <row r="6018" spans="1:7">
      <c r="A6018" s="8">
        <v>1</v>
      </c>
      <c r="B6018" s="1" t="s">
        <v>169</v>
      </c>
      <c r="C6018" s="8"/>
      <c r="D6018" s="9" t="s">
        <v>28</v>
      </c>
      <c r="E6018" s="10" t="s">
        <v>152</v>
      </c>
      <c r="F6018" s="86">
        <f>VLOOKUP(B6018,'HSD UPAH,BAHAN,ALAT'!$C$6:F5392,4,FALSE)</f>
        <v>10000</v>
      </c>
      <c r="G6018" s="87">
        <f t="shared" ref="G6018" si="773">E6018*F6018</f>
        <v>23.999999999999996</v>
      </c>
    </row>
    <row r="6019" spans="1:7">
      <c r="A6019" s="261" t="s">
        <v>421</v>
      </c>
      <c r="B6019" s="261"/>
      <c r="C6019" s="261"/>
      <c r="D6019" s="261"/>
      <c r="E6019" s="261"/>
      <c r="F6019" s="261"/>
      <c r="G6019" s="85">
        <f>SUM(G6018:G6018)</f>
        <v>23.999999999999996</v>
      </c>
    </row>
    <row r="6020" spans="1:7">
      <c r="A6020" s="8" t="s">
        <v>36</v>
      </c>
      <c r="B6020" s="1" t="s">
        <v>37</v>
      </c>
      <c r="C6020" s="8"/>
      <c r="D6020" s="9"/>
      <c r="E6020" s="19"/>
      <c r="F6020" s="2"/>
      <c r="G6020" s="2"/>
    </row>
    <row r="6021" spans="1:7">
      <c r="A6021" s="263" t="s">
        <v>419</v>
      </c>
      <c r="B6021" s="263"/>
      <c r="C6021" s="263"/>
      <c r="D6021" s="263"/>
      <c r="E6021" s="263"/>
      <c r="F6021" s="263"/>
      <c r="G6021" s="80">
        <f>SUM(G6020)</f>
        <v>0</v>
      </c>
    </row>
    <row r="6022" spans="1:7">
      <c r="A6022" s="81" t="s">
        <v>38</v>
      </c>
      <c r="B6022" s="262" t="s">
        <v>39</v>
      </c>
      <c r="C6022" s="262"/>
      <c r="D6022" s="262"/>
      <c r="E6022" s="262"/>
      <c r="F6022" s="262"/>
      <c r="G6022" s="118">
        <f>SUM(G6012:G6021)/2</f>
        <v>171</v>
      </c>
    </row>
    <row r="6023" spans="1:7">
      <c r="A6023" s="81" t="s">
        <v>40</v>
      </c>
      <c r="B6023" s="262" t="s">
        <v>180</v>
      </c>
      <c r="C6023" s="262"/>
      <c r="D6023" s="262"/>
      <c r="E6023" s="262"/>
      <c r="F6023" s="82">
        <v>0.1</v>
      </c>
      <c r="G6023" s="80">
        <f>G6022*F6023</f>
        <v>17.100000000000001</v>
      </c>
    </row>
    <row r="6024" spans="1:7">
      <c r="A6024" s="81" t="s">
        <v>41</v>
      </c>
      <c r="B6024" s="262" t="s">
        <v>42</v>
      </c>
      <c r="C6024" s="262"/>
      <c r="D6024" s="262"/>
      <c r="E6024" s="262"/>
      <c r="F6024" s="262"/>
      <c r="G6024" s="80">
        <f>G6022+G6023</f>
        <v>188.1</v>
      </c>
    </row>
    <row r="6025" spans="1:7">
      <c r="A6025" s="90"/>
      <c r="B6025" s="91"/>
      <c r="C6025" s="91"/>
      <c r="D6025" s="91"/>
      <c r="E6025" s="91"/>
      <c r="F6025" s="91"/>
      <c r="G6025" s="92"/>
    </row>
    <row r="6026" spans="1:7">
      <c r="A6026" s="119" t="s">
        <v>668</v>
      </c>
      <c r="B6026" s="119" t="s">
        <v>669</v>
      </c>
      <c r="C6026" s="14"/>
      <c r="D6026" s="14"/>
      <c r="E6026" s="13"/>
      <c r="F6026" s="110"/>
      <c r="G6026" s="110"/>
    </row>
    <row r="6027" spans="1:7">
      <c r="A6027" s="119" t="s">
        <v>670</v>
      </c>
      <c r="B6027" s="119" t="s">
        <v>671</v>
      </c>
      <c r="C6027" s="15"/>
      <c r="D6027" s="15"/>
      <c r="E6027" s="111"/>
      <c r="F6027" s="112"/>
      <c r="G6027" s="112"/>
    </row>
    <row r="6028" spans="1:7" ht="30">
      <c r="A6028" s="79" t="s">
        <v>0</v>
      </c>
      <c r="B6028" s="79" t="s">
        <v>1</v>
      </c>
      <c r="C6028" s="79" t="s">
        <v>207</v>
      </c>
      <c r="D6028" s="79" t="s">
        <v>3</v>
      </c>
      <c r="E6028" s="79" t="s">
        <v>2</v>
      </c>
      <c r="F6028" s="79" t="s">
        <v>417</v>
      </c>
      <c r="G6028" s="79" t="s">
        <v>418</v>
      </c>
    </row>
    <row r="6029" spans="1:7">
      <c r="A6029" s="8" t="s">
        <v>4</v>
      </c>
      <c r="B6029" s="1" t="s">
        <v>5</v>
      </c>
      <c r="C6029" s="8"/>
      <c r="D6029" s="9"/>
      <c r="E6029" s="19"/>
      <c r="F6029" s="2"/>
      <c r="G6029" s="2"/>
    </row>
    <row r="6030" spans="1:7" ht="30">
      <c r="A6030" s="8">
        <v>1</v>
      </c>
      <c r="B6030" s="5" t="s">
        <v>222</v>
      </c>
      <c r="C6030" s="8" t="s">
        <v>7</v>
      </c>
      <c r="D6030" s="9" t="s">
        <v>8</v>
      </c>
      <c r="E6030" s="10" t="s">
        <v>171</v>
      </c>
      <c r="F6030" s="86">
        <f>VLOOKUP(B6030,'HSD UPAH,BAHAN,ALAT'!$C$6:F5403,4,FALSE)</f>
        <v>100000</v>
      </c>
      <c r="G6030" s="87">
        <f t="shared" ref="G6030:G6031" si="774">E6030*F6030</f>
        <v>570</v>
      </c>
    </row>
    <row r="6031" spans="1:7">
      <c r="A6031" s="8">
        <v>2</v>
      </c>
      <c r="B6031" s="1" t="s">
        <v>13</v>
      </c>
      <c r="C6031" s="8" t="s">
        <v>14</v>
      </c>
      <c r="D6031" s="9" t="s">
        <v>8</v>
      </c>
      <c r="E6031" s="10" t="s">
        <v>172</v>
      </c>
      <c r="F6031" s="86">
        <f>VLOOKUP(B6031,'HSD UPAH,BAHAN,ALAT'!$C$6:F5404,4,FALSE)</f>
        <v>100000</v>
      </c>
      <c r="G6031" s="87">
        <f t="shared" si="774"/>
        <v>38</v>
      </c>
    </row>
    <row r="6032" spans="1:7">
      <c r="A6032" s="261" t="s">
        <v>420</v>
      </c>
      <c r="B6032" s="261"/>
      <c r="C6032" s="261"/>
      <c r="D6032" s="261"/>
      <c r="E6032" s="261"/>
      <c r="F6032" s="261"/>
      <c r="G6032" s="85">
        <f>SUM(G6029:G6031)</f>
        <v>608</v>
      </c>
    </row>
    <row r="6033" spans="1:7">
      <c r="A6033" s="8" t="s">
        <v>16</v>
      </c>
      <c r="B6033" s="1" t="s">
        <v>17</v>
      </c>
      <c r="C6033" s="8"/>
      <c r="D6033" s="9"/>
      <c r="E6033" s="19"/>
      <c r="F6033" s="2"/>
      <c r="G6033" s="2"/>
    </row>
    <row r="6034" spans="1:7">
      <c r="A6034" s="8">
        <v>1</v>
      </c>
      <c r="B6034" s="1" t="s">
        <v>173</v>
      </c>
      <c r="C6034" s="8"/>
      <c r="D6034" s="9" t="s">
        <v>28</v>
      </c>
      <c r="E6034" s="10" t="s">
        <v>174</v>
      </c>
      <c r="F6034" s="86">
        <f>VLOOKUP(B6034,'HSD UPAH,BAHAN,ALAT'!$C$6:F5407,4,FALSE)</f>
        <v>10000</v>
      </c>
      <c r="G6034" s="87">
        <f t="shared" ref="G6034:G6035" si="775">E6034*F6034</f>
        <v>0.12000000000000001</v>
      </c>
    </row>
    <row r="6035" spans="1:7">
      <c r="A6035" s="8">
        <v>2</v>
      </c>
      <c r="B6035" s="1" t="s">
        <v>119</v>
      </c>
      <c r="C6035" s="8"/>
      <c r="D6035" s="9" t="s">
        <v>120</v>
      </c>
      <c r="E6035" s="10" t="s">
        <v>155</v>
      </c>
      <c r="F6035" s="86">
        <f>VLOOKUP(B6035,'HSD UPAH,BAHAN,ALAT'!$C$6:F5408,4,FALSE)</f>
        <v>10000</v>
      </c>
      <c r="G6035" s="87">
        <f t="shared" si="775"/>
        <v>50000</v>
      </c>
    </row>
    <row r="6036" spans="1:7">
      <c r="A6036" s="261" t="s">
        <v>421</v>
      </c>
      <c r="B6036" s="261"/>
      <c r="C6036" s="261"/>
      <c r="D6036" s="261"/>
      <c r="E6036" s="261"/>
      <c r="F6036" s="261"/>
      <c r="G6036" s="85">
        <f>SUM(G6034:G6035)</f>
        <v>50000.12</v>
      </c>
    </row>
    <row r="6037" spans="1:7">
      <c r="A6037" s="8" t="s">
        <v>36</v>
      </c>
      <c r="B6037" s="1" t="s">
        <v>37</v>
      </c>
      <c r="C6037" s="8"/>
      <c r="D6037" s="9"/>
      <c r="E6037" s="19"/>
      <c r="F6037" s="2"/>
      <c r="G6037" s="2"/>
    </row>
    <row r="6038" spans="1:7">
      <c r="A6038" s="8">
        <v>1</v>
      </c>
      <c r="B6038" s="1" t="s">
        <v>175</v>
      </c>
      <c r="C6038" s="8"/>
      <c r="D6038" s="9" t="s">
        <v>122</v>
      </c>
      <c r="E6038" s="10" t="s">
        <v>171</v>
      </c>
      <c r="F6038" s="86">
        <f>VLOOKUP(B6038,'HSD UPAH,BAHAN,ALAT'!$C$6:F5411,4,FALSE)</f>
        <v>10000</v>
      </c>
      <c r="G6038" s="87">
        <f t="shared" ref="G6038" si="776">E6038*F6038</f>
        <v>57</v>
      </c>
    </row>
    <row r="6039" spans="1:7">
      <c r="A6039" s="263" t="s">
        <v>419</v>
      </c>
      <c r="B6039" s="263"/>
      <c r="C6039" s="263"/>
      <c r="D6039" s="263"/>
      <c r="E6039" s="263"/>
      <c r="F6039" s="263"/>
      <c r="G6039" s="80">
        <f>SUM(G6038)</f>
        <v>57</v>
      </c>
    </row>
    <row r="6040" spans="1:7">
      <c r="A6040" s="81" t="s">
        <v>38</v>
      </c>
      <c r="B6040" s="262" t="s">
        <v>39</v>
      </c>
      <c r="C6040" s="262"/>
      <c r="D6040" s="262"/>
      <c r="E6040" s="262"/>
      <c r="F6040" s="262"/>
      <c r="G6040" s="118">
        <f>SUM(G6030:G6039)/2</f>
        <v>50665.120000000003</v>
      </c>
    </row>
    <row r="6041" spans="1:7">
      <c r="A6041" s="81" t="s">
        <v>40</v>
      </c>
      <c r="B6041" s="262" t="s">
        <v>180</v>
      </c>
      <c r="C6041" s="262"/>
      <c r="D6041" s="262"/>
      <c r="E6041" s="262"/>
      <c r="F6041" s="82">
        <v>0.1</v>
      </c>
      <c r="G6041" s="80">
        <f>G6040*F6041</f>
        <v>5066.5120000000006</v>
      </c>
    </row>
    <row r="6042" spans="1:7">
      <c r="A6042" s="81" t="s">
        <v>41</v>
      </c>
      <c r="B6042" s="262" t="s">
        <v>42</v>
      </c>
      <c r="C6042" s="262"/>
      <c r="D6042" s="262"/>
      <c r="E6042" s="262"/>
      <c r="F6042" s="262"/>
      <c r="G6042" s="80">
        <f>G6040+G6041</f>
        <v>55731.632000000005</v>
      </c>
    </row>
    <row r="6043" spans="1:7">
      <c r="A6043" s="113"/>
      <c r="B6043" s="114"/>
      <c r="C6043" s="113"/>
      <c r="D6043" s="113"/>
      <c r="E6043" s="115"/>
      <c r="F6043" s="116"/>
      <c r="G6043" s="116"/>
    </row>
    <row r="6044" spans="1:7">
      <c r="A6044" s="93" t="s">
        <v>487</v>
      </c>
      <c r="B6044" s="11"/>
      <c r="C6044" s="14"/>
      <c r="D6044" s="14"/>
      <c r="E6044" s="117"/>
      <c r="F6044" s="112"/>
      <c r="G6044" s="112"/>
    </row>
    <row r="6045" spans="1:7" ht="30">
      <c r="A6045" s="79" t="s">
        <v>0</v>
      </c>
      <c r="B6045" s="79" t="s">
        <v>1</v>
      </c>
      <c r="C6045" s="79" t="s">
        <v>207</v>
      </c>
      <c r="D6045" s="79" t="s">
        <v>3</v>
      </c>
      <c r="E6045" s="79" t="s">
        <v>2</v>
      </c>
      <c r="F6045" s="79" t="s">
        <v>417</v>
      </c>
      <c r="G6045" s="79" t="s">
        <v>418</v>
      </c>
    </row>
    <row r="6046" spans="1:7">
      <c r="A6046" s="8" t="s">
        <v>4</v>
      </c>
      <c r="B6046" s="1" t="s">
        <v>5</v>
      </c>
      <c r="C6046" s="8"/>
      <c r="D6046" s="9"/>
      <c r="E6046" s="19"/>
      <c r="F6046" s="2"/>
      <c r="G6046" s="2"/>
    </row>
    <row r="6047" spans="1:7" ht="30">
      <c r="A6047" s="8">
        <v>1</v>
      </c>
      <c r="B6047" s="5" t="s">
        <v>222</v>
      </c>
      <c r="C6047" s="8" t="s">
        <v>7</v>
      </c>
      <c r="D6047" s="9" t="s">
        <v>8</v>
      </c>
      <c r="E6047" s="10" t="s">
        <v>176</v>
      </c>
      <c r="F6047" s="86">
        <f>VLOOKUP(B6047,'HSD UPAH,BAHAN,ALAT'!$C$6:F5419,4,FALSE)</f>
        <v>100000</v>
      </c>
      <c r="G6047" s="87">
        <f t="shared" ref="G6047:G6048" si="777">E6047*F6047</f>
        <v>53</v>
      </c>
    </row>
    <row r="6048" spans="1:7">
      <c r="A6048" s="8">
        <v>2</v>
      </c>
      <c r="B6048" s="1" t="s">
        <v>13</v>
      </c>
      <c r="C6048" s="8" t="s">
        <v>14</v>
      </c>
      <c r="D6048" s="9" t="s">
        <v>8</v>
      </c>
      <c r="E6048" s="10" t="s">
        <v>177</v>
      </c>
      <c r="F6048" s="86">
        <f>VLOOKUP(B6048,'HSD UPAH,BAHAN,ALAT'!$C$6:F5420,4,FALSE)</f>
        <v>100000</v>
      </c>
      <c r="G6048" s="87">
        <f t="shared" si="777"/>
        <v>3.4999999999999996</v>
      </c>
    </row>
    <row r="6049" spans="1:7">
      <c r="A6049" s="261" t="s">
        <v>420</v>
      </c>
      <c r="B6049" s="261"/>
      <c r="C6049" s="261"/>
      <c r="D6049" s="261"/>
      <c r="E6049" s="261"/>
      <c r="F6049" s="261"/>
      <c r="G6049" s="85">
        <f>SUM(G6046:G6048)</f>
        <v>56.5</v>
      </c>
    </row>
    <row r="6050" spans="1:7">
      <c r="A6050" s="8" t="s">
        <v>16</v>
      </c>
      <c r="B6050" s="1" t="s">
        <v>17</v>
      </c>
      <c r="C6050" s="8"/>
      <c r="D6050" s="9"/>
      <c r="E6050" s="19"/>
      <c r="F6050" s="2"/>
      <c r="G6050" s="2"/>
    </row>
    <row r="6051" spans="1:7">
      <c r="A6051" s="8">
        <v>1</v>
      </c>
      <c r="B6051" s="1" t="s">
        <v>173</v>
      </c>
      <c r="C6051" s="8"/>
      <c r="D6051" s="9" t="s">
        <v>28</v>
      </c>
      <c r="E6051" s="10" t="s">
        <v>174</v>
      </c>
      <c r="F6051" s="86">
        <f>VLOOKUP(B6051,'HSD UPAH,BAHAN,ALAT'!$C$6:F5423,4,FALSE)</f>
        <v>10000</v>
      </c>
      <c r="G6051" s="87">
        <f t="shared" ref="G6051:G6052" si="778">E6051*F6051</f>
        <v>0.12000000000000001</v>
      </c>
    </row>
    <row r="6052" spans="1:7">
      <c r="A6052" s="8">
        <v>2</v>
      </c>
      <c r="B6052" s="1" t="s">
        <v>119</v>
      </c>
      <c r="C6052" s="8"/>
      <c r="D6052" s="9" t="s">
        <v>120</v>
      </c>
      <c r="E6052" s="10" t="s">
        <v>155</v>
      </c>
      <c r="F6052" s="86">
        <f>VLOOKUP(B6052,'HSD UPAH,BAHAN,ALAT'!$C$6:F5424,4,FALSE)</f>
        <v>10000</v>
      </c>
      <c r="G6052" s="87">
        <f t="shared" si="778"/>
        <v>50000</v>
      </c>
    </row>
    <row r="6053" spans="1:7">
      <c r="A6053" s="261" t="s">
        <v>421</v>
      </c>
      <c r="B6053" s="261"/>
      <c r="C6053" s="261"/>
      <c r="D6053" s="261"/>
      <c r="E6053" s="261"/>
      <c r="F6053" s="261"/>
      <c r="G6053" s="85">
        <f>SUM(G6051:G6052)</f>
        <v>50000.12</v>
      </c>
    </row>
    <row r="6054" spans="1:7">
      <c r="A6054" s="8" t="s">
        <v>36</v>
      </c>
      <c r="B6054" s="1" t="s">
        <v>37</v>
      </c>
      <c r="C6054" s="8"/>
      <c r="D6054" s="9"/>
      <c r="E6054" s="19"/>
      <c r="F6054" s="2"/>
      <c r="G6054" s="2"/>
    </row>
    <row r="6055" spans="1:7">
      <c r="A6055" s="8">
        <v>1</v>
      </c>
      <c r="B6055" s="1" t="s">
        <v>175</v>
      </c>
      <c r="C6055" s="8"/>
      <c r="D6055" s="9" t="s">
        <v>122</v>
      </c>
      <c r="E6055" s="10" t="s">
        <v>176</v>
      </c>
      <c r="F6055" s="86">
        <f>VLOOKUP(B6055,'HSD UPAH,BAHAN,ALAT'!$C$6:F5427,4,FALSE)</f>
        <v>10000</v>
      </c>
      <c r="G6055" s="87">
        <f t="shared" ref="G6055" si="779">E6055*F6055</f>
        <v>5.3</v>
      </c>
    </row>
    <row r="6056" spans="1:7">
      <c r="A6056" s="263" t="s">
        <v>419</v>
      </c>
      <c r="B6056" s="263"/>
      <c r="C6056" s="263"/>
      <c r="D6056" s="263"/>
      <c r="E6056" s="263"/>
      <c r="F6056" s="263"/>
      <c r="G6056" s="80">
        <f>SUM(G6055)</f>
        <v>5.3</v>
      </c>
    </row>
    <row r="6057" spans="1:7">
      <c r="A6057" s="81" t="s">
        <v>38</v>
      </c>
      <c r="B6057" s="262" t="s">
        <v>39</v>
      </c>
      <c r="C6057" s="262"/>
      <c r="D6057" s="262"/>
      <c r="E6057" s="262"/>
      <c r="F6057" s="262"/>
      <c r="G6057" s="118">
        <f>SUM(G6047:G6056)/2</f>
        <v>50061.920000000006</v>
      </c>
    </row>
    <row r="6058" spans="1:7">
      <c r="A6058" s="81" t="s">
        <v>40</v>
      </c>
      <c r="B6058" s="262" t="s">
        <v>180</v>
      </c>
      <c r="C6058" s="262"/>
      <c r="D6058" s="262"/>
      <c r="E6058" s="262"/>
      <c r="F6058" s="82">
        <v>0.1</v>
      </c>
      <c r="G6058" s="80">
        <f>G6057*F6058</f>
        <v>5006.1920000000009</v>
      </c>
    </row>
    <row r="6059" spans="1:7">
      <c r="A6059" s="81" t="s">
        <v>41</v>
      </c>
      <c r="B6059" s="262" t="s">
        <v>42</v>
      </c>
      <c r="C6059" s="262"/>
      <c r="D6059" s="262"/>
      <c r="E6059" s="262"/>
      <c r="F6059" s="262"/>
      <c r="G6059" s="80">
        <f>G6057+G6058</f>
        <v>55068.112000000008</v>
      </c>
    </row>
    <row r="6060" spans="1:7">
      <c r="A6060" s="90"/>
      <c r="B6060" s="91"/>
      <c r="C6060" s="91"/>
      <c r="D6060" s="91"/>
      <c r="E6060" s="91"/>
      <c r="F6060" s="91"/>
      <c r="G6060" s="92"/>
    </row>
    <row r="6061" spans="1:7">
      <c r="A6061" s="4" t="s">
        <v>859</v>
      </c>
      <c r="B6061" s="91"/>
      <c r="C6061" s="91"/>
      <c r="D6061" s="91"/>
      <c r="E6061" s="91"/>
      <c r="F6061" s="91"/>
      <c r="G6061" s="92"/>
    </row>
    <row r="6062" spans="1:7" ht="30">
      <c r="A6062" s="79" t="s">
        <v>0</v>
      </c>
      <c r="B6062" s="79" t="s">
        <v>1</v>
      </c>
      <c r="C6062" s="79" t="s">
        <v>207</v>
      </c>
      <c r="D6062" s="79" t="s">
        <v>3</v>
      </c>
      <c r="E6062" s="79" t="s">
        <v>2</v>
      </c>
      <c r="F6062" s="79" t="s">
        <v>417</v>
      </c>
      <c r="G6062" s="79" t="s">
        <v>418</v>
      </c>
    </row>
    <row r="6063" spans="1:7">
      <c r="A6063" s="8" t="s">
        <v>4</v>
      </c>
      <c r="B6063" s="1" t="s">
        <v>5</v>
      </c>
      <c r="C6063" s="8"/>
      <c r="D6063" s="9"/>
      <c r="E6063" s="19"/>
      <c r="F6063" s="2"/>
      <c r="G6063" s="2"/>
    </row>
    <row r="6064" spans="1:7" ht="30">
      <c r="A6064" s="8">
        <v>1</v>
      </c>
      <c r="B6064" s="5" t="s">
        <v>222</v>
      </c>
      <c r="C6064" s="8" t="s">
        <v>7</v>
      </c>
      <c r="D6064" s="9" t="s">
        <v>8</v>
      </c>
      <c r="E6064" s="10" t="s">
        <v>178</v>
      </c>
      <c r="F6064" s="86">
        <f>VLOOKUP(B6064,'HSD UPAH,BAHAN,ALAT'!$C$6:F5434,4,FALSE)</f>
        <v>100000</v>
      </c>
      <c r="G6064" s="87">
        <f t="shared" ref="G6064:G6065" si="780">E6064*F6064</f>
        <v>25</v>
      </c>
    </row>
    <row r="6065" spans="1:7">
      <c r="A6065" s="8">
        <v>2</v>
      </c>
      <c r="B6065" s="1" t="s">
        <v>13</v>
      </c>
      <c r="C6065" s="8" t="s">
        <v>14</v>
      </c>
      <c r="D6065" s="9" t="s">
        <v>8</v>
      </c>
      <c r="E6065" s="10" t="s">
        <v>179</v>
      </c>
      <c r="F6065" s="86">
        <f>VLOOKUP(B6065,'HSD UPAH,BAHAN,ALAT'!$C$6:F5435,4,FALSE)</f>
        <v>100000</v>
      </c>
      <c r="G6065" s="87">
        <f t="shared" si="780"/>
        <v>1.7</v>
      </c>
    </row>
    <row r="6066" spans="1:7">
      <c r="A6066" s="261" t="s">
        <v>420</v>
      </c>
      <c r="B6066" s="261"/>
      <c r="C6066" s="261"/>
      <c r="D6066" s="261"/>
      <c r="E6066" s="261"/>
      <c r="F6066" s="261"/>
      <c r="G6066" s="85">
        <f>SUM(G6063:G6065)</f>
        <v>26.7</v>
      </c>
    </row>
    <row r="6067" spans="1:7">
      <c r="A6067" s="8" t="s">
        <v>16</v>
      </c>
      <c r="B6067" s="1" t="s">
        <v>17</v>
      </c>
      <c r="C6067" s="8"/>
      <c r="D6067" s="9"/>
      <c r="E6067" s="19"/>
      <c r="F6067" s="2"/>
      <c r="G6067" s="2"/>
    </row>
    <row r="6068" spans="1:7">
      <c r="A6068" s="8">
        <v>1</v>
      </c>
      <c r="B6068" s="1" t="s">
        <v>173</v>
      </c>
      <c r="C6068" s="8"/>
      <c r="D6068" s="9" t="s">
        <v>28</v>
      </c>
      <c r="E6068" s="10" t="s">
        <v>174</v>
      </c>
      <c r="F6068" s="86">
        <f>VLOOKUP(B6068,'HSD UPAH,BAHAN,ALAT'!$C$6:F5438,4,FALSE)</f>
        <v>10000</v>
      </c>
      <c r="G6068" s="87">
        <f t="shared" ref="G6068:G6069" si="781">E6068*F6068</f>
        <v>0.12000000000000001</v>
      </c>
    </row>
    <row r="6069" spans="1:7">
      <c r="A6069" s="8">
        <v>2</v>
      </c>
      <c r="B6069" s="1" t="s">
        <v>119</v>
      </c>
      <c r="C6069" s="8"/>
      <c r="D6069" s="9" t="s">
        <v>120</v>
      </c>
      <c r="E6069" s="10" t="s">
        <v>155</v>
      </c>
      <c r="F6069" s="86">
        <f>VLOOKUP(B6069,'HSD UPAH,BAHAN,ALAT'!$C$6:F5439,4,FALSE)</f>
        <v>10000</v>
      </c>
      <c r="G6069" s="87">
        <f t="shared" si="781"/>
        <v>50000</v>
      </c>
    </row>
    <row r="6070" spans="1:7">
      <c r="A6070" s="261" t="s">
        <v>421</v>
      </c>
      <c r="B6070" s="261"/>
      <c r="C6070" s="261"/>
      <c r="D6070" s="261"/>
      <c r="E6070" s="261"/>
      <c r="F6070" s="261"/>
      <c r="G6070" s="85">
        <f>SUM(G6068:G6069)</f>
        <v>50000.12</v>
      </c>
    </row>
    <row r="6071" spans="1:7">
      <c r="A6071" s="8" t="s">
        <v>36</v>
      </c>
      <c r="B6071" s="1" t="s">
        <v>37</v>
      </c>
      <c r="C6071" s="8"/>
      <c r="D6071" s="9"/>
      <c r="E6071" s="19"/>
      <c r="F6071" s="2"/>
      <c r="G6071" s="2"/>
    </row>
    <row r="6072" spans="1:7">
      <c r="A6072" s="8">
        <v>1</v>
      </c>
      <c r="B6072" s="1" t="s">
        <v>175</v>
      </c>
      <c r="C6072" s="8"/>
      <c r="D6072" s="9" t="s">
        <v>122</v>
      </c>
      <c r="E6072" s="10" t="s">
        <v>178</v>
      </c>
      <c r="F6072" s="86">
        <f>VLOOKUP(B6072,'HSD UPAH,BAHAN,ALAT'!$C$6:F5442,4,FALSE)</f>
        <v>10000</v>
      </c>
      <c r="G6072" s="87">
        <f t="shared" ref="G6072" si="782">E6072*F6072</f>
        <v>2.5</v>
      </c>
    </row>
    <row r="6073" spans="1:7">
      <c r="A6073" s="263" t="s">
        <v>419</v>
      </c>
      <c r="B6073" s="263"/>
      <c r="C6073" s="263"/>
      <c r="D6073" s="263"/>
      <c r="E6073" s="263"/>
      <c r="F6073" s="263"/>
      <c r="G6073" s="80">
        <f>SUM(G6072)</f>
        <v>2.5</v>
      </c>
    </row>
    <row r="6074" spans="1:7">
      <c r="A6074" s="81" t="s">
        <v>38</v>
      </c>
      <c r="B6074" s="262" t="s">
        <v>39</v>
      </c>
      <c r="C6074" s="262"/>
      <c r="D6074" s="262"/>
      <c r="E6074" s="262"/>
      <c r="F6074" s="262"/>
      <c r="G6074" s="118">
        <f>SUM(G6064:G6073)/2</f>
        <v>50029.32</v>
      </c>
    </row>
    <row r="6075" spans="1:7">
      <c r="A6075" s="81" t="s">
        <v>40</v>
      </c>
      <c r="B6075" s="262" t="s">
        <v>180</v>
      </c>
      <c r="C6075" s="262"/>
      <c r="D6075" s="262"/>
      <c r="E6075" s="262"/>
      <c r="F6075" s="82">
        <v>0.1</v>
      </c>
      <c r="G6075" s="80">
        <f>G6074*F6075</f>
        <v>5002.9320000000007</v>
      </c>
    </row>
    <row r="6076" spans="1:7">
      <c r="A6076" s="81" t="s">
        <v>41</v>
      </c>
      <c r="B6076" s="262" t="s">
        <v>42</v>
      </c>
      <c r="C6076" s="262"/>
      <c r="D6076" s="262"/>
      <c r="E6076" s="262"/>
      <c r="F6076" s="262"/>
      <c r="G6076" s="80">
        <f>G6074+G6075</f>
        <v>55032.252</v>
      </c>
    </row>
    <row r="6077" spans="1:7">
      <c r="A6077" s="90"/>
      <c r="B6077" s="91"/>
      <c r="C6077" s="91"/>
      <c r="D6077" s="91"/>
      <c r="E6077" s="91"/>
      <c r="F6077" s="91"/>
      <c r="G6077" s="92"/>
    </row>
    <row r="6078" spans="1:7">
      <c r="A6078" s="4" t="s">
        <v>860</v>
      </c>
      <c r="B6078" s="91"/>
      <c r="C6078" s="91"/>
      <c r="D6078" s="91"/>
      <c r="E6078" s="91"/>
      <c r="F6078" s="91"/>
      <c r="G6078" s="92"/>
    </row>
    <row r="6079" spans="1:7" ht="30">
      <c r="A6079" s="79" t="s">
        <v>0</v>
      </c>
      <c r="B6079" s="79" t="s">
        <v>1</v>
      </c>
      <c r="C6079" s="79" t="s">
        <v>207</v>
      </c>
      <c r="D6079" s="79" t="s">
        <v>3</v>
      </c>
      <c r="E6079" s="79" t="s">
        <v>2</v>
      </c>
      <c r="F6079" s="79" t="s">
        <v>417</v>
      </c>
      <c r="G6079" s="79" t="s">
        <v>418</v>
      </c>
    </row>
    <row r="6080" spans="1:7">
      <c r="A6080" s="9" t="s">
        <v>4</v>
      </c>
      <c r="B6080" s="1" t="s">
        <v>5</v>
      </c>
      <c r="C6080" s="8"/>
      <c r="D6080" s="9"/>
      <c r="E6080" s="19"/>
      <c r="F6080" s="2"/>
      <c r="G6080" s="2"/>
    </row>
    <row r="6081" spans="1:7">
      <c r="A6081" s="9">
        <v>1</v>
      </c>
      <c r="B6081" s="1" t="s">
        <v>48</v>
      </c>
      <c r="C6081" s="8" t="s">
        <v>49</v>
      </c>
      <c r="D6081" s="9" t="s">
        <v>8</v>
      </c>
      <c r="E6081" s="10" t="s">
        <v>12</v>
      </c>
      <c r="F6081" s="86">
        <f>VLOOKUP(B6081,'HSD UPAH,BAHAN,ALAT'!$C$6:F5449,4,FALSE)</f>
        <v>100000</v>
      </c>
      <c r="G6081" s="87">
        <f t="shared" ref="G6081:G6082" si="783">E6081*F6081</f>
        <v>479.99999999999994</v>
      </c>
    </row>
    <row r="6082" spans="1:7" ht="30">
      <c r="A6082" s="9">
        <v>2</v>
      </c>
      <c r="B6082" s="5" t="s">
        <v>222</v>
      </c>
      <c r="C6082" s="8" t="s">
        <v>7</v>
      </c>
      <c r="D6082" s="9" t="s">
        <v>8</v>
      </c>
      <c r="E6082" s="10" t="s">
        <v>9</v>
      </c>
      <c r="F6082" s="86">
        <f>VLOOKUP(B6082,'HSD UPAH,BAHAN,ALAT'!$C$6:F5450,4,FALSE)</f>
        <v>100000</v>
      </c>
      <c r="G6082" s="87">
        <f t="shared" si="783"/>
        <v>1430</v>
      </c>
    </row>
    <row r="6083" spans="1:7">
      <c r="A6083" s="261" t="s">
        <v>420</v>
      </c>
      <c r="B6083" s="261"/>
      <c r="C6083" s="261"/>
      <c r="D6083" s="261"/>
      <c r="E6083" s="261"/>
      <c r="F6083" s="261"/>
      <c r="G6083" s="85">
        <f>SUM(G6080:G6082)</f>
        <v>1910</v>
      </c>
    </row>
    <row r="6084" spans="1:7">
      <c r="A6084" s="9" t="s">
        <v>16</v>
      </c>
      <c r="B6084" s="1" t="s">
        <v>17</v>
      </c>
      <c r="C6084" s="8"/>
      <c r="D6084" s="9"/>
      <c r="E6084" s="19"/>
      <c r="F6084" s="2"/>
      <c r="G6084" s="2"/>
    </row>
    <row r="6085" spans="1:7" ht="30">
      <c r="A6085" s="9">
        <v>1</v>
      </c>
      <c r="B6085" s="5" t="s">
        <v>225</v>
      </c>
      <c r="C6085" s="8"/>
      <c r="D6085" s="12" t="s">
        <v>28</v>
      </c>
      <c r="E6085" s="7" t="s">
        <v>75</v>
      </c>
      <c r="F6085" s="86">
        <f>VLOOKUP(B6085,'HSD UPAH,BAHAN,ALAT'!$C$6:F5453,4,FALSE)</f>
        <v>10000</v>
      </c>
      <c r="G6085" s="87">
        <f t="shared" ref="G6085:G6086" si="784">E6085*F6085</f>
        <v>110</v>
      </c>
    </row>
    <row r="6086" spans="1:7">
      <c r="A6086" s="9">
        <v>2</v>
      </c>
      <c r="B6086" s="1" t="s">
        <v>119</v>
      </c>
      <c r="C6086" s="8"/>
      <c r="D6086" s="9" t="s">
        <v>120</v>
      </c>
      <c r="E6086" s="10" t="s">
        <v>155</v>
      </c>
      <c r="F6086" s="86">
        <f>VLOOKUP(B6086,'HSD UPAH,BAHAN,ALAT'!$C$6:F5454,4,FALSE)</f>
        <v>10000</v>
      </c>
      <c r="G6086" s="87">
        <f t="shared" si="784"/>
        <v>50000</v>
      </c>
    </row>
    <row r="6087" spans="1:7">
      <c r="A6087" s="261" t="s">
        <v>421</v>
      </c>
      <c r="B6087" s="261"/>
      <c r="C6087" s="261"/>
      <c r="D6087" s="261"/>
      <c r="E6087" s="261"/>
      <c r="F6087" s="261"/>
      <c r="G6087" s="85">
        <f>SUM(G6085:G6086)</f>
        <v>50110</v>
      </c>
    </row>
    <row r="6088" spans="1:7">
      <c r="A6088" s="9" t="s">
        <v>36</v>
      </c>
      <c r="B6088" s="1" t="s">
        <v>37</v>
      </c>
      <c r="C6088" s="8"/>
      <c r="D6088" s="9"/>
      <c r="E6088" s="19"/>
      <c r="F6088" s="2"/>
      <c r="G6088" s="2"/>
    </row>
    <row r="6089" spans="1:7">
      <c r="A6089" s="9"/>
      <c r="B6089" s="1"/>
      <c r="C6089" s="8"/>
      <c r="D6089" s="9"/>
      <c r="E6089" s="19"/>
      <c r="F6089" s="2"/>
      <c r="G6089" s="2"/>
    </row>
    <row r="6090" spans="1:7">
      <c r="A6090" s="263" t="s">
        <v>419</v>
      </c>
      <c r="B6090" s="263"/>
      <c r="C6090" s="263"/>
      <c r="D6090" s="263"/>
      <c r="E6090" s="263"/>
      <c r="F6090" s="263"/>
      <c r="G6090" s="80">
        <f>SUM(G6089)</f>
        <v>0</v>
      </c>
    </row>
    <row r="6091" spans="1:7">
      <c r="A6091" s="81" t="s">
        <v>38</v>
      </c>
      <c r="B6091" s="262" t="s">
        <v>39</v>
      </c>
      <c r="C6091" s="262"/>
      <c r="D6091" s="262"/>
      <c r="E6091" s="262"/>
      <c r="F6091" s="262"/>
      <c r="G6091" s="118">
        <f>SUM(G6081:G6090)/2</f>
        <v>52020</v>
      </c>
    </row>
    <row r="6092" spans="1:7">
      <c r="A6092" s="81" t="s">
        <v>40</v>
      </c>
      <c r="B6092" s="262" t="s">
        <v>180</v>
      </c>
      <c r="C6092" s="262"/>
      <c r="D6092" s="262"/>
      <c r="E6092" s="262"/>
      <c r="F6092" s="82">
        <v>0.1</v>
      </c>
      <c r="G6092" s="80">
        <f>G6091*F6092</f>
        <v>5202</v>
      </c>
    </row>
    <row r="6093" spans="1:7">
      <c r="A6093" s="81" t="s">
        <v>41</v>
      </c>
      <c r="B6093" s="262" t="s">
        <v>42</v>
      </c>
      <c r="C6093" s="262"/>
      <c r="D6093" s="262"/>
      <c r="E6093" s="262"/>
      <c r="F6093" s="262"/>
      <c r="G6093" s="80">
        <f>G6091+G6092</f>
        <v>57222</v>
      </c>
    </row>
    <row r="6094" spans="1:7">
      <c r="A6094" s="90"/>
      <c r="B6094" s="91"/>
      <c r="C6094" s="91"/>
      <c r="D6094" s="91"/>
      <c r="E6094" s="91"/>
      <c r="F6094" s="91"/>
      <c r="G6094" s="92"/>
    </row>
    <row r="6095" spans="1:7">
      <c r="A6095" s="97" t="s">
        <v>861</v>
      </c>
      <c r="B6095" s="97" t="s">
        <v>449</v>
      </c>
      <c r="C6095" s="91"/>
      <c r="D6095" s="91"/>
      <c r="E6095" s="91"/>
      <c r="F6095" s="91"/>
      <c r="G6095" s="92"/>
    </row>
    <row r="6096" spans="1:7" ht="30">
      <c r="A6096" s="79" t="s">
        <v>0</v>
      </c>
      <c r="B6096" s="79" t="s">
        <v>1</v>
      </c>
      <c r="C6096" s="79" t="s">
        <v>207</v>
      </c>
      <c r="D6096" s="79" t="s">
        <v>3</v>
      </c>
      <c r="E6096" s="79" t="s">
        <v>2</v>
      </c>
      <c r="F6096" s="79" t="s">
        <v>417</v>
      </c>
      <c r="G6096" s="79" t="s">
        <v>418</v>
      </c>
    </row>
    <row r="6097" spans="1:7">
      <c r="A6097" s="9" t="s">
        <v>4</v>
      </c>
      <c r="B6097" s="1" t="s">
        <v>5</v>
      </c>
      <c r="C6097" s="8"/>
      <c r="D6097" s="9"/>
      <c r="E6097" s="19"/>
      <c r="F6097" s="2"/>
      <c r="G6097" s="2"/>
    </row>
    <row r="6098" spans="1:7">
      <c r="A6098" s="9">
        <v>1</v>
      </c>
      <c r="B6098" s="1" t="s">
        <v>48</v>
      </c>
      <c r="C6098" s="8" t="s">
        <v>49</v>
      </c>
      <c r="D6098" s="9" t="s">
        <v>8</v>
      </c>
      <c r="E6098" s="10" t="s">
        <v>126</v>
      </c>
      <c r="F6098" s="86">
        <f>VLOOKUP(B6098,'HSD UPAH,BAHAN,ALAT'!$C$6:F5464,4,FALSE)</f>
        <v>100000</v>
      </c>
      <c r="G6098" s="87">
        <f t="shared" ref="G6098:G6099" si="785">E6098*F6098</f>
        <v>20</v>
      </c>
    </row>
    <row r="6099" spans="1:7" ht="30">
      <c r="A6099" s="9">
        <v>2</v>
      </c>
      <c r="B6099" s="5" t="s">
        <v>222</v>
      </c>
      <c r="C6099" s="8" t="s">
        <v>7</v>
      </c>
      <c r="D6099" s="9" t="s">
        <v>8</v>
      </c>
      <c r="E6099" s="10" t="s">
        <v>181</v>
      </c>
      <c r="F6099" s="86">
        <f>VLOOKUP(B6099,'HSD UPAH,BAHAN,ALAT'!$C$6:F5465,4,FALSE)</f>
        <v>100000</v>
      </c>
      <c r="G6099" s="87">
        <f t="shared" si="785"/>
        <v>70</v>
      </c>
    </row>
    <row r="6100" spans="1:7">
      <c r="A6100" s="261" t="s">
        <v>420</v>
      </c>
      <c r="B6100" s="261"/>
      <c r="C6100" s="261"/>
      <c r="D6100" s="261"/>
      <c r="E6100" s="261"/>
      <c r="F6100" s="261"/>
      <c r="G6100" s="85">
        <f>SUM(G6097:G6099)</f>
        <v>90</v>
      </c>
    </row>
    <row r="6101" spans="1:7">
      <c r="A6101" s="9" t="s">
        <v>16</v>
      </c>
      <c r="B6101" s="1" t="s">
        <v>17</v>
      </c>
      <c r="C6101" s="8"/>
      <c r="D6101" s="9"/>
      <c r="E6101" s="19"/>
      <c r="F6101" s="2"/>
      <c r="G6101" s="2"/>
    </row>
    <row r="6102" spans="1:7" ht="30">
      <c r="A6102" s="9">
        <v>1</v>
      </c>
      <c r="B6102" s="5" t="s">
        <v>225</v>
      </c>
      <c r="C6102" s="8"/>
      <c r="D6102" s="12" t="s">
        <v>28</v>
      </c>
      <c r="E6102" s="7" t="s">
        <v>75</v>
      </c>
      <c r="F6102" s="86">
        <f>VLOOKUP(B6102,'HSD UPAH,BAHAN,ALAT'!$C$6:F5468,4,FALSE)</f>
        <v>10000</v>
      </c>
      <c r="G6102" s="87">
        <f t="shared" ref="G6102:G6103" si="786">E6102*F6102</f>
        <v>110</v>
      </c>
    </row>
    <row r="6103" spans="1:7">
      <c r="A6103" s="9">
        <v>2</v>
      </c>
      <c r="B6103" s="1" t="s">
        <v>119</v>
      </c>
      <c r="C6103" s="8"/>
      <c r="D6103" s="9" t="s">
        <v>120</v>
      </c>
      <c r="E6103" s="10" t="s">
        <v>155</v>
      </c>
      <c r="F6103" s="86">
        <f>VLOOKUP(B6103,'HSD UPAH,BAHAN,ALAT'!$C$6:F5469,4,FALSE)</f>
        <v>10000</v>
      </c>
      <c r="G6103" s="87">
        <f t="shared" si="786"/>
        <v>50000</v>
      </c>
    </row>
    <row r="6104" spans="1:7">
      <c r="A6104" s="261" t="s">
        <v>421</v>
      </c>
      <c r="B6104" s="261"/>
      <c r="C6104" s="261"/>
      <c r="D6104" s="261"/>
      <c r="E6104" s="261"/>
      <c r="F6104" s="261"/>
      <c r="G6104" s="85">
        <f>SUM(G6102:G6103)</f>
        <v>50110</v>
      </c>
    </row>
    <row r="6105" spans="1:7">
      <c r="A6105" s="9" t="s">
        <v>36</v>
      </c>
      <c r="B6105" s="1" t="s">
        <v>37</v>
      </c>
      <c r="C6105" s="8"/>
      <c r="D6105" s="9"/>
      <c r="E6105" s="19"/>
      <c r="F6105" s="2"/>
      <c r="G6105" s="2"/>
    </row>
    <row r="6106" spans="1:7">
      <c r="A6106" s="9"/>
      <c r="B6106" s="1"/>
      <c r="C6106" s="8"/>
      <c r="D6106" s="9"/>
      <c r="E6106" s="19"/>
      <c r="F6106" s="2"/>
      <c r="G6106" s="2"/>
    </row>
    <row r="6107" spans="1:7">
      <c r="A6107" s="263" t="s">
        <v>419</v>
      </c>
      <c r="B6107" s="263"/>
      <c r="C6107" s="263"/>
      <c r="D6107" s="263"/>
      <c r="E6107" s="263"/>
      <c r="F6107" s="263"/>
      <c r="G6107" s="80">
        <f>SUM(G6106)</f>
        <v>0</v>
      </c>
    </row>
    <row r="6108" spans="1:7">
      <c r="A6108" s="81" t="s">
        <v>38</v>
      </c>
      <c r="B6108" s="262" t="s">
        <v>39</v>
      </c>
      <c r="C6108" s="262"/>
      <c r="D6108" s="262"/>
      <c r="E6108" s="262"/>
      <c r="F6108" s="262"/>
      <c r="G6108" s="118">
        <f>SUM(G6098:G6107)/2</f>
        <v>50200</v>
      </c>
    </row>
    <row r="6109" spans="1:7">
      <c r="A6109" s="81" t="s">
        <v>40</v>
      </c>
      <c r="B6109" s="262" t="s">
        <v>180</v>
      </c>
      <c r="C6109" s="262"/>
      <c r="D6109" s="262"/>
      <c r="E6109" s="262"/>
      <c r="F6109" s="82">
        <v>0.1</v>
      </c>
      <c r="G6109" s="80">
        <f>G6108*F6109</f>
        <v>5020</v>
      </c>
    </row>
    <row r="6110" spans="1:7">
      <c r="A6110" s="81" t="s">
        <v>41</v>
      </c>
      <c r="B6110" s="262" t="s">
        <v>42</v>
      </c>
      <c r="C6110" s="262"/>
      <c r="D6110" s="262"/>
      <c r="E6110" s="262"/>
      <c r="F6110" s="262"/>
      <c r="G6110" s="80">
        <f>G6108+G6109</f>
        <v>55220</v>
      </c>
    </row>
    <row r="6111" spans="1:7">
      <c r="A6111" s="90"/>
      <c r="B6111" s="91"/>
      <c r="C6111" s="91"/>
      <c r="D6111" s="91"/>
      <c r="E6111" s="91"/>
      <c r="F6111" s="91"/>
      <c r="G6111" s="92"/>
    </row>
    <row r="6112" spans="1:7">
      <c r="A6112" s="4" t="s">
        <v>450</v>
      </c>
      <c r="B6112" s="91"/>
      <c r="C6112" s="91"/>
      <c r="D6112" s="91"/>
      <c r="E6112" s="91"/>
      <c r="F6112" s="91"/>
      <c r="G6112" s="92"/>
    </row>
    <row r="6113" spans="1:7">
      <c r="A6113" s="4" t="s">
        <v>672</v>
      </c>
      <c r="B6113" s="91"/>
      <c r="C6113" s="91"/>
      <c r="D6113" s="91"/>
      <c r="E6113" s="91"/>
      <c r="F6113" s="91"/>
      <c r="G6113" s="92"/>
    </row>
    <row r="6114" spans="1:7" ht="30">
      <c r="A6114" s="79" t="s">
        <v>0</v>
      </c>
      <c r="B6114" s="79" t="s">
        <v>1</v>
      </c>
      <c r="C6114" s="79" t="s">
        <v>207</v>
      </c>
      <c r="D6114" s="79" t="s">
        <v>3</v>
      </c>
      <c r="E6114" s="79" t="s">
        <v>2</v>
      </c>
      <c r="F6114" s="79" t="s">
        <v>417</v>
      </c>
      <c r="G6114" s="79" t="s">
        <v>418</v>
      </c>
    </row>
    <row r="6115" spans="1:7">
      <c r="A6115" s="8" t="s">
        <v>4</v>
      </c>
      <c r="B6115" s="1" t="s">
        <v>5</v>
      </c>
      <c r="C6115" s="8"/>
      <c r="D6115" s="9"/>
      <c r="E6115" s="19"/>
      <c r="F6115" s="2"/>
      <c r="G6115" s="2"/>
    </row>
    <row r="6116" spans="1:7">
      <c r="A6116" s="8">
        <v>1</v>
      </c>
      <c r="B6116" s="1" t="s">
        <v>6</v>
      </c>
      <c r="C6116" s="8" t="s">
        <v>7</v>
      </c>
      <c r="D6116" s="9" t="s">
        <v>8</v>
      </c>
      <c r="E6116" s="10" t="s">
        <v>182</v>
      </c>
      <c r="F6116" s="86">
        <f>VLOOKUP(B6116,'HSD UPAH,BAHAN,ALAT'!$C$6:F5479,4,FALSE)</f>
        <v>100000</v>
      </c>
      <c r="G6116" s="87">
        <f t="shared" ref="G6116:G6118" si="787">E6116*F6116</f>
        <v>4760</v>
      </c>
    </row>
    <row r="6117" spans="1:7">
      <c r="A6117" s="8">
        <v>2</v>
      </c>
      <c r="B6117" s="1" t="s">
        <v>10</v>
      </c>
      <c r="C6117" s="8" t="s">
        <v>11</v>
      </c>
      <c r="D6117" s="9" t="s">
        <v>8</v>
      </c>
      <c r="E6117" s="10" t="s">
        <v>183</v>
      </c>
      <c r="F6117" s="86">
        <f>VLOOKUP(B6117,'HSD UPAH,BAHAN,ALAT'!$C$6:F5480,4,FALSE)</f>
        <v>120000</v>
      </c>
      <c r="G6117" s="87">
        <f t="shared" si="787"/>
        <v>285.60000000000002</v>
      </c>
    </row>
    <row r="6118" spans="1:7">
      <c r="A6118" s="8">
        <v>3</v>
      </c>
      <c r="B6118" s="1" t="s">
        <v>13</v>
      </c>
      <c r="C6118" s="8" t="s">
        <v>14</v>
      </c>
      <c r="D6118" s="9" t="s">
        <v>8</v>
      </c>
      <c r="E6118" s="10" t="s">
        <v>184</v>
      </c>
      <c r="F6118" s="86">
        <f>VLOOKUP(B6118,'HSD UPAH,BAHAN,ALAT'!$C$6:F5481,4,FALSE)</f>
        <v>100000</v>
      </c>
      <c r="G6118" s="87">
        <f t="shared" si="787"/>
        <v>79</v>
      </c>
    </row>
    <row r="6119" spans="1:7">
      <c r="A6119" s="261" t="s">
        <v>420</v>
      </c>
      <c r="B6119" s="261"/>
      <c r="C6119" s="261"/>
      <c r="D6119" s="261"/>
      <c r="E6119" s="261"/>
      <c r="F6119" s="261"/>
      <c r="G6119" s="85">
        <f>SUM(G6116:G6118)</f>
        <v>5124.6000000000004</v>
      </c>
    </row>
    <row r="6120" spans="1:7">
      <c r="A6120" s="8" t="s">
        <v>16</v>
      </c>
      <c r="B6120" s="1" t="s">
        <v>17</v>
      </c>
      <c r="C6120" s="8"/>
      <c r="D6120" s="9"/>
      <c r="E6120" s="19"/>
      <c r="F6120" s="2"/>
      <c r="G6120" s="2"/>
    </row>
    <row r="6121" spans="1:7">
      <c r="A6121" s="261" t="s">
        <v>421</v>
      </c>
      <c r="B6121" s="261"/>
      <c r="C6121" s="261"/>
      <c r="D6121" s="261"/>
      <c r="E6121" s="261"/>
      <c r="F6121" s="261"/>
      <c r="G6121" s="85">
        <f>SUM(G6120:G6120)</f>
        <v>0</v>
      </c>
    </row>
    <row r="6122" spans="1:7">
      <c r="A6122" s="8" t="s">
        <v>36</v>
      </c>
      <c r="B6122" s="1" t="s">
        <v>37</v>
      </c>
      <c r="C6122" s="8"/>
      <c r="D6122" s="9"/>
      <c r="E6122" s="19"/>
      <c r="F6122" s="2"/>
      <c r="G6122" s="2"/>
    </row>
    <row r="6123" spans="1:7">
      <c r="A6123" s="263" t="s">
        <v>419</v>
      </c>
      <c r="B6123" s="263"/>
      <c r="C6123" s="263"/>
      <c r="D6123" s="263"/>
      <c r="E6123" s="263"/>
      <c r="F6123" s="263"/>
      <c r="G6123" s="80">
        <f>SUM(G6122)</f>
        <v>0</v>
      </c>
    </row>
    <row r="6124" spans="1:7">
      <c r="A6124" s="81" t="s">
        <v>38</v>
      </c>
      <c r="B6124" s="262" t="s">
        <v>39</v>
      </c>
      <c r="C6124" s="262"/>
      <c r="D6124" s="262"/>
      <c r="E6124" s="262"/>
      <c r="F6124" s="262"/>
      <c r="G6124" s="118">
        <f>SUM(G6114:G6123)/2</f>
        <v>5124.6000000000004</v>
      </c>
    </row>
    <row r="6125" spans="1:7">
      <c r="A6125" s="81" t="s">
        <v>40</v>
      </c>
      <c r="B6125" s="262" t="s">
        <v>180</v>
      </c>
      <c r="C6125" s="262"/>
      <c r="D6125" s="262"/>
      <c r="E6125" s="262"/>
      <c r="F6125" s="82">
        <v>0.1</v>
      </c>
      <c r="G6125" s="80">
        <f>G6124*F6125</f>
        <v>512.46</v>
      </c>
    </row>
    <row r="6126" spans="1:7">
      <c r="A6126" s="81" t="s">
        <v>41</v>
      </c>
      <c r="B6126" s="262" t="s">
        <v>42</v>
      </c>
      <c r="C6126" s="262"/>
      <c r="D6126" s="262"/>
      <c r="E6126" s="262"/>
      <c r="F6126" s="262"/>
      <c r="G6126" s="80">
        <f>G6124+G6125</f>
        <v>5637.06</v>
      </c>
    </row>
    <row r="6127" spans="1:7">
      <c r="A6127" s="90"/>
      <c r="B6127" s="91"/>
      <c r="C6127" s="91"/>
      <c r="D6127" s="91"/>
      <c r="E6127" s="91"/>
      <c r="F6127" s="91"/>
      <c r="G6127" s="92"/>
    </row>
    <row r="6128" spans="1:7">
      <c r="A6128" s="4" t="s">
        <v>673</v>
      </c>
      <c r="B6128" s="91"/>
      <c r="C6128" s="91"/>
      <c r="D6128" s="91"/>
      <c r="E6128" s="91"/>
      <c r="F6128" s="91"/>
      <c r="G6128" s="92"/>
    </row>
    <row r="6129" spans="1:7" ht="30">
      <c r="A6129" s="79" t="s">
        <v>0</v>
      </c>
      <c r="B6129" s="79" t="s">
        <v>1</v>
      </c>
      <c r="C6129" s="79" t="s">
        <v>207</v>
      </c>
      <c r="D6129" s="79" t="s">
        <v>3</v>
      </c>
      <c r="E6129" s="79" t="s">
        <v>2</v>
      </c>
      <c r="F6129" s="79" t="s">
        <v>417</v>
      </c>
      <c r="G6129" s="79" t="s">
        <v>418</v>
      </c>
    </row>
    <row r="6130" spans="1:7">
      <c r="A6130" s="8" t="s">
        <v>4</v>
      </c>
      <c r="B6130" s="1" t="s">
        <v>5</v>
      </c>
      <c r="C6130" s="8"/>
      <c r="D6130" s="9"/>
      <c r="E6130" s="19"/>
      <c r="F6130" s="2"/>
      <c r="G6130" s="2"/>
    </row>
    <row r="6131" spans="1:7">
      <c r="A6131" s="8">
        <v>1</v>
      </c>
      <c r="B6131" s="1" t="s">
        <v>6</v>
      </c>
      <c r="C6131" s="8" t="s">
        <v>7</v>
      </c>
      <c r="D6131" s="9" t="s">
        <v>8</v>
      </c>
      <c r="E6131" s="10" t="s">
        <v>63</v>
      </c>
      <c r="F6131" s="86">
        <f>VLOOKUP(B6131,'HSD UPAH,BAHAN,ALAT'!$C$6:F5492,4,FALSE)</f>
        <v>100000</v>
      </c>
      <c r="G6131" s="87">
        <f t="shared" ref="G6131:G6133" si="788">E6131*F6131</f>
        <v>7299.9999999999991</v>
      </c>
    </row>
    <row r="6132" spans="1:7">
      <c r="A6132" s="8">
        <v>2</v>
      </c>
      <c r="B6132" s="1" t="s">
        <v>10</v>
      </c>
      <c r="C6132" s="8" t="s">
        <v>11</v>
      </c>
      <c r="D6132" s="9" t="s">
        <v>8</v>
      </c>
      <c r="E6132" s="10" t="s">
        <v>185</v>
      </c>
      <c r="F6132" s="86">
        <f>VLOOKUP(B6132,'HSD UPAH,BAHAN,ALAT'!$C$6:F5493,4,FALSE)</f>
        <v>120000</v>
      </c>
      <c r="G6132" s="87">
        <f t="shared" si="788"/>
        <v>444</v>
      </c>
    </row>
    <row r="6133" spans="1:7">
      <c r="A6133" s="8">
        <v>3</v>
      </c>
      <c r="B6133" s="1" t="s">
        <v>13</v>
      </c>
      <c r="C6133" s="8" t="s">
        <v>14</v>
      </c>
      <c r="D6133" s="9" t="s">
        <v>8</v>
      </c>
      <c r="E6133" s="10" t="s">
        <v>186</v>
      </c>
      <c r="F6133" s="86">
        <f>VLOOKUP(B6133,'HSD UPAH,BAHAN,ALAT'!$C$6:F5494,4,FALSE)</f>
        <v>100000</v>
      </c>
      <c r="G6133" s="87">
        <f t="shared" si="788"/>
        <v>119.99999999999999</v>
      </c>
    </row>
    <row r="6134" spans="1:7">
      <c r="A6134" s="261" t="s">
        <v>420</v>
      </c>
      <c r="B6134" s="261"/>
      <c r="C6134" s="261"/>
      <c r="D6134" s="261"/>
      <c r="E6134" s="261"/>
      <c r="F6134" s="261"/>
      <c r="G6134" s="85">
        <f>SUM(G6131:G6133)</f>
        <v>7863.9999999999991</v>
      </c>
    </row>
    <row r="6135" spans="1:7">
      <c r="A6135" s="8" t="s">
        <v>16</v>
      </c>
      <c r="B6135" s="1" t="s">
        <v>17</v>
      </c>
      <c r="C6135" s="8"/>
      <c r="D6135" s="9"/>
      <c r="E6135" s="19"/>
      <c r="F6135" s="2"/>
      <c r="G6135" s="2"/>
    </row>
    <row r="6136" spans="1:7">
      <c r="A6136" s="261" t="s">
        <v>421</v>
      </c>
      <c r="B6136" s="261"/>
      <c r="C6136" s="261"/>
      <c r="D6136" s="261"/>
      <c r="E6136" s="261"/>
      <c r="F6136" s="261"/>
      <c r="G6136" s="85">
        <f>SUM(G6135:G6135)</f>
        <v>0</v>
      </c>
    </row>
    <row r="6137" spans="1:7">
      <c r="A6137" s="8" t="s">
        <v>36</v>
      </c>
      <c r="B6137" s="1" t="s">
        <v>37</v>
      </c>
      <c r="C6137" s="8"/>
      <c r="D6137" s="9"/>
      <c r="E6137" s="19"/>
      <c r="F6137" s="2"/>
      <c r="G6137" s="2"/>
    </row>
    <row r="6138" spans="1:7">
      <c r="A6138" s="263" t="s">
        <v>419</v>
      </c>
      <c r="B6138" s="263"/>
      <c r="C6138" s="263"/>
      <c r="D6138" s="263"/>
      <c r="E6138" s="263"/>
      <c r="F6138" s="263"/>
      <c r="G6138" s="80">
        <f>SUM(G6137)</f>
        <v>0</v>
      </c>
    </row>
    <row r="6139" spans="1:7">
      <c r="A6139" s="81" t="s">
        <v>38</v>
      </c>
      <c r="B6139" s="262" t="s">
        <v>39</v>
      </c>
      <c r="C6139" s="262"/>
      <c r="D6139" s="262"/>
      <c r="E6139" s="262"/>
      <c r="F6139" s="262"/>
      <c r="G6139" s="118">
        <f>SUM(G6129:G6138)/2</f>
        <v>7863.9999999999991</v>
      </c>
    </row>
    <row r="6140" spans="1:7">
      <c r="A6140" s="81" t="s">
        <v>40</v>
      </c>
      <c r="B6140" s="262" t="s">
        <v>180</v>
      </c>
      <c r="C6140" s="262"/>
      <c r="D6140" s="262"/>
      <c r="E6140" s="262"/>
      <c r="F6140" s="82">
        <v>0.1</v>
      </c>
      <c r="G6140" s="80">
        <f>G6139*F6140</f>
        <v>786.4</v>
      </c>
    </row>
    <row r="6141" spans="1:7">
      <c r="A6141" s="81" t="s">
        <v>41</v>
      </c>
      <c r="B6141" s="262" t="s">
        <v>42</v>
      </c>
      <c r="C6141" s="262"/>
      <c r="D6141" s="262"/>
      <c r="E6141" s="262"/>
      <c r="F6141" s="262"/>
      <c r="G6141" s="80">
        <f>G6139+G6140</f>
        <v>8650.4</v>
      </c>
    </row>
    <row r="6142" spans="1:7">
      <c r="A6142" s="90"/>
      <c r="B6142" s="91"/>
      <c r="C6142" s="91"/>
      <c r="D6142" s="91"/>
      <c r="E6142" s="91"/>
      <c r="F6142" s="91"/>
      <c r="G6142" s="92"/>
    </row>
    <row r="6143" spans="1:7">
      <c r="A6143" s="4" t="s">
        <v>674</v>
      </c>
      <c r="B6143" s="91"/>
      <c r="C6143" s="91"/>
      <c r="D6143" s="91"/>
      <c r="E6143" s="91"/>
      <c r="F6143" s="91"/>
      <c r="G6143" s="92"/>
    </row>
    <row r="6144" spans="1:7" ht="30">
      <c r="A6144" s="79" t="s">
        <v>0</v>
      </c>
      <c r="B6144" s="79" t="s">
        <v>1</v>
      </c>
      <c r="C6144" s="79" t="s">
        <v>207</v>
      </c>
      <c r="D6144" s="79" t="s">
        <v>3</v>
      </c>
      <c r="E6144" s="79" t="s">
        <v>2</v>
      </c>
      <c r="F6144" s="79" t="s">
        <v>417</v>
      </c>
      <c r="G6144" s="79" t="s">
        <v>418</v>
      </c>
    </row>
    <row r="6145" spans="1:7">
      <c r="A6145" s="8" t="s">
        <v>4</v>
      </c>
      <c r="B6145" s="1" t="s">
        <v>5</v>
      </c>
      <c r="C6145" s="8"/>
      <c r="D6145" s="9"/>
      <c r="E6145" s="19"/>
      <c r="F6145" s="2"/>
      <c r="G6145" s="2"/>
    </row>
    <row r="6146" spans="1:7">
      <c r="A6146" s="8">
        <v>1</v>
      </c>
      <c r="B6146" s="1" t="s">
        <v>6</v>
      </c>
      <c r="C6146" s="8" t="s">
        <v>7</v>
      </c>
      <c r="D6146" s="9" t="s">
        <v>8</v>
      </c>
      <c r="E6146" s="10" t="s">
        <v>187</v>
      </c>
      <c r="F6146" s="86">
        <f>VLOOKUP(B6146,'HSD UPAH,BAHAN,ALAT'!$C$6:F5505,4,FALSE)</f>
        <v>100000</v>
      </c>
      <c r="G6146" s="87">
        <f t="shared" ref="G6146:G6148" si="789">E6146*F6146</f>
        <v>13000</v>
      </c>
    </row>
    <row r="6147" spans="1:7">
      <c r="A6147" s="8">
        <v>2</v>
      </c>
      <c r="B6147" s="1" t="s">
        <v>10</v>
      </c>
      <c r="C6147" s="8" t="s">
        <v>11</v>
      </c>
      <c r="D6147" s="9" t="s">
        <v>8</v>
      </c>
      <c r="E6147" s="10" t="s">
        <v>47</v>
      </c>
      <c r="F6147" s="86">
        <f>VLOOKUP(B6147,'HSD UPAH,BAHAN,ALAT'!$C$6:F5506,4,FALSE)</f>
        <v>120000</v>
      </c>
      <c r="G6147" s="87">
        <f t="shared" si="789"/>
        <v>780</v>
      </c>
    </row>
    <row r="6148" spans="1:7">
      <c r="A6148" s="8">
        <v>3</v>
      </c>
      <c r="B6148" s="1" t="s">
        <v>13</v>
      </c>
      <c r="C6148" s="8" t="s">
        <v>14</v>
      </c>
      <c r="D6148" s="9" t="s">
        <v>8</v>
      </c>
      <c r="E6148" s="10" t="s">
        <v>45</v>
      </c>
      <c r="F6148" s="86">
        <f>VLOOKUP(B6148,'HSD UPAH,BAHAN,ALAT'!$C$6:F5507,4,FALSE)</f>
        <v>100000</v>
      </c>
      <c r="G6148" s="87">
        <f t="shared" si="789"/>
        <v>220</v>
      </c>
    </row>
    <row r="6149" spans="1:7">
      <c r="A6149" s="261" t="s">
        <v>420</v>
      </c>
      <c r="B6149" s="261"/>
      <c r="C6149" s="261"/>
      <c r="D6149" s="261"/>
      <c r="E6149" s="261"/>
      <c r="F6149" s="261"/>
      <c r="G6149" s="85">
        <f>SUM(G6146:G6148)</f>
        <v>14000</v>
      </c>
    </row>
    <row r="6150" spans="1:7">
      <c r="A6150" s="8" t="s">
        <v>16</v>
      </c>
      <c r="B6150" s="1" t="s">
        <v>17</v>
      </c>
      <c r="C6150" s="8"/>
      <c r="D6150" s="9"/>
      <c r="E6150" s="19"/>
      <c r="F6150" s="2"/>
      <c r="G6150" s="2"/>
    </row>
    <row r="6151" spans="1:7">
      <c r="A6151" s="261" t="s">
        <v>421</v>
      </c>
      <c r="B6151" s="261"/>
      <c r="C6151" s="261"/>
      <c r="D6151" s="261"/>
      <c r="E6151" s="261"/>
      <c r="F6151" s="261"/>
      <c r="G6151" s="85">
        <f>SUM(G6150:G6150)</f>
        <v>0</v>
      </c>
    </row>
    <row r="6152" spans="1:7">
      <c r="A6152" s="8" t="s">
        <v>36</v>
      </c>
      <c r="B6152" s="1" t="s">
        <v>37</v>
      </c>
      <c r="C6152" s="8"/>
      <c r="D6152" s="9"/>
      <c r="E6152" s="19"/>
      <c r="F6152" s="2"/>
      <c r="G6152" s="2"/>
    </row>
    <row r="6153" spans="1:7">
      <c r="A6153" s="263" t="s">
        <v>419</v>
      </c>
      <c r="B6153" s="263"/>
      <c r="C6153" s="263"/>
      <c r="D6153" s="263"/>
      <c r="E6153" s="263"/>
      <c r="F6153" s="263"/>
      <c r="G6153" s="80">
        <f>SUM(G6152)</f>
        <v>0</v>
      </c>
    </row>
    <row r="6154" spans="1:7">
      <c r="A6154" s="81" t="s">
        <v>38</v>
      </c>
      <c r="B6154" s="262" t="s">
        <v>39</v>
      </c>
      <c r="C6154" s="262"/>
      <c r="D6154" s="262"/>
      <c r="E6154" s="262"/>
      <c r="F6154" s="262"/>
      <c r="G6154" s="118">
        <f>SUM(G6144:G6153)/2</f>
        <v>14000</v>
      </c>
    </row>
    <row r="6155" spans="1:7">
      <c r="A6155" s="81" t="s">
        <v>40</v>
      </c>
      <c r="B6155" s="262" t="s">
        <v>180</v>
      </c>
      <c r="C6155" s="262"/>
      <c r="D6155" s="262"/>
      <c r="E6155" s="262"/>
      <c r="F6155" s="82">
        <v>0.1</v>
      </c>
      <c r="G6155" s="80">
        <f>G6154*F6155</f>
        <v>1400</v>
      </c>
    </row>
    <row r="6156" spans="1:7">
      <c r="A6156" s="81" t="s">
        <v>41</v>
      </c>
      <c r="B6156" s="262" t="s">
        <v>42</v>
      </c>
      <c r="C6156" s="262"/>
      <c r="D6156" s="262"/>
      <c r="E6156" s="262"/>
      <c r="F6156" s="262"/>
      <c r="G6156" s="80">
        <f>G6154+G6155</f>
        <v>15400</v>
      </c>
    </row>
    <row r="6157" spans="1:7">
      <c r="A6157" s="90"/>
      <c r="B6157" s="91"/>
      <c r="C6157" s="91"/>
      <c r="D6157" s="91"/>
      <c r="E6157" s="91"/>
      <c r="F6157" s="91"/>
      <c r="G6157" s="92"/>
    </row>
    <row r="6158" spans="1:7">
      <c r="A6158" s="4" t="s">
        <v>862</v>
      </c>
      <c r="B6158" s="91"/>
      <c r="C6158" s="91"/>
      <c r="D6158" s="91"/>
      <c r="E6158" s="91"/>
      <c r="F6158" s="91"/>
      <c r="G6158" s="92"/>
    </row>
    <row r="6159" spans="1:7" ht="30">
      <c r="A6159" s="79" t="s">
        <v>0</v>
      </c>
      <c r="B6159" s="79" t="s">
        <v>1</v>
      </c>
      <c r="C6159" s="79" t="s">
        <v>207</v>
      </c>
      <c r="D6159" s="79" t="s">
        <v>3</v>
      </c>
      <c r="E6159" s="79" t="s">
        <v>2</v>
      </c>
      <c r="F6159" s="79" t="s">
        <v>417</v>
      </c>
      <c r="G6159" s="79" t="s">
        <v>418</v>
      </c>
    </row>
    <row r="6160" spans="1:7">
      <c r="A6160" s="8" t="s">
        <v>4</v>
      </c>
      <c r="B6160" s="1" t="s">
        <v>5</v>
      </c>
      <c r="C6160" s="8"/>
      <c r="D6160" s="9"/>
      <c r="E6160" s="19"/>
      <c r="F6160" s="2"/>
      <c r="G6160" s="2"/>
    </row>
    <row r="6161" spans="1:7" ht="30">
      <c r="A6161" s="8">
        <v>1</v>
      </c>
      <c r="B6161" s="5" t="s">
        <v>222</v>
      </c>
      <c r="C6161" s="8" t="s">
        <v>7</v>
      </c>
      <c r="D6161" s="9" t="s">
        <v>8</v>
      </c>
      <c r="E6161" s="10" t="s">
        <v>187</v>
      </c>
      <c r="F6161" s="86">
        <f>VLOOKUP(B6161,'HSD UPAH,BAHAN,ALAT'!$C$6:F5518,4,FALSE)</f>
        <v>100000</v>
      </c>
      <c r="G6161" s="87">
        <f t="shared" ref="G6161:G6162" si="790">E6161*F6161</f>
        <v>13000</v>
      </c>
    </row>
    <row r="6162" spans="1:7">
      <c r="A6162" s="8">
        <v>2</v>
      </c>
      <c r="B6162" s="1" t="s">
        <v>13</v>
      </c>
      <c r="C6162" s="8" t="s">
        <v>14</v>
      </c>
      <c r="D6162" s="9" t="s">
        <v>8</v>
      </c>
      <c r="E6162" s="10" t="s">
        <v>47</v>
      </c>
      <c r="F6162" s="86">
        <f>VLOOKUP(B6162,'HSD UPAH,BAHAN,ALAT'!$C$6:F5519,4,FALSE)</f>
        <v>100000</v>
      </c>
      <c r="G6162" s="87">
        <f t="shared" si="790"/>
        <v>650</v>
      </c>
    </row>
    <row r="6163" spans="1:7">
      <c r="A6163" s="261" t="s">
        <v>420</v>
      </c>
      <c r="B6163" s="261"/>
      <c r="C6163" s="261"/>
      <c r="D6163" s="261"/>
      <c r="E6163" s="261"/>
      <c r="F6163" s="261"/>
      <c r="G6163" s="85">
        <f>SUM(G6160:G6162)</f>
        <v>13650</v>
      </c>
    </row>
    <row r="6164" spans="1:7">
      <c r="A6164" s="8" t="s">
        <v>16</v>
      </c>
      <c r="B6164" s="1" t="s">
        <v>17</v>
      </c>
      <c r="C6164" s="8"/>
      <c r="D6164" s="9"/>
      <c r="E6164" s="19"/>
      <c r="F6164" s="2"/>
      <c r="G6164" s="2"/>
    </row>
    <row r="6165" spans="1:7">
      <c r="A6165" s="8"/>
      <c r="B6165" s="1"/>
      <c r="C6165" s="8"/>
      <c r="D6165" s="9"/>
      <c r="E6165" s="19"/>
      <c r="F6165" s="2"/>
      <c r="G6165" s="2"/>
    </row>
    <row r="6166" spans="1:7">
      <c r="A6166" s="261" t="s">
        <v>421</v>
      </c>
      <c r="B6166" s="261"/>
      <c r="C6166" s="261"/>
      <c r="D6166" s="261"/>
      <c r="E6166" s="261"/>
      <c r="F6166" s="261"/>
      <c r="G6166" s="85">
        <f>SUM(G6165:G6165)</f>
        <v>0</v>
      </c>
    </row>
    <row r="6167" spans="1:7">
      <c r="A6167" s="8" t="s">
        <v>36</v>
      </c>
      <c r="B6167" s="1" t="s">
        <v>37</v>
      </c>
      <c r="C6167" s="8"/>
      <c r="D6167" s="9"/>
      <c r="E6167" s="19"/>
      <c r="F6167" s="2"/>
      <c r="G6167" s="2"/>
    </row>
    <row r="6168" spans="1:7">
      <c r="A6168" s="8"/>
      <c r="B6168" s="1"/>
      <c r="C6168" s="8"/>
      <c r="D6168" s="9"/>
      <c r="E6168" s="19"/>
      <c r="F6168" s="2"/>
      <c r="G6168" s="2"/>
    </row>
    <row r="6169" spans="1:7">
      <c r="A6169" s="263" t="s">
        <v>419</v>
      </c>
      <c r="B6169" s="263"/>
      <c r="C6169" s="263"/>
      <c r="D6169" s="263"/>
      <c r="E6169" s="263"/>
      <c r="F6169" s="263"/>
      <c r="G6169" s="80">
        <f>SUM(G6168)</f>
        <v>0</v>
      </c>
    </row>
    <row r="6170" spans="1:7">
      <c r="A6170" s="81" t="s">
        <v>38</v>
      </c>
      <c r="B6170" s="262" t="s">
        <v>39</v>
      </c>
      <c r="C6170" s="262"/>
      <c r="D6170" s="262"/>
      <c r="E6170" s="262"/>
      <c r="F6170" s="262"/>
      <c r="G6170" s="118">
        <f>SUM(G6160:G6169)/2</f>
        <v>13650</v>
      </c>
    </row>
    <row r="6171" spans="1:7">
      <c r="A6171" s="81" t="s">
        <v>40</v>
      </c>
      <c r="B6171" s="262" t="s">
        <v>180</v>
      </c>
      <c r="C6171" s="262"/>
      <c r="D6171" s="262"/>
      <c r="E6171" s="262"/>
      <c r="F6171" s="82">
        <v>0.1</v>
      </c>
      <c r="G6171" s="80">
        <f>G6170*F6171</f>
        <v>1365</v>
      </c>
    </row>
    <row r="6172" spans="1:7">
      <c r="A6172" s="81" t="s">
        <v>41</v>
      </c>
      <c r="B6172" s="262" t="s">
        <v>42</v>
      </c>
      <c r="C6172" s="262"/>
      <c r="D6172" s="262"/>
      <c r="E6172" s="262"/>
      <c r="F6172" s="262"/>
      <c r="G6172" s="80">
        <f>G6170+G6171</f>
        <v>15015</v>
      </c>
    </row>
    <row r="6173" spans="1:7">
      <c r="A6173" s="90"/>
      <c r="B6173" s="91"/>
      <c r="C6173" s="91"/>
      <c r="D6173" s="91"/>
      <c r="E6173" s="91"/>
      <c r="F6173" s="91"/>
      <c r="G6173" s="92"/>
    </row>
    <row r="6174" spans="1:7">
      <c r="A6174" s="4" t="s">
        <v>863</v>
      </c>
      <c r="B6174" s="91"/>
      <c r="C6174" s="91"/>
      <c r="D6174" s="91"/>
      <c r="E6174" s="91"/>
      <c r="F6174" s="91"/>
      <c r="G6174" s="92"/>
    </row>
    <row r="6175" spans="1:7" ht="30">
      <c r="A6175" s="79" t="s">
        <v>0</v>
      </c>
      <c r="B6175" s="79" t="s">
        <v>1</v>
      </c>
      <c r="C6175" s="79" t="s">
        <v>207</v>
      </c>
      <c r="D6175" s="79" t="s">
        <v>3</v>
      </c>
      <c r="E6175" s="79" t="s">
        <v>2</v>
      </c>
      <c r="F6175" s="79" t="s">
        <v>417</v>
      </c>
      <c r="G6175" s="79" t="s">
        <v>418</v>
      </c>
    </row>
    <row r="6176" spans="1:7">
      <c r="A6176" s="8" t="s">
        <v>4</v>
      </c>
      <c r="B6176" s="1" t="s">
        <v>5</v>
      </c>
      <c r="C6176" s="8"/>
      <c r="D6176" s="9"/>
      <c r="E6176" s="19"/>
      <c r="F6176" s="2"/>
      <c r="G6176" s="2"/>
    </row>
    <row r="6177" spans="1:7">
      <c r="A6177" s="8">
        <v>1</v>
      </c>
      <c r="B6177" s="1" t="s">
        <v>6</v>
      </c>
      <c r="C6177" s="8" t="s">
        <v>7</v>
      </c>
      <c r="D6177" s="9" t="s">
        <v>8</v>
      </c>
      <c r="E6177" s="10" t="s">
        <v>188</v>
      </c>
      <c r="F6177" s="86">
        <f>VLOOKUP(B6177,'HSD UPAH,BAHAN,ALAT'!$C$6:F5532,4,FALSE)</f>
        <v>100000</v>
      </c>
      <c r="G6177" s="87">
        <f t="shared" ref="G6177:G6179" si="791">E6177*F6177</f>
        <v>1200</v>
      </c>
    </row>
    <row r="6178" spans="1:7">
      <c r="A6178" s="8">
        <v>2</v>
      </c>
      <c r="B6178" s="1" t="s">
        <v>10</v>
      </c>
      <c r="C6178" s="8" t="s">
        <v>11</v>
      </c>
      <c r="D6178" s="9" t="s">
        <v>8</v>
      </c>
      <c r="E6178" s="10" t="s">
        <v>189</v>
      </c>
      <c r="F6178" s="86">
        <f>VLOOKUP(B6178,'HSD UPAH,BAHAN,ALAT'!$C$6:F5533,4,FALSE)</f>
        <v>120000</v>
      </c>
      <c r="G6178" s="87">
        <f t="shared" si="791"/>
        <v>72</v>
      </c>
    </row>
    <row r="6179" spans="1:7">
      <c r="A6179" s="8">
        <v>3</v>
      </c>
      <c r="B6179" s="1" t="s">
        <v>13</v>
      </c>
      <c r="C6179" s="8" t="s">
        <v>14</v>
      </c>
      <c r="D6179" s="9" t="s">
        <v>8</v>
      </c>
      <c r="E6179" s="10" t="s">
        <v>126</v>
      </c>
      <c r="F6179" s="86">
        <f>VLOOKUP(B6179,'HSD UPAH,BAHAN,ALAT'!$C$6:F5534,4,FALSE)</f>
        <v>100000</v>
      </c>
      <c r="G6179" s="87">
        <f t="shared" si="791"/>
        <v>20</v>
      </c>
    </row>
    <row r="6180" spans="1:7">
      <c r="A6180" s="261" t="s">
        <v>420</v>
      </c>
      <c r="B6180" s="261"/>
      <c r="C6180" s="261"/>
      <c r="D6180" s="261"/>
      <c r="E6180" s="261"/>
      <c r="F6180" s="261"/>
      <c r="G6180" s="85">
        <f>SUM(G6177:G6179)</f>
        <v>1292</v>
      </c>
    </row>
    <row r="6181" spans="1:7">
      <c r="A6181" s="8" t="s">
        <v>16</v>
      </c>
      <c r="B6181" s="1" t="s">
        <v>17</v>
      </c>
      <c r="C6181" s="8"/>
      <c r="D6181" s="9"/>
      <c r="E6181" s="19"/>
      <c r="F6181" s="2"/>
      <c r="G6181" s="2"/>
    </row>
    <row r="6182" spans="1:7">
      <c r="A6182" s="8"/>
      <c r="B6182" s="1"/>
      <c r="C6182" s="8"/>
      <c r="D6182" s="9"/>
      <c r="E6182" s="19"/>
      <c r="F6182" s="2"/>
      <c r="G6182" s="2"/>
    </row>
    <row r="6183" spans="1:7">
      <c r="A6183" s="261" t="s">
        <v>421</v>
      </c>
      <c r="B6183" s="261"/>
      <c r="C6183" s="261"/>
      <c r="D6183" s="261"/>
      <c r="E6183" s="261"/>
      <c r="F6183" s="261"/>
      <c r="G6183" s="85">
        <f>SUM(G6182:G6182)</f>
        <v>0</v>
      </c>
    </row>
    <row r="6184" spans="1:7">
      <c r="A6184" s="8" t="s">
        <v>36</v>
      </c>
      <c r="B6184" s="1" t="s">
        <v>37</v>
      </c>
      <c r="C6184" s="8"/>
      <c r="D6184" s="9"/>
      <c r="E6184" s="19"/>
      <c r="F6184" s="2"/>
      <c r="G6184" s="2"/>
    </row>
    <row r="6185" spans="1:7">
      <c r="A6185" s="8"/>
      <c r="B6185" s="1"/>
      <c r="C6185" s="8"/>
      <c r="D6185" s="9"/>
      <c r="E6185" s="19"/>
      <c r="F6185" s="2"/>
      <c r="G6185" s="2"/>
    </row>
    <row r="6186" spans="1:7">
      <c r="A6186" s="263" t="s">
        <v>419</v>
      </c>
      <c r="B6186" s="263"/>
      <c r="C6186" s="263"/>
      <c r="D6186" s="263"/>
      <c r="E6186" s="263"/>
      <c r="F6186" s="263"/>
      <c r="G6186" s="80">
        <f>SUM(G6185)</f>
        <v>0</v>
      </c>
    </row>
    <row r="6187" spans="1:7">
      <c r="A6187" s="81" t="s">
        <v>38</v>
      </c>
      <c r="B6187" s="262" t="s">
        <v>39</v>
      </c>
      <c r="C6187" s="262"/>
      <c r="D6187" s="262"/>
      <c r="E6187" s="262"/>
      <c r="F6187" s="262"/>
      <c r="G6187" s="118">
        <f>SUM(G6177:G6186)/2</f>
        <v>1292</v>
      </c>
    </row>
    <row r="6188" spans="1:7">
      <c r="A6188" s="81" t="s">
        <v>40</v>
      </c>
      <c r="B6188" s="262" t="s">
        <v>180</v>
      </c>
      <c r="C6188" s="262"/>
      <c r="D6188" s="262"/>
      <c r="E6188" s="262"/>
      <c r="F6188" s="82">
        <v>0.1</v>
      </c>
      <c r="G6188" s="80">
        <f>G6187*F6188</f>
        <v>129.20000000000002</v>
      </c>
    </row>
    <row r="6189" spans="1:7">
      <c r="A6189" s="81" t="s">
        <v>41</v>
      </c>
      <c r="B6189" s="262" t="s">
        <v>42</v>
      </c>
      <c r="C6189" s="262"/>
      <c r="D6189" s="262"/>
      <c r="E6189" s="262"/>
      <c r="F6189" s="262"/>
      <c r="G6189" s="80">
        <f>G6187+G6188</f>
        <v>1421.2</v>
      </c>
    </row>
    <row r="6190" spans="1:7">
      <c r="A6190" s="90"/>
      <c r="B6190" s="91"/>
      <c r="C6190" s="91"/>
      <c r="D6190" s="91"/>
      <c r="E6190" s="91"/>
      <c r="F6190" s="91"/>
      <c r="G6190" s="92"/>
    </row>
    <row r="6191" spans="1:7">
      <c r="A6191" s="93" t="s">
        <v>864</v>
      </c>
      <c r="B6191" s="91"/>
      <c r="C6191" s="91"/>
      <c r="D6191" s="91"/>
      <c r="E6191" s="91"/>
      <c r="F6191" s="91"/>
      <c r="G6191" s="92"/>
    </row>
    <row r="6192" spans="1:7" ht="30">
      <c r="A6192" s="79" t="s">
        <v>0</v>
      </c>
      <c r="B6192" s="79" t="s">
        <v>1</v>
      </c>
      <c r="C6192" s="79" t="s">
        <v>207</v>
      </c>
      <c r="D6192" s="79" t="s">
        <v>3</v>
      </c>
      <c r="E6192" s="79" t="s">
        <v>2</v>
      </c>
      <c r="F6192" s="79" t="s">
        <v>417</v>
      </c>
      <c r="G6192" s="79" t="s">
        <v>418</v>
      </c>
    </row>
    <row r="6193" spans="1:7">
      <c r="A6193" s="8" t="s">
        <v>4</v>
      </c>
      <c r="B6193" s="1" t="s">
        <v>5</v>
      </c>
      <c r="C6193" s="8"/>
      <c r="D6193" s="9"/>
      <c r="E6193" s="19"/>
      <c r="F6193" s="2"/>
      <c r="G6193" s="2"/>
    </row>
    <row r="6194" spans="1:7" ht="30">
      <c r="A6194" s="8">
        <v>1</v>
      </c>
      <c r="B6194" s="5" t="s">
        <v>222</v>
      </c>
      <c r="C6194" s="8" t="s">
        <v>7</v>
      </c>
      <c r="D6194" s="9" t="s">
        <v>8</v>
      </c>
      <c r="E6194" s="10" t="s">
        <v>188</v>
      </c>
      <c r="F6194" s="86">
        <f>VLOOKUP(B6194,'HSD UPAH,BAHAN,ALAT'!$C$6:F5547,4,FALSE)</f>
        <v>100000</v>
      </c>
      <c r="G6194" s="87">
        <f t="shared" ref="G6194:G6195" si="792">E6194*F6194</f>
        <v>1200</v>
      </c>
    </row>
    <row r="6195" spans="1:7">
      <c r="A6195" s="8">
        <v>2</v>
      </c>
      <c r="B6195" s="1" t="s">
        <v>13</v>
      </c>
      <c r="C6195" s="8" t="s">
        <v>14</v>
      </c>
      <c r="D6195" s="9" t="s">
        <v>8</v>
      </c>
      <c r="E6195" s="10" t="s">
        <v>189</v>
      </c>
      <c r="F6195" s="86">
        <f>VLOOKUP(B6195,'HSD UPAH,BAHAN,ALAT'!$C$6:F5548,4,FALSE)</f>
        <v>100000</v>
      </c>
      <c r="G6195" s="87">
        <f t="shared" si="792"/>
        <v>59.999999999999993</v>
      </c>
    </row>
    <row r="6196" spans="1:7">
      <c r="A6196" s="261" t="s">
        <v>420</v>
      </c>
      <c r="B6196" s="261"/>
      <c r="C6196" s="261"/>
      <c r="D6196" s="261"/>
      <c r="E6196" s="261"/>
      <c r="F6196" s="261"/>
      <c r="G6196" s="85">
        <f>SUM(G6193:G6195)</f>
        <v>1260</v>
      </c>
    </row>
    <row r="6197" spans="1:7">
      <c r="A6197" s="8" t="s">
        <v>16</v>
      </c>
      <c r="B6197" s="1" t="s">
        <v>17</v>
      </c>
      <c r="C6197" s="8"/>
      <c r="D6197" s="9"/>
      <c r="E6197" s="19"/>
      <c r="F6197" s="2"/>
      <c r="G6197" s="2"/>
    </row>
    <row r="6198" spans="1:7">
      <c r="A6198" s="8"/>
      <c r="B6198" s="1"/>
      <c r="C6198" s="8"/>
      <c r="D6198" s="9"/>
      <c r="E6198" s="19"/>
      <c r="F6198" s="2"/>
      <c r="G6198" s="2"/>
    </row>
    <row r="6199" spans="1:7">
      <c r="A6199" s="261" t="s">
        <v>421</v>
      </c>
      <c r="B6199" s="261"/>
      <c r="C6199" s="261"/>
      <c r="D6199" s="261"/>
      <c r="E6199" s="261"/>
      <c r="F6199" s="261"/>
      <c r="G6199" s="85">
        <f>SUM(G6198:G6198)</f>
        <v>0</v>
      </c>
    </row>
    <row r="6200" spans="1:7">
      <c r="A6200" s="8" t="s">
        <v>36</v>
      </c>
      <c r="B6200" s="1" t="s">
        <v>37</v>
      </c>
      <c r="C6200" s="8"/>
      <c r="D6200" s="9"/>
      <c r="E6200" s="19"/>
      <c r="F6200" s="2"/>
      <c r="G6200" s="2"/>
    </row>
    <row r="6201" spans="1:7">
      <c r="A6201" s="8"/>
      <c r="B6201" s="1"/>
      <c r="C6201" s="8"/>
      <c r="D6201" s="9"/>
      <c r="E6201" s="19"/>
      <c r="F6201" s="2"/>
      <c r="G6201" s="2"/>
    </row>
    <row r="6202" spans="1:7">
      <c r="A6202" s="263" t="s">
        <v>419</v>
      </c>
      <c r="B6202" s="263"/>
      <c r="C6202" s="263"/>
      <c r="D6202" s="263"/>
      <c r="E6202" s="263"/>
      <c r="F6202" s="263"/>
      <c r="G6202" s="80">
        <f>SUM(G6201)</f>
        <v>0</v>
      </c>
    </row>
    <row r="6203" spans="1:7">
      <c r="A6203" s="81" t="s">
        <v>38</v>
      </c>
      <c r="B6203" s="262" t="s">
        <v>39</v>
      </c>
      <c r="C6203" s="262"/>
      <c r="D6203" s="262"/>
      <c r="E6203" s="262"/>
      <c r="F6203" s="262"/>
      <c r="G6203" s="118">
        <f>SUM(G6193:G6202)/2</f>
        <v>1260</v>
      </c>
    </row>
    <row r="6204" spans="1:7">
      <c r="A6204" s="81" t="s">
        <v>40</v>
      </c>
      <c r="B6204" s="262" t="s">
        <v>180</v>
      </c>
      <c r="C6204" s="262"/>
      <c r="D6204" s="262"/>
      <c r="E6204" s="262"/>
      <c r="F6204" s="82">
        <v>0.1</v>
      </c>
      <c r="G6204" s="80">
        <f>G6203*F6204</f>
        <v>126</v>
      </c>
    </row>
    <row r="6205" spans="1:7">
      <c r="A6205" s="81" t="s">
        <v>41</v>
      </c>
      <c r="B6205" s="262" t="s">
        <v>42</v>
      </c>
      <c r="C6205" s="262"/>
      <c r="D6205" s="262"/>
      <c r="E6205" s="262"/>
      <c r="F6205" s="262"/>
      <c r="G6205" s="80">
        <f>G6203+G6204</f>
        <v>1386</v>
      </c>
    </row>
    <row r="6206" spans="1:7">
      <c r="A6206" s="90"/>
      <c r="B6206" s="91"/>
      <c r="C6206" s="91"/>
      <c r="D6206" s="91"/>
      <c r="E6206" s="91"/>
      <c r="F6206" s="91"/>
      <c r="G6206" s="92"/>
    </row>
    <row r="6207" spans="1:7">
      <c r="A6207" s="4" t="s">
        <v>865</v>
      </c>
      <c r="B6207" s="91"/>
      <c r="C6207" s="91"/>
      <c r="D6207" s="91"/>
      <c r="E6207" s="91"/>
      <c r="F6207" s="91"/>
      <c r="G6207" s="92"/>
    </row>
    <row r="6208" spans="1:7" ht="30">
      <c r="A6208" s="79" t="s">
        <v>0</v>
      </c>
      <c r="B6208" s="79" t="s">
        <v>1</v>
      </c>
      <c r="C6208" s="79" t="s">
        <v>207</v>
      </c>
      <c r="D6208" s="79" t="s">
        <v>3</v>
      </c>
      <c r="E6208" s="79" t="s">
        <v>2</v>
      </c>
      <c r="F6208" s="79" t="s">
        <v>417</v>
      </c>
      <c r="G6208" s="79" t="s">
        <v>418</v>
      </c>
    </row>
    <row r="6209" spans="1:7">
      <c r="A6209" s="8" t="s">
        <v>4</v>
      </c>
      <c r="B6209" s="1" t="s">
        <v>5</v>
      </c>
      <c r="C6209" s="8"/>
      <c r="D6209" s="9"/>
      <c r="E6209" s="19"/>
      <c r="F6209" s="2"/>
      <c r="G6209" s="2"/>
    </row>
    <row r="6210" spans="1:7">
      <c r="A6210" s="8">
        <v>1</v>
      </c>
      <c r="B6210" s="1" t="s">
        <v>48</v>
      </c>
      <c r="C6210" s="8" t="s">
        <v>49</v>
      </c>
      <c r="D6210" s="9" t="s">
        <v>8</v>
      </c>
      <c r="E6210" s="10" t="s">
        <v>129</v>
      </c>
      <c r="F6210" s="86">
        <f>VLOOKUP(B6210,'HSD UPAH,BAHAN,ALAT'!$C$6:F5561,4,FALSE)</f>
        <v>100000</v>
      </c>
      <c r="G6210" s="87">
        <f t="shared" ref="G6210:G6212" si="793">E6210*F6210</f>
        <v>40</v>
      </c>
    </row>
    <row r="6211" spans="1:7" ht="30">
      <c r="A6211" s="8">
        <v>2</v>
      </c>
      <c r="B6211" s="5" t="s">
        <v>226</v>
      </c>
      <c r="C6211" s="8" t="s">
        <v>7</v>
      </c>
      <c r="D6211" s="9" t="s">
        <v>8</v>
      </c>
      <c r="E6211" s="10" t="s">
        <v>190</v>
      </c>
      <c r="F6211" s="86">
        <f>VLOOKUP(B6211,'HSD UPAH,BAHAN,ALAT'!$C$6:F5562,4,FALSE)</f>
        <v>100000</v>
      </c>
      <c r="G6211" s="87">
        <f t="shared" si="793"/>
        <v>29.999999999999996</v>
      </c>
    </row>
    <row r="6212" spans="1:7">
      <c r="A6212" s="8">
        <v>3</v>
      </c>
      <c r="B6212" s="1" t="s">
        <v>13</v>
      </c>
      <c r="C6212" s="8" t="s">
        <v>14</v>
      </c>
      <c r="D6212" s="9" t="s">
        <v>8</v>
      </c>
      <c r="E6212" s="10" t="s">
        <v>179</v>
      </c>
      <c r="F6212" s="86">
        <f>VLOOKUP(B6212,'HSD UPAH,BAHAN,ALAT'!$C$6:F5563,4,FALSE)</f>
        <v>100000</v>
      </c>
      <c r="G6212" s="87">
        <f t="shared" si="793"/>
        <v>1.7</v>
      </c>
    </row>
    <row r="6213" spans="1:7">
      <c r="A6213" s="261" t="s">
        <v>420</v>
      </c>
      <c r="B6213" s="261"/>
      <c r="C6213" s="261"/>
      <c r="D6213" s="261"/>
      <c r="E6213" s="261"/>
      <c r="F6213" s="261"/>
      <c r="G6213" s="85">
        <f>SUM(G6210:G6212)</f>
        <v>71.7</v>
      </c>
    </row>
    <row r="6214" spans="1:7">
      <c r="A6214" s="8" t="s">
        <v>16</v>
      </c>
      <c r="B6214" s="1" t="s">
        <v>17</v>
      </c>
      <c r="C6214" s="8"/>
      <c r="D6214" s="9"/>
      <c r="E6214" s="19"/>
      <c r="F6214" s="2"/>
      <c r="G6214" s="2"/>
    </row>
    <row r="6215" spans="1:7">
      <c r="A6215" s="8"/>
      <c r="B6215" s="1"/>
      <c r="C6215" s="8"/>
      <c r="D6215" s="9"/>
      <c r="E6215" s="19"/>
      <c r="F6215" s="2"/>
      <c r="G6215" s="2"/>
    </row>
    <row r="6216" spans="1:7">
      <c r="A6216" s="261" t="s">
        <v>421</v>
      </c>
      <c r="B6216" s="261"/>
      <c r="C6216" s="261"/>
      <c r="D6216" s="261"/>
      <c r="E6216" s="261"/>
      <c r="F6216" s="261"/>
      <c r="G6216" s="85">
        <f>SUM(G6215:G6215)</f>
        <v>0</v>
      </c>
    </row>
    <row r="6217" spans="1:7">
      <c r="A6217" s="8" t="s">
        <v>36</v>
      </c>
      <c r="B6217" s="1" t="s">
        <v>37</v>
      </c>
      <c r="C6217" s="8"/>
      <c r="D6217" s="9"/>
      <c r="E6217" s="19"/>
      <c r="F6217" s="2"/>
      <c r="G6217" s="2"/>
    </row>
    <row r="6218" spans="1:7">
      <c r="A6218" s="8">
        <v>1</v>
      </c>
      <c r="B6218" s="1" t="s">
        <v>191</v>
      </c>
      <c r="C6218" s="8"/>
      <c r="D6218" s="9" t="s">
        <v>72</v>
      </c>
      <c r="E6218" s="10" t="s">
        <v>163</v>
      </c>
      <c r="F6218" s="86">
        <f>VLOOKUP(B6218,'HSD UPAH,BAHAN,ALAT'!$C$6:F5569,4,FALSE)</f>
        <v>10000</v>
      </c>
      <c r="G6218" s="87">
        <f t="shared" ref="G6218" si="794">E6218*F6218</f>
        <v>0.5</v>
      </c>
    </row>
    <row r="6219" spans="1:7">
      <c r="A6219" s="263" t="s">
        <v>419</v>
      </c>
      <c r="B6219" s="263"/>
      <c r="C6219" s="263"/>
      <c r="D6219" s="263"/>
      <c r="E6219" s="263"/>
      <c r="F6219" s="263"/>
      <c r="G6219" s="80">
        <f>SUM(G6218)</f>
        <v>0.5</v>
      </c>
    </row>
    <row r="6220" spans="1:7">
      <c r="A6220" s="81" t="s">
        <v>38</v>
      </c>
      <c r="B6220" s="262" t="s">
        <v>39</v>
      </c>
      <c r="C6220" s="262"/>
      <c r="D6220" s="262"/>
      <c r="E6220" s="262"/>
      <c r="F6220" s="262"/>
      <c r="G6220" s="118">
        <f>SUM(G6210:G6219)/2</f>
        <v>72.2</v>
      </c>
    </row>
    <row r="6221" spans="1:7">
      <c r="A6221" s="81" t="s">
        <v>40</v>
      </c>
      <c r="B6221" s="262" t="s">
        <v>180</v>
      </c>
      <c r="C6221" s="262"/>
      <c r="D6221" s="262"/>
      <c r="E6221" s="262"/>
      <c r="F6221" s="82">
        <v>0.1</v>
      </c>
      <c r="G6221" s="80">
        <f>G6220*F6221</f>
        <v>7.2200000000000006</v>
      </c>
    </row>
    <row r="6222" spans="1:7">
      <c r="A6222" s="81" t="s">
        <v>41</v>
      </c>
      <c r="B6222" s="262" t="s">
        <v>42</v>
      </c>
      <c r="C6222" s="262"/>
      <c r="D6222" s="262"/>
      <c r="E6222" s="262"/>
      <c r="F6222" s="262"/>
      <c r="G6222" s="80">
        <f>G6220+G6221</f>
        <v>79.42</v>
      </c>
    </row>
    <row r="6223" spans="1:7">
      <c r="A6223" s="90"/>
      <c r="B6223" s="91"/>
      <c r="C6223" s="91"/>
      <c r="D6223" s="91"/>
      <c r="E6223" s="91"/>
      <c r="F6223" s="91"/>
      <c r="G6223" s="92"/>
    </row>
    <row r="6224" spans="1:7">
      <c r="A6224" s="4" t="s">
        <v>866</v>
      </c>
      <c r="B6224" s="91"/>
      <c r="C6224" s="91"/>
      <c r="D6224" s="91"/>
      <c r="E6224" s="91"/>
      <c r="F6224" s="91"/>
      <c r="G6224" s="92"/>
    </row>
    <row r="6225" spans="1:7" ht="30">
      <c r="A6225" s="79" t="s">
        <v>0</v>
      </c>
      <c r="B6225" s="79" t="s">
        <v>1</v>
      </c>
      <c r="C6225" s="79" t="s">
        <v>207</v>
      </c>
      <c r="D6225" s="79" t="s">
        <v>3</v>
      </c>
      <c r="E6225" s="79" t="s">
        <v>2</v>
      </c>
      <c r="F6225" s="79" t="s">
        <v>417</v>
      </c>
      <c r="G6225" s="79" t="s">
        <v>418</v>
      </c>
    </row>
    <row r="6226" spans="1:7">
      <c r="A6226" s="8" t="s">
        <v>4</v>
      </c>
      <c r="B6226" s="1" t="s">
        <v>5</v>
      </c>
      <c r="C6226" s="8"/>
      <c r="D6226" s="9"/>
      <c r="E6226" s="19"/>
      <c r="F6226" s="2"/>
      <c r="G6226" s="2"/>
    </row>
    <row r="6227" spans="1:7">
      <c r="A6227" s="8">
        <v>1</v>
      </c>
      <c r="B6227" s="1" t="s">
        <v>48</v>
      </c>
      <c r="C6227" s="8" t="s">
        <v>49</v>
      </c>
      <c r="D6227" s="9" t="s">
        <v>8</v>
      </c>
      <c r="E6227" s="10" t="s">
        <v>126</v>
      </c>
      <c r="F6227" s="86">
        <f>VLOOKUP(B6227,'HSD UPAH,BAHAN,ALAT'!$C$6:F5576,4,FALSE)</f>
        <v>100000</v>
      </c>
      <c r="G6227" s="87">
        <f t="shared" ref="G6227:G6229" si="795">E6227*F6227</f>
        <v>20</v>
      </c>
    </row>
    <row r="6228" spans="1:7" ht="30">
      <c r="A6228" s="8">
        <v>2</v>
      </c>
      <c r="B6228" s="5" t="s">
        <v>226</v>
      </c>
      <c r="C6228" s="8" t="s">
        <v>7</v>
      </c>
      <c r="D6228" s="9" t="s">
        <v>8</v>
      </c>
      <c r="E6228" s="10" t="s">
        <v>192</v>
      </c>
      <c r="F6228" s="86">
        <f>VLOOKUP(B6228,'HSD UPAH,BAHAN,ALAT'!$C$6:F5577,4,FALSE)</f>
        <v>100000</v>
      </c>
      <c r="G6228" s="87">
        <f t="shared" si="795"/>
        <v>17</v>
      </c>
    </row>
    <row r="6229" spans="1:7">
      <c r="A6229" s="8">
        <v>3</v>
      </c>
      <c r="B6229" s="1" t="s">
        <v>13</v>
      </c>
      <c r="C6229" s="8" t="s">
        <v>14</v>
      </c>
      <c r="D6229" s="9" t="s">
        <v>8</v>
      </c>
      <c r="E6229" s="10" t="s">
        <v>193</v>
      </c>
      <c r="F6229" s="86">
        <f>VLOOKUP(B6229,'HSD UPAH,BAHAN,ALAT'!$C$6:F5578,4,FALSE)</f>
        <v>100000</v>
      </c>
      <c r="G6229" s="87">
        <f t="shared" si="795"/>
        <v>0.79999999999999993</v>
      </c>
    </row>
    <row r="6230" spans="1:7">
      <c r="A6230" s="261" t="s">
        <v>420</v>
      </c>
      <c r="B6230" s="261"/>
      <c r="C6230" s="261"/>
      <c r="D6230" s="261"/>
      <c r="E6230" s="261"/>
      <c r="F6230" s="261"/>
      <c r="G6230" s="85">
        <f>SUM(G6227:G6229)</f>
        <v>37.799999999999997</v>
      </c>
    </row>
    <row r="6231" spans="1:7">
      <c r="A6231" s="8" t="s">
        <v>16</v>
      </c>
      <c r="B6231" s="1" t="s">
        <v>17</v>
      </c>
      <c r="C6231" s="8"/>
      <c r="D6231" s="9"/>
      <c r="E6231" s="19"/>
      <c r="F6231" s="2"/>
      <c r="G6231" s="2"/>
    </row>
    <row r="6232" spans="1:7">
      <c r="A6232" s="8"/>
      <c r="B6232" s="1"/>
      <c r="C6232" s="8"/>
      <c r="D6232" s="9"/>
      <c r="E6232" s="19"/>
      <c r="F6232" s="2"/>
      <c r="G6232" s="2"/>
    </row>
    <row r="6233" spans="1:7">
      <c r="A6233" s="261" t="s">
        <v>421</v>
      </c>
      <c r="B6233" s="261"/>
      <c r="C6233" s="261"/>
      <c r="D6233" s="261"/>
      <c r="E6233" s="261"/>
      <c r="F6233" s="261"/>
      <c r="G6233" s="85">
        <f>SUM(G6232:G6232)</f>
        <v>0</v>
      </c>
    </row>
    <row r="6234" spans="1:7">
      <c r="A6234" s="8" t="s">
        <v>36</v>
      </c>
      <c r="B6234" s="1" t="s">
        <v>37</v>
      </c>
      <c r="C6234" s="8"/>
      <c r="D6234" s="9"/>
      <c r="E6234" s="19"/>
      <c r="F6234" s="2"/>
      <c r="G6234" s="2"/>
    </row>
    <row r="6235" spans="1:7">
      <c r="A6235" s="8">
        <v>1</v>
      </c>
      <c r="B6235" s="1" t="s">
        <v>191</v>
      </c>
      <c r="C6235" s="8"/>
      <c r="D6235" s="9" t="s">
        <v>72</v>
      </c>
      <c r="E6235" s="10" t="s">
        <v>156</v>
      </c>
      <c r="F6235" s="86">
        <f>VLOOKUP(B6235,'HSD UPAH,BAHAN,ALAT'!$C$6:F5584,4,FALSE)</f>
        <v>10000</v>
      </c>
      <c r="G6235" s="87">
        <f t="shared" ref="G6235" si="796">E6235*F6235</f>
        <v>0.2</v>
      </c>
    </row>
    <row r="6236" spans="1:7">
      <c r="A6236" s="263" t="s">
        <v>419</v>
      </c>
      <c r="B6236" s="263"/>
      <c r="C6236" s="263"/>
      <c r="D6236" s="263"/>
      <c r="E6236" s="263"/>
      <c r="F6236" s="263"/>
      <c r="G6236" s="80">
        <f>SUM(G6235)</f>
        <v>0.2</v>
      </c>
    </row>
    <row r="6237" spans="1:7">
      <c r="A6237" s="81" t="s">
        <v>38</v>
      </c>
      <c r="B6237" s="262" t="s">
        <v>39</v>
      </c>
      <c r="C6237" s="262"/>
      <c r="D6237" s="262"/>
      <c r="E6237" s="262"/>
      <c r="F6237" s="262"/>
      <c r="G6237" s="118">
        <f>SUM(G6227:G6236)/2</f>
        <v>38</v>
      </c>
    </row>
    <row r="6238" spans="1:7">
      <c r="A6238" s="81" t="s">
        <v>40</v>
      </c>
      <c r="B6238" s="262" t="s">
        <v>180</v>
      </c>
      <c r="C6238" s="262"/>
      <c r="D6238" s="262"/>
      <c r="E6238" s="262"/>
      <c r="F6238" s="82">
        <v>0.1</v>
      </c>
      <c r="G6238" s="80">
        <f>G6237*F6238</f>
        <v>3.8000000000000003</v>
      </c>
    </row>
    <row r="6239" spans="1:7">
      <c r="A6239" s="81" t="s">
        <v>41</v>
      </c>
      <c r="B6239" s="262" t="s">
        <v>42</v>
      </c>
      <c r="C6239" s="262"/>
      <c r="D6239" s="262"/>
      <c r="E6239" s="262"/>
      <c r="F6239" s="262"/>
      <c r="G6239" s="80">
        <f>G6237+G6238</f>
        <v>41.8</v>
      </c>
    </row>
    <row r="6240" spans="1:7">
      <c r="A6240" s="90"/>
      <c r="B6240" s="91"/>
      <c r="C6240" s="91"/>
      <c r="D6240" s="91"/>
      <c r="E6240" s="91"/>
      <c r="F6240" s="91"/>
      <c r="G6240" s="92"/>
    </row>
    <row r="6241" spans="1:7">
      <c r="A6241" s="4" t="s">
        <v>451</v>
      </c>
      <c r="B6241" s="91"/>
      <c r="C6241" s="91"/>
      <c r="D6241" s="91"/>
      <c r="E6241" s="91"/>
      <c r="F6241" s="91"/>
      <c r="G6241" s="92"/>
    </row>
    <row r="6242" spans="1:7">
      <c r="A6242" s="4" t="s">
        <v>675</v>
      </c>
      <c r="B6242" s="91"/>
      <c r="C6242" s="91"/>
      <c r="D6242" s="91"/>
      <c r="E6242" s="91"/>
      <c r="F6242" s="91"/>
      <c r="G6242" s="92"/>
    </row>
    <row r="6243" spans="1:7" ht="30">
      <c r="A6243" s="79" t="s">
        <v>0</v>
      </c>
      <c r="B6243" s="79" t="s">
        <v>1</v>
      </c>
      <c r="C6243" s="79" t="s">
        <v>207</v>
      </c>
      <c r="D6243" s="79" t="s">
        <v>3</v>
      </c>
      <c r="E6243" s="79" t="s">
        <v>2</v>
      </c>
      <c r="F6243" s="79" t="s">
        <v>417</v>
      </c>
      <c r="G6243" s="79" t="s">
        <v>418</v>
      </c>
    </row>
    <row r="6244" spans="1:7">
      <c r="A6244" s="8" t="s">
        <v>4</v>
      </c>
      <c r="B6244" s="1" t="s">
        <v>5</v>
      </c>
      <c r="C6244" s="8"/>
      <c r="D6244" s="9"/>
      <c r="E6244" s="19"/>
      <c r="F6244" s="2"/>
      <c r="G6244" s="2"/>
    </row>
    <row r="6245" spans="1:7" ht="30">
      <c r="A6245" s="8">
        <v>1</v>
      </c>
      <c r="B6245" s="5" t="s">
        <v>222</v>
      </c>
      <c r="C6245" s="8" t="s">
        <v>7</v>
      </c>
      <c r="D6245" s="9" t="s">
        <v>8</v>
      </c>
      <c r="E6245" s="10" t="s">
        <v>171</v>
      </c>
      <c r="F6245" s="86">
        <f>VLOOKUP(B6245,'HSD UPAH,BAHAN,ALAT'!$C$6:F5591,4,FALSE)</f>
        <v>100000</v>
      </c>
      <c r="G6245" s="87">
        <f t="shared" ref="G6245:G6246" si="797">E6245*F6245</f>
        <v>570</v>
      </c>
    </row>
    <row r="6246" spans="1:7">
      <c r="A6246" s="8">
        <v>2</v>
      </c>
      <c r="B6246" s="1" t="s">
        <v>13</v>
      </c>
      <c r="C6246" s="8" t="s">
        <v>14</v>
      </c>
      <c r="D6246" s="9" t="s">
        <v>8</v>
      </c>
      <c r="E6246" s="10" t="s">
        <v>172</v>
      </c>
      <c r="F6246" s="86">
        <f>VLOOKUP(B6246,'HSD UPAH,BAHAN,ALAT'!$C$6:F5592,4,FALSE)</f>
        <v>100000</v>
      </c>
      <c r="G6246" s="87">
        <f t="shared" si="797"/>
        <v>38</v>
      </c>
    </row>
    <row r="6247" spans="1:7">
      <c r="A6247" s="261" t="s">
        <v>420</v>
      </c>
      <c r="B6247" s="261"/>
      <c r="C6247" s="261"/>
      <c r="D6247" s="261"/>
      <c r="E6247" s="261"/>
      <c r="F6247" s="261"/>
      <c r="G6247" s="85">
        <f>SUM(G6244:G6246)</f>
        <v>608</v>
      </c>
    </row>
    <row r="6248" spans="1:7">
      <c r="A6248" s="8" t="s">
        <v>16</v>
      </c>
      <c r="B6248" s="1" t="s">
        <v>17</v>
      </c>
      <c r="C6248" s="8"/>
      <c r="D6248" s="9"/>
      <c r="E6248" s="19"/>
      <c r="F6248" s="2"/>
      <c r="G6248" s="2"/>
    </row>
    <row r="6249" spans="1:7">
      <c r="A6249" s="8">
        <v>1</v>
      </c>
      <c r="B6249" s="1" t="s">
        <v>194</v>
      </c>
      <c r="C6249" s="8"/>
      <c r="D6249" s="9" t="s">
        <v>19</v>
      </c>
      <c r="E6249" s="10" t="s">
        <v>35</v>
      </c>
      <c r="F6249" s="86">
        <f>VLOOKUP(B6249,'HSD UPAH,BAHAN,ALAT'!$C$6:F5595,4,FALSE)</f>
        <v>10000</v>
      </c>
      <c r="G6249" s="87">
        <f t="shared" ref="G6249:G6250" si="798">E6249*F6249</f>
        <v>10</v>
      </c>
    </row>
    <row r="6250" spans="1:7">
      <c r="A6250" s="8">
        <v>2</v>
      </c>
      <c r="B6250" s="1" t="s">
        <v>119</v>
      </c>
      <c r="C6250" s="8"/>
      <c r="D6250" s="9" t="s">
        <v>120</v>
      </c>
      <c r="E6250" s="10" t="s">
        <v>157</v>
      </c>
      <c r="F6250" s="86">
        <f>VLOOKUP(B6250,'HSD UPAH,BAHAN,ALAT'!$C$6:F5596,4,FALSE)</f>
        <v>10000</v>
      </c>
      <c r="G6250" s="87">
        <f t="shared" si="798"/>
        <v>30000</v>
      </c>
    </row>
    <row r="6251" spans="1:7">
      <c r="A6251" s="261" t="s">
        <v>421</v>
      </c>
      <c r="B6251" s="261"/>
      <c r="C6251" s="261"/>
      <c r="D6251" s="261"/>
      <c r="E6251" s="261"/>
      <c r="F6251" s="261"/>
      <c r="G6251" s="85">
        <f>SUM(G6249:G6250)</f>
        <v>30010</v>
      </c>
    </row>
    <row r="6252" spans="1:7">
      <c r="A6252" s="8" t="s">
        <v>36</v>
      </c>
      <c r="B6252" s="1" t="s">
        <v>37</v>
      </c>
      <c r="C6252" s="8"/>
      <c r="D6252" s="9"/>
      <c r="E6252" s="19"/>
      <c r="F6252" s="2"/>
      <c r="G6252" s="2"/>
    </row>
    <row r="6253" spans="1:7">
      <c r="A6253" s="8">
        <v>1</v>
      </c>
      <c r="B6253" s="1" t="s">
        <v>175</v>
      </c>
      <c r="C6253" s="8"/>
      <c r="D6253" s="9" t="s">
        <v>122</v>
      </c>
      <c r="E6253" s="10" t="s">
        <v>171</v>
      </c>
      <c r="F6253" s="86">
        <f>VLOOKUP(B6253,'HSD UPAH,BAHAN,ALAT'!$C$6:F5599,4,FALSE)</f>
        <v>10000</v>
      </c>
      <c r="G6253" s="87">
        <f t="shared" ref="G6253" si="799">E6253*F6253</f>
        <v>57</v>
      </c>
    </row>
    <row r="6254" spans="1:7">
      <c r="A6254" s="263" t="s">
        <v>419</v>
      </c>
      <c r="B6254" s="263"/>
      <c r="C6254" s="263"/>
      <c r="D6254" s="263"/>
      <c r="E6254" s="263"/>
      <c r="F6254" s="263"/>
      <c r="G6254" s="80">
        <f>SUM(G6253)</f>
        <v>57</v>
      </c>
    </row>
    <row r="6255" spans="1:7">
      <c r="A6255" s="81" t="s">
        <v>38</v>
      </c>
      <c r="B6255" s="262" t="s">
        <v>39</v>
      </c>
      <c r="C6255" s="262"/>
      <c r="D6255" s="262"/>
      <c r="E6255" s="262"/>
      <c r="F6255" s="262"/>
      <c r="G6255" s="118">
        <f>SUM(G6245:G6254)/2</f>
        <v>30675</v>
      </c>
    </row>
    <row r="6256" spans="1:7">
      <c r="A6256" s="81" t="s">
        <v>40</v>
      </c>
      <c r="B6256" s="262" t="s">
        <v>180</v>
      </c>
      <c r="C6256" s="262"/>
      <c r="D6256" s="262"/>
      <c r="E6256" s="262"/>
      <c r="F6256" s="82">
        <v>0.1</v>
      </c>
      <c r="G6256" s="80">
        <f>G6255*F6256</f>
        <v>3067.5</v>
      </c>
    </row>
    <row r="6257" spans="1:7">
      <c r="A6257" s="81" t="s">
        <v>41</v>
      </c>
      <c r="B6257" s="262" t="s">
        <v>42</v>
      </c>
      <c r="C6257" s="262"/>
      <c r="D6257" s="262"/>
      <c r="E6257" s="262"/>
      <c r="F6257" s="262"/>
      <c r="G6257" s="80">
        <f>G6255+G6256</f>
        <v>33742.5</v>
      </c>
    </row>
    <row r="6258" spans="1:7">
      <c r="A6258" s="90"/>
      <c r="B6258" s="91"/>
      <c r="C6258" s="91"/>
      <c r="D6258" s="91"/>
      <c r="E6258" s="91"/>
      <c r="F6258" s="91"/>
      <c r="G6258" s="92"/>
    </row>
    <row r="6259" spans="1:7">
      <c r="A6259" s="4" t="s">
        <v>676</v>
      </c>
      <c r="B6259" s="91"/>
      <c r="C6259" s="91"/>
      <c r="D6259" s="91"/>
      <c r="E6259" s="91"/>
      <c r="F6259" s="91"/>
      <c r="G6259" s="92"/>
    </row>
    <row r="6260" spans="1:7" ht="30">
      <c r="A6260" s="79" t="s">
        <v>0</v>
      </c>
      <c r="B6260" s="79" t="s">
        <v>1</v>
      </c>
      <c r="C6260" s="79" t="s">
        <v>207</v>
      </c>
      <c r="D6260" s="79" t="s">
        <v>3</v>
      </c>
      <c r="E6260" s="79" t="s">
        <v>2</v>
      </c>
      <c r="F6260" s="79" t="s">
        <v>417</v>
      </c>
      <c r="G6260" s="79" t="s">
        <v>418</v>
      </c>
    </row>
    <row r="6261" spans="1:7">
      <c r="A6261" s="8" t="s">
        <v>4</v>
      </c>
      <c r="B6261" s="1" t="s">
        <v>5</v>
      </c>
      <c r="C6261" s="8"/>
      <c r="D6261" s="9"/>
      <c r="E6261" s="19"/>
      <c r="F6261" s="2"/>
      <c r="G6261" s="2"/>
    </row>
    <row r="6262" spans="1:7" ht="30">
      <c r="A6262" s="8">
        <v>1</v>
      </c>
      <c r="B6262" s="5" t="s">
        <v>222</v>
      </c>
      <c r="C6262" s="8" t="s">
        <v>7</v>
      </c>
      <c r="D6262" s="9" t="s">
        <v>8</v>
      </c>
      <c r="E6262" s="10" t="s">
        <v>176</v>
      </c>
      <c r="F6262" s="86">
        <f>VLOOKUP(B6262,'HSD UPAH,BAHAN,ALAT'!$C$6:F5606,4,FALSE)</f>
        <v>100000</v>
      </c>
      <c r="G6262" s="87">
        <f t="shared" ref="G6262:G6263" si="800">E6262*F6262</f>
        <v>53</v>
      </c>
    </row>
    <row r="6263" spans="1:7">
      <c r="A6263" s="8">
        <v>2</v>
      </c>
      <c r="B6263" s="1" t="s">
        <v>13</v>
      </c>
      <c r="C6263" s="8" t="s">
        <v>14</v>
      </c>
      <c r="D6263" s="9" t="s">
        <v>8</v>
      </c>
      <c r="E6263" s="10" t="s">
        <v>177</v>
      </c>
      <c r="F6263" s="86">
        <f>VLOOKUP(B6263,'HSD UPAH,BAHAN,ALAT'!$C$6:F5607,4,FALSE)</f>
        <v>100000</v>
      </c>
      <c r="G6263" s="87">
        <f t="shared" si="800"/>
        <v>3.4999999999999996</v>
      </c>
    </row>
    <row r="6264" spans="1:7">
      <c r="A6264" s="261" t="s">
        <v>420</v>
      </c>
      <c r="B6264" s="261"/>
      <c r="C6264" s="261"/>
      <c r="D6264" s="261"/>
      <c r="E6264" s="261"/>
      <c r="F6264" s="261"/>
      <c r="G6264" s="85">
        <f>SUM(G6261:G6263)</f>
        <v>56.5</v>
      </c>
    </row>
    <row r="6265" spans="1:7">
      <c r="A6265" s="8" t="s">
        <v>16</v>
      </c>
      <c r="B6265" s="1" t="s">
        <v>17</v>
      </c>
      <c r="C6265" s="8"/>
      <c r="D6265" s="9"/>
      <c r="E6265" s="19"/>
      <c r="F6265" s="2"/>
      <c r="G6265" s="2"/>
    </row>
    <row r="6266" spans="1:7">
      <c r="A6266" s="8">
        <v>1</v>
      </c>
      <c r="B6266" s="1" t="s">
        <v>194</v>
      </c>
      <c r="C6266" s="8"/>
      <c r="D6266" s="9" t="s">
        <v>19</v>
      </c>
      <c r="E6266" s="10" t="s">
        <v>95</v>
      </c>
      <c r="F6266" s="86">
        <f>VLOOKUP(B6266,'HSD UPAH,BAHAN,ALAT'!$C$6:F5610,4,FALSE)</f>
        <v>10000</v>
      </c>
      <c r="G6266" s="87">
        <f t="shared" ref="G6266:G6267" si="801">E6266*F6266</f>
        <v>10</v>
      </c>
    </row>
    <row r="6267" spans="1:7">
      <c r="A6267" s="8">
        <v>2</v>
      </c>
      <c r="B6267" s="1" t="s">
        <v>119</v>
      </c>
      <c r="C6267" s="8"/>
      <c r="D6267" s="9" t="s">
        <v>120</v>
      </c>
      <c r="E6267" s="10" t="s">
        <v>157</v>
      </c>
      <c r="F6267" s="86">
        <f>VLOOKUP(B6267,'HSD UPAH,BAHAN,ALAT'!$C$6:F5611,4,FALSE)</f>
        <v>10000</v>
      </c>
      <c r="G6267" s="87">
        <f t="shared" si="801"/>
        <v>30000</v>
      </c>
    </row>
    <row r="6268" spans="1:7">
      <c r="A6268" s="261" t="s">
        <v>421</v>
      </c>
      <c r="B6268" s="261"/>
      <c r="C6268" s="261"/>
      <c r="D6268" s="261"/>
      <c r="E6268" s="261"/>
      <c r="F6268" s="261"/>
      <c r="G6268" s="85">
        <f>SUM(G6266:G6267)</f>
        <v>30010</v>
      </c>
    </row>
    <row r="6269" spans="1:7">
      <c r="A6269" s="8" t="s">
        <v>36</v>
      </c>
      <c r="B6269" s="1" t="s">
        <v>37</v>
      </c>
      <c r="C6269" s="8"/>
      <c r="D6269" s="9"/>
      <c r="E6269" s="19"/>
      <c r="F6269" s="2"/>
      <c r="G6269" s="2"/>
    </row>
    <row r="6270" spans="1:7">
      <c r="A6270" s="8">
        <v>1</v>
      </c>
      <c r="B6270" s="1" t="s">
        <v>175</v>
      </c>
      <c r="C6270" s="8"/>
      <c r="D6270" s="9" t="s">
        <v>122</v>
      </c>
      <c r="E6270" s="10" t="s">
        <v>176</v>
      </c>
      <c r="F6270" s="86">
        <f>VLOOKUP(B6270,'HSD UPAH,BAHAN,ALAT'!$C$6:F5614,4,FALSE)</f>
        <v>10000</v>
      </c>
      <c r="G6270" s="87">
        <f t="shared" ref="G6270" si="802">E6270*F6270</f>
        <v>5.3</v>
      </c>
    </row>
    <row r="6271" spans="1:7">
      <c r="A6271" s="263" t="s">
        <v>419</v>
      </c>
      <c r="B6271" s="263"/>
      <c r="C6271" s="263"/>
      <c r="D6271" s="263"/>
      <c r="E6271" s="263"/>
      <c r="F6271" s="263"/>
      <c r="G6271" s="80">
        <f>SUM(G6270)</f>
        <v>5.3</v>
      </c>
    </row>
    <row r="6272" spans="1:7">
      <c r="A6272" s="81" t="s">
        <v>38</v>
      </c>
      <c r="B6272" s="262" t="s">
        <v>39</v>
      </c>
      <c r="C6272" s="262"/>
      <c r="D6272" s="262"/>
      <c r="E6272" s="262"/>
      <c r="F6272" s="262"/>
      <c r="G6272" s="118">
        <f>SUM(G6262:G6271)/2</f>
        <v>30071.800000000003</v>
      </c>
    </row>
    <row r="6273" spans="1:7">
      <c r="A6273" s="81" t="s">
        <v>40</v>
      </c>
      <c r="B6273" s="262" t="s">
        <v>180</v>
      </c>
      <c r="C6273" s="262"/>
      <c r="D6273" s="262"/>
      <c r="E6273" s="262"/>
      <c r="F6273" s="82">
        <v>0.1</v>
      </c>
      <c r="G6273" s="80">
        <f>G6272*F6273</f>
        <v>3007.1800000000003</v>
      </c>
    </row>
    <row r="6274" spans="1:7">
      <c r="A6274" s="81" t="s">
        <v>41</v>
      </c>
      <c r="B6274" s="262" t="s">
        <v>42</v>
      </c>
      <c r="C6274" s="262"/>
      <c r="D6274" s="262"/>
      <c r="E6274" s="262"/>
      <c r="F6274" s="262"/>
      <c r="G6274" s="80">
        <f>G6272+G6273</f>
        <v>33078.980000000003</v>
      </c>
    </row>
    <row r="6275" spans="1:7">
      <c r="A6275" s="90"/>
      <c r="B6275" s="91"/>
      <c r="C6275" s="91"/>
      <c r="D6275" s="91"/>
      <c r="E6275" s="91"/>
      <c r="F6275" s="91"/>
      <c r="G6275" s="92"/>
    </row>
    <row r="6276" spans="1:7">
      <c r="A6276" s="4" t="s">
        <v>677</v>
      </c>
      <c r="B6276" s="91"/>
      <c r="C6276" s="91"/>
      <c r="D6276" s="91"/>
      <c r="E6276" s="91"/>
      <c r="F6276" s="91"/>
      <c r="G6276" s="92"/>
    </row>
    <row r="6277" spans="1:7" ht="30">
      <c r="A6277" s="79" t="s">
        <v>0</v>
      </c>
      <c r="B6277" s="79" t="s">
        <v>1</v>
      </c>
      <c r="C6277" s="79" t="s">
        <v>207</v>
      </c>
      <c r="D6277" s="79" t="s">
        <v>3</v>
      </c>
      <c r="E6277" s="79" t="s">
        <v>2</v>
      </c>
      <c r="F6277" s="79" t="s">
        <v>417</v>
      </c>
      <c r="G6277" s="79" t="s">
        <v>418</v>
      </c>
    </row>
    <row r="6278" spans="1:7">
      <c r="A6278" s="8" t="s">
        <v>4</v>
      </c>
      <c r="B6278" s="1" t="s">
        <v>5</v>
      </c>
      <c r="C6278" s="8"/>
      <c r="D6278" s="9"/>
      <c r="E6278" s="19"/>
      <c r="F6278" s="2"/>
      <c r="G6278" s="2"/>
    </row>
    <row r="6279" spans="1:7" ht="30">
      <c r="A6279" s="8">
        <v>1</v>
      </c>
      <c r="B6279" s="5" t="s">
        <v>222</v>
      </c>
      <c r="C6279" s="8" t="s">
        <v>7</v>
      </c>
      <c r="D6279" s="9" t="s">
        <v>8</v>
      </c>
      <c r="E6279" s="10" t="s">
        <v>178</v>
      </c>
      <c r="F6279" s="86">
        <f>VLOOKUP(B6279,'HSD UPAH,BAHAN,ALAT'!$C$6:F5621,4,FALSE)</f>
        <v>100000</v>
      </c>
      <c r="G6279" s="87">
        <f t="shared" ref="G6279:G6280" si="803">E6279*F6279</f>
        <v>25</v>
      </c>
    </row>
    <row r="6280" spans="1:7">
      <c r="A6280" s="8">
        <v>2</v>
      </c>
      <c r="B6280" s="1" t="s">
        <v>13</v>
      </c>
      <c r="C6280" s="8" t="s">
        <v>14</v>
      </c>
      <c r="D6280" s="9" t="s">
        <v>8</v>
      </c>
      <c r="E6280" s="10" t="s">
        <v>179</v>
      </c>
      <c r="F6280" s="86">
        <f>VLOOKUP(B6280,'HSD UPAH,BAHAN,ALAT'!$C$6:F5622,4,FALSE)</f>
        <v>100000</v>
      </c>
      <c r="G6280" s="87">
        <f t="shared" si="803"/>
        <v>1.7</v>
      </c>
    </row>
    <row r="6281" spans="1:7">
      <c r="A6281" s="261" t="s">
        <v>420</v>
      </c>
      <c r="B6281" s="261"/>
      <c r="C6281" s="261"/>
      <c r="D6281" s="261"/>
      <c r="E6281" s="261"/>
      <c r="F6281" s="261"/>
      <c r="G6281" s="85">
        <f>SUM(G6278:G6280)</f>
        <v>26.7</v>
      </c>
    </row>
    <row r="6282" spans="1:7">
      <c r="A6282" s="8" t="s">
        <v>16</v>
      </c>
      <c r="B6282" s="1" t="s">
        <v>17</v>
      </c>
      <c r="C6282" s="8"/>
      <c r="D6282" s="9"/>
      <c r="E6282" s="19"/>
      <c r="F6282" s="2"/>
      <c r="G6282" s="2"/>
    </row>
    <row r="6283" spans="1:7">
      <c r="A6283" s="8">
        <v>1</v>
      </c>
      <c r="B6283" s="1" t="s">
        <v>194</v>
      </c>
      <c r="C6283" s="8"/>
      <c r="D6283" s="9" t="s">
        <v>19</v>
      </c>
      <c r="E6283" s="10" t="s">
        <v>95</v>
      </c>
      <c r="F6283" s="86">
        <f>VLOOKUP(B6283,'HSD UPAH,BAHAN,ALAT'!$C$6:F5625,4,FALSE)</f>
        <v>10000</v>
      </c>
      <c r="G6283" s="87">
        <f t="shared" ref="G6283:G6284" si="804">E6283*F6283</f>
        <v>10</v>
      </c>
    </row>
    <row r="6284" spans="1:7">
      <c r="A6284" s="8">
        <v>2</v>
      </c>
      <c r="B6284" s="1" t="s">
        <v>119</v>
      </c>
      <c r="C6284" s="8"/>
      <c r="D6284" s="9" t="s">
        <v>120</v>
      </c>
      <c r="E6284" s="10" t="s">
        <v>157</v>
      </c>
      <c r="F6284" s="86">
        <f>VLOOKUP(B6284,'HSD UPAH,BAHAN,ALAT'!$C$6:F5626,4,FALSE)</f>
        <v>10000</v>
      </c>
      <c r="G6284" s="87">
        <f t="shared" si="804"/>
        <v>30000</v>
      </c>
    </row>
    <row r="6285" spans="1:7">
      <c r="A6285" s="261" t="s">
        <v>421</v>
      </c>
      <c r="B6285" s="261"/>
      <c r="C6285" s="261"/>
      <c r="D6285" s="261"/>
      <c r="E6285" s="261"/>
      <c r="F6285" s="261"/>
      <c r="G6285" s="85">
        <f>SUM(G6283:G6284)</f>
        <v>30010</v>
      </c>
    </row>
    <row r="6286" spans="1:7">
      <c r="A6286" s="8" t="s">
        <v>36</v>
      </c>
      <c r="B6286" s="1" t="s">
        <v>37</v>
      </c>
      <c r="C6286" s="8"/>
      <c r="D6286" s="9"/>
      <c r="E6286" s="19"/>
      <c r="F6286" s="2"/>
      <c r="G6286" s="2"/>
    </row>
    <row r="6287" spans="1:7">
      <c r="A6287" s="8">
        <v>1</v>
      </c>
      <c r="B6287" s="1" t="s">
        <v>175</v>
      </c>
      <c r="C6287" s="8"/>
      <c r="D6287" s="9" t="s">
        <v>122</v>
      </c>
      <c r="E6287" s="10" t="s">
        <v>178</v>
      </c>
      <c r="F6287" s="86">
        <f>VLOOKUP(B6287,'HSD UPAH,BAHAN,ALAT'!$C$6:F5629,4,FALSE)</f>
        <v>10000</v>
      </c>
      <c r="G6287" s="87">
        <f t="shared" ref="G6287" si="805">E6287*F6287</f>
        <v>2.5</v>
      </c>
    </row>
    <row r="6288" spans="1:7">
      <c r="A6288" s="263" t="s">
        <v>419</v>
      </c>
      <c r="B6288" s="263"/>
      <c r="C6288" s="263"/>
      <c r="D6288" s="263"/>
      <c r="E6288" s="263"/>
      <c r="F6288" s="263"/>
      <c r="G6288" s="80">
        <f>SUM(G6287)</f>
        <v>2.5</v>
      </c>
    </row>
    <row r="6289" spans="1:7">
      <c r="A6289" s="81" t="s">
        <v>38</v>
      </c>
      <c r="B6289" s="262" t="s">
        <v>39</v>
      </c>
      <c r="C6289" s="262"/>
      <c r="D6289" s="262"/>
      <c r="E6289" s="262"/>
      <c r="F6289" s="262"/>
      <c r="G6289" s="118">
        <f>SUM(G6279:G6288)/2</f>
        <v>30039.200000000001</v>
      </c>
    </row>
    <row r="6290" spans="1:7">
      <c r="A6290" s="81" t="s">
        <v>40</v>
      </c>
      <c r="B6290" s="262" t="s">
        <v>180</v>
      </c>
      <c r="C6290" s="262"/>
      <c r="D6290" s="262"/>
      <c r="E6290" s="262"/>
      <c r="F6290" s="82">
        <v>0.1</v>
      </c>
      <c r="G6290" s="80">
        <f>G6289*F6290</f>
        <v>3003.92</v>
      </c>
    </row>
    <row r="6291" spans="1:7">
      <c r="A6291" s="81" t="s">
        <v>41</v>
      </c>
      <c r="B6291" s="262" t="s">
        <v>42</v>
      </c>
      <c r="C6291" s="262"/>
      <c r="D6291" s="262"/>
      <c r="E6291" s="262"/>
      <c r="F6291" s="262"/>
      <c r="G6291" s="80">
        <f>G6289+G6290</f>
        <v>33043.120000000003</v>
      </c>
    </row>
    <row r="6292" spans="1:7">
      <c r="A6292" s="90"/>
      <c r="B6292" s="91"/>
      <c r="C6292" s="91"/>
      <c r="D6292" s="91"/>
      <c r="E6292" s="91"/>
      <c r="F6292" s="91"/>
      <c r="G6292" s="92"/>
    </row>
    <row r="6293" spans="1:7">
      <c r="A6293" s="4" t="s">
        <v>452</v>
      </c>
      <c r="B6293" s="91"/>
      <c r="C6293" s="91"/>
      <c r="D6293" s="91"/>
      <c r="E6293" s="91"/>
      <c r="F6293" s="91"/>
      <c r="G6293" s="92"/>
    </row>
    <row r="6294" spans="1:7">
      <c r="A6294" s="4" t="s">
        <v>504</v>
      </c>
      <c r="B6294" s="91"/>
      <c r="C6294" s="91"/>
      <c r="D6294" s="91"/>
      <c r="E6294" s="91"/>
      <c r="F6294" s="91"/>
      <c r="G6294" s="92"/>
    </row>
    <row r="6295" spans="1:7" ht="30">
      <c r="A6295" s="79" t="s">
        <v>0</v>
      </c>
      <c r="B6295" s="79" t="s">
        <v>1</v>
      </c>
      <c r="C6295" s="79" t="s">
        <v>207</v>
      </c>
      <c r="D6295" s="79" t="s">
        <v>3</v>
      </c>
      <c r="E6295" s="79" t="s">
        <v>2</v>
      </c>
      <c r="F6295" s="79" t="s">
        <v>417</v>
      </c>
      <c r="G6295" s="79" t="s">
        <v>418</v>
      </c>
    </row>
    <row r="6296" spans="1:7">
      <c r="A6296" s="8" t="s">
        <v>4</v>
      </c>
      <c r="B6296" s="1" t="s">
        <v>5</v>
      </c>
      <c r="C6296" s="8"/>
      <c r="D6296" s="9"/>
      <c r="E6296" s="19"/>
      <c r="F6296" s="2"/>
      <c r="G6296" s="2"/>
    </row>
    <row r="6297" spans="1:7">
      <c r="A6297" s="8">
        <v>1</v>
      </c>
      <c r="B6297" s="1" t="s">
        <v>48</v>
      </c>
      <c r="C6297" s="8" t="s">
        <v>49</v>
      </c>
      <c r="D6297" s="9" t="s">
        <v>8</v>
      </c>
      <c r="E6297" s="10" t="s">
        <v>98</v>
      </c>
      <c r="F6297" s="86">
        <f>VLOOKUP(B6297,'HSD UPAH,BAHAN,ALAT'!$C$6:F5636,4,FALSE)</f>
        <v>100000</v>
      </c>
      <c r="G6297" s="87">
        <f t="shared" ref="G6297:G6298" si="806">E6297*F6297</f>
        <v>50</v>
      </c>
    </row>
    <row r="6298" spans="1:7">
      <c r="A6298" s="8">
        <v>2</v>
      </c>
      <c r="B6298" s="1" t="s">
        <v>13</v>
      </c>
      <c r="C6298" s="8" t="s">
        <v>14</v>
      </c>
      <c r="D6298" s="9" t="s">
        <v>8</v>
      </c>
      <c r="E6298" s="10" t="s">
        <v>195</v>
      </c>
      <c r="F6298" s="86">
        <f>VLOOKUP(B6298,'HSD UPAH,BAHAN,ALAT'!$C$6:F5637,4,FALSE)</f>
        <v>100000</v>
      </c>
      <c r="G6298" s="87">
        <f t="shared" si="806"/>
        <v>2.5</v>
      </c>
    </row>
    <row r="6299" spans="1:7">
      <c r="A6299" s="261" t="s">
        <v>420</v>
      </c>
      <c r="B6299" s="261"/>
      <c r="C6299" s="261"/>
      <c r="D6299" s="261"/>
      <c r="E6299" s="261"/>
      <c r="F6299" s="261"/>
      <c r="G6299" s="85">
        <f>SUM(G6296:G6298)</f>
        <v>52.5</v>
      </c>
    </row>
    <row r="6300" spans="1:7">
      <c r="A6300" s="8" t="s">
        <v>16</v>
      </c>
      <c r="B6300" s="1" t="s">
        <v>17</v>
      </c>
      <c r="C6300" s="8"/>
      <c r="D6300" s="9"/>
      <c r="E6300" s="19"/>
      <c r="F6300" s="2"/>
      <c r="G6300" s="2"/>
    </row>
    <row r="6301" spans="1:7">
      <c r="A6301" s="8"/>
      <c r="B6301" s="1"/>
      <c r="C6301" s="8"/>
      <c r="D6301" s="9"/>
      <c r="E6301" s="19"/>
      <c r="F6301" s="2"/>
      <c r="G6301" s="2"/>
    </row>
    <row r="6302" spans="1:7">
      <c r="A6302" s="261" t="s">
        <v>421</v>
      </c>
      <c r="B6302" s="261"/>
      <c r="C6302" s="261"/>
      <c r="D6302" s="261"/>
      <c r="E6302" s="261"/>
      <c r="F6302" s="261"/>
      <c r="G6302" s="85">
        <f>SUM(G6301:G6301)</f>
        <v>0</v>
      </c>
    </row>
    <row r="6303" spans="1:7">
      <c r="A6303" s="8" t="s">
        <v>36</v>
      </c>
      <c r="B6303" s="1" t="s">
        <v>37</v>
      </c>
      <c r="C6303" s="8"/>
      <c r="D6303" s="9"/>
      <c r="E6303" s="19"/>
      <c r="F6303" s="2"/>
      <c r="G6303" s="2"/>
    </row>
    <row r="6304" spans="1:7">
      <c r="A6304" s="8"/>
      <c r="B6304" s="1"/>
      <c r="C6304" s="8"/>
      <c r="D6304" s="9"/>
      <c r="E6304" s="19"/>
      <c r="F6304" s="2"/>
      <c r="G6304" s="2"/>
    </row>
    <row r="6305" spans="1:7">
      <c r="A6305" s="263" t="s">
        <v>419</v>
      </c>
      <c r="B6305" s="263"/>
      <c r="C6305" s="263"/>
      <c r="D6305" s="263"/>
      <c r="E6305" s="263"/>
      <c r="F6305" s="263"/>
      <c r="G6305" s="80">
        <f>SUM(G6304)</f>
        <v>0</v>
      </c>
    </row>
    <row r="6306" spans="1:7">
      <c r="A6306" s="81" t="s">
        <v>38</v>
      </c>
      <c r="B6306" s="262" t="s">
        <v>39</v>
      </c>
      <c r="C6306" s="262"/>
      <c r="D6306" s="262"/>
      <c r="E6306" s="262"/>
      <c r="F6306" s="262"/>
      <c r="G6306" s="118">
        <f>SUM(G6297:G6305)/2</f>
        <v>52.5</v>
      </c>
    </row>
    <row r="6307" spans="1:7">
      <c r="A6307" s="81" t="s">
        <v>40</v>
      </c>
      <c r="B6307" s="262" t="s">
        <v>180</v>
      </c>
      <c r="C6307" s="262"/>
      <c r="D6307" s="262"/>
      <c r="E6307" s="262"/>
      <c r="F6307" s="82">
        <v>0.1</v>
      </c>
      <c r="G6307" s="80">
        <f>G6306*F6307</f>
        <v>5.25</v>
      </c>
    </row>
    <row r="6308" spans="1:7">
      <c r="A6308" s="81" t="s">
        <v>41</v>
      </c>
      <c r="B6308" s="262" t="s">
        <v>42</v>
      </c>
      <c r="C6308" s="262"/>
      <c r="D6308" s="262"/>
      <c r="E6308" s="262"/>
      <c r="F6308" s="262"/>
      <c r="G6308" s="80">
        <f>G6306+G6307</f>
        <v>57.75</v>
      </c>
    </row>
    <row r="6309" spans="1:7">
      <c r="A6309" s="90"/>
      <c r="B6309" s="91"/>
      <c r="C6309" s="91"/>
      <c r="D6309" s="91"/>
      <c r="E6309" s="91"/>
      <c r="F6309" s="91"/>
      <c r="G6309" s="92"/>
    </row>
    <row r="6310" spans="1:7">
      <c r="A6310" s="4" t="s">
        <v>453</v>
      </c>
      <c r="B6310" s="91"/>
      <c r="C6310" s="91"/>
      <c r="D6310" s="91"/>
      <c r="E6310" s="91"/>
      <c r="F6310" s="91"/>
      <c r="G6310" s="92"/>
    </row>
    <row r="6311" spans="1:7">
      <c r="A6311" s="4" t="s">
        <v>505</v>
      </c>
      <c r="B6311" s="91"/>
      <c r="C6311" s="91"/>
      <c r="D6311" s="91"/>
      <c r="E6311" s="91"/>
      <c r="F6311" s="91"/>
      <c r="G6311" s="92"/>
    </row>
    <row r="6312" spans="1:7" ht="30">
      <c r="A6312" s="79" t="s">
        <v>0</v>
      </c>
      <c r="B6312" s="79" t="s">
        <v>1</v>
      </c>
      <c r="C6312" s="79" t="s">
        <v>207</v>
      </c>
      <c r="D6312" s="79" t="s">
        <v>3</v>
      </c>
      <c r="E6312" s="79" t="s">
        <v>2</v>
      </c>
      <c r="F6312" s="79" t="s">
        <v>417</v>
      </c>
      <c r="G6312" s="79" t="s">
        <v>418</v>
      </c>
    </row>
    <row r="6313" spans="1:7">
      <c r="A6313" s="8" t="s">
        <v>4</v>
      </c>
      <c r="B6313" s="1" t="s">
        <v>5</v>
      </c>
      <c r="C6313" s="8"/>
      <c r="D6313" s="9"/>
      <c r="E6313" s="19"/>
      <c r="F6313" s="2"/>
      <c r="G6313" s="2"/>
    </row>
    <row r="6314" spans="1:7" ht="30">
      <c r="A6314" s="8">
        <v>1</v>
      </c>
      <c r="B6314" s="5" t="s">
        <v>222</v>
      </c>
      <c r="C6314" s="8" t="s">
        <v>7</v>
      </c>
      <c r="D6314" s="9" t="s">
        <v>8</v>
      </c>
      <c r="E6314" s="10" t="s">
        <v>65</v>
      </c>
      <c r="F6314" s="86">
        <f>VLOOKUP(B6314,'HSD UPAH,BAHAN,ALAT'!$C$6:F5650,4,FALSE)</f>
        <v>100000</v>
      </c>
      <c r="G6314" s="87">
        <f t="shared" ref="G6314:G6315" si="807">E6314*F6314</f>
        <v>2000</v>
      </c>
    </row>
    <row r="6315" spans="1:7">
      <c r="A6315" s="8">
        <v>2</v>
      </c>
      <c r="B6315" s="1" t="s">
        <v>13</v>
      </c>
      <c r="C6315" s="8" t="s">
        <v>14</v>
      </c>
      <c r="D6315" s="9" t="s">
        <v>8</v>
      </c>
      <c r="E6315" s="10" t="s">
        <v>196</v>
      </c>
      <c r="F6315" s="86">
        <f>VLOOKUP(B6315,'HSD UPAH,BAHAN,ALAT'!$C$6:F5651,4,FALSE)</f>
        <v>100000</v>
      </c>
      <c r="G6315" s="87">
        <f t="shared" si="807"/>
        <v>90</v>
      </c>
    </row>
    <row r="6316" spans="1:7">
      <c r="A6316" s="261" t="s">
        <v>420</v>
      </c>
      <c r="B6316" s="261"/>
      <c r="C6316" s="261"/>
      <c r="D6316" s="261"/>
      <c r="E6316" s="261"/>
      <c r="F6316" s="261"/>
      <c r="G6316" s="85">
        <f>SUM(G6313:G6315)</f>
        <v>2090</v>
      </c>
    </row>
    <row r="6317" spans="1:7">
      <c r="A6317" s="8" t="s">
        <v>16</v>
      </c>
      <c r="B6317" s="1" t="s">
        <v>17</v>
      </c>
      <c r="C6317" s="8"/>
      <c r="D6317" s="9"/>
      <c r="E6317" s="19"/>
      <c r="F6317" s="2"/>
      <c r="G6317" s="2"/>
    </row>
    <row r="6318" spans="1:7">
      <c r="A6318" s="8"/>
      <c r="B6318" s="1"/>
      <c r="C6318" s="8"/>
      <c r="D6318" s="9"/>
      <c r="E6318" s="19"/>
      <c r="F6318" s="2"/>
      <c r="G6318" s="2"/>
    </row>
    <row r="6319" spans="1:7">
      <c r="A6319" s="261" t="s">
        <v>421</v>
      </c>
      <c r="B6319" s="261"/>
      <c r="C6319" s="261"/>
      <c r="D6319" s="261"/>
      <c r="E6319" s="261"/>
      <c r="F6319" s="261"/>
      <c r="G6319" s="85">
        <f>SUM(G6318:G6318)</f>
        <v>0</v>
      </c>
    </row>
    <row r="6320" spans="1:7">
      <c r="A6320" s="8" t="s">
        <v>36</v>
      </c>
      <c r="B6320" s="1" t="s">
        <v>37</v>
      </c>
      <c r="C6320" s="8"/>
      <c r="D6320" s="9"/>
      <c r="E6320" s="19"/>
      <c r="F6320" s="2"/>
      <c r="G6320" s="2"/>
    </row>
    <row r="6321" spans="1:7">
      <c r="A6321" s="8"/>
      <c r="B6321" s="1"/>
      <c r="C6321" s="8"/>
      <c r="D6321" s="9"/>
      <c r="E6321" s="19"/>
      <c r="F6321" s="2"/>
      <c r="G6321" s="2"/>
    </row>
    <row r="6322" spans="1:7">
      <c r="A6322" s="263" t="s">
        <v>419</v>
      </c>
      <c r="B6322" s="263"/>
      <c r="C6322" s="263"/>
      <c r="D6322" s="263"/>
      <c r="E6322" s="263"/>
      <c r="F6322" s="263"/>
      <c r="G6322" s="80">
        <f>SUM(G6321)</f>
        <v>0</v>
      </c>
    </row>
    <row r="6323" spans="1:7">
      <c r="A6323" s="81" t="s">
        <v>38</v>
      </c>
      <c r="B6323" s="262" t="s">
        <v>39</v>
      </c>
      <c r="C6323" s="262"/>
      <c r="D6323" s="262"/>
      <c r="E6323" s="262"/>
      <c r="F6323" s="262"/>
      <c r="G6323" s="80">
        <f>SUM(G6314:G6322)/2</f>
        <v>2090</v>
      </c>
    </row>
    <row r="6324" spans="1:7">
      <c r="A6324" s="81" t="s">
        <v>40</v>
      </c>
      <c r="B6324" s="262" t="s">
        <v>180</v>
      </c>
      <c r="C6324" s="262"/>
      <c r="D6324" s="262"/>
      <c r="E6324" s="262"/>
      <c r="F6324" s="82">
        <v>0.1</v>
      </c>
      <c r="G6324" s="80">
        <f>G6323*F6324</f>
        <v>209</v>
      </c>
    </row>
    <row r="6325" spans="1:7">
      <c r="A6325" s="81" t="s">
        <v>41</v>
      </c>
      <c r="B6325" s="262" t="s">
        <v>42</v>
      </c>
      <c r="C6325" s="262"/>
      <c r="D6325" s="262"/>
      <c r="E6325" s="262"/>
      <c r="F6325" s="262"/>
      <c r="G6325" s="80">
        <f>G6323+G6324</f>
        <v>2299</v>
      </c>
    </row>
    <row r="6326" spans="1:7">
      <c r="A6326" s="90"/>
      <c r="B6326" s="91"/>
      <c r="C6326" s="91"/>
      <c r="D6326" s="91"/>
      <c r="E6326" s="91"/>
      <c r="F6326" s="91"/>
      <c r="G6326" s="92"/>
    </row>
    <row r="6327" spans="1:7">
      <c r="A6327" s="4" t="s">
        <v>506</v>
      </c>
      <c r="B6327" s="91"/>
      <c r="C6327" s="91"/>
      <c r="D6327" s="91"/>
      <c r="E6327" s="91"/>
      <c r="F6327" s="91"/>
      <c r="G6327" s="92"/>
    </row>
    <row r="6328" spans="1:7" ht="30">
      <c r="A6328" s="79" t="s">
        <v>0</v>
      </c>
      <c r="B6328" s="79" t="s">
        <v>1</v>
      </c>
      <c r="C6328" s="79" t="s">
        <v>207</v>
      </c>
      <c r="D6328" s="79" t="s">
        <v>3</v>
      </c>
      <c r="E6328" s="79" t="s">
        <v>2</v>
      </c>
      <c r="F6328" s="79" t="s">
        <v>417</v>
      </c>
      <c r="G6328" s="79" t="s">
        <v>418</v>
      </c>
    </row>
    <row r="6329" spans="1:7">
      <c r="A6329" s="8" t="s">
        <v>4</v>
      </c>
      <c r="B6329" s="1" t="s">
        <v>5</v>
      </c>
      <c r="C6329" s="8"/>
      <c r="D6329" s="9"/>
      <c r="E6329" s="19"/>
      <c r="F6329" s="2"/>
      <c r="G6329" s="2"/>
    </row>
    <row r="6330" spans="1:7" ht="30">
      <c r="A6330" s="8">
        <v>1</v>
      </c>
      <c r="B6330" s="5" t="s">
        <v>222</v>
      </c>
      <c r="C6330" s="8" t="s">
        <v>7</v>
      </c>
      <c r="D6330" s="9" t="s">
        <v>8</v>
      </c>
      <c r="E6330" s="10" t="s">
        <v>188</v>
      </c>
      <c r="F6330" s="86">
        <f>VLOOKUP(B6330,'HSD UPAH,BAHAN,ALAT'!$C$6:F5664,4,FALSE)</f>
        <v>100000</v>
      </c>
      <c r="G6330" s="87">
        <f t="shared" ref="G6330:G6331" si="808">E6330*F6330</f>
        <v>1200</v>
      </c>
    </row>
    <row r="6331" spans="1:7">
      <c r="A6331" s="8">
        <v>2</v>
      </c>
      <c r="B6331" s="1" t="s">
        <v>13</v>
      </c>
      <c r="C6331" s="8" t="s">
        <v>14</v>
      </c>
      <c r="D6331" s="9" t="s">
        <v>8</v>
      </c>
      <c r="E6331" s="10" t="s">
        <v>189</v>
      </c>
      <c r="F6331" s="86">
        <f>VLOOKUP(B6331,'HSD UPAH,BAHAN,ALAT'!$C$6:F5665,4,FALSE)</f>
        <v>100000</v>
      </c>
      <c r="G6331" s="87">
        <f t="shared" si="808"/>
        <v>59.999999999999993</v>
      </c>
    </row>
    <row r="6332" spans="1:7">
      <c r="A6332" s="261" t="s">
        <v>420</v>
      </c>
      <c r="B6332" s="261"/>
      <c r="C6332" s="261"/>
      <c r="D6332" s="261"/>
      <c r="E6332" s="261"/>
      <c r="F6332" s="261"/>
      <c r="G6332" s="85">
        <f>SUM(G6329:G6331)</f>
        <v>1260</v>
      </c>
    </row>
    <row r="6333" spans="1:7">
      <c r="A6333" s="8" t="s">
        <v>16</v>
      </c>
      <c r="B6333" s="1" t="s">
        <v>17</v>
      </c>
      <c r="C6333" s="8"/>
      <c r="D6333" s="9"/>
      <c r="E6333" s="19"/>
      <c r="F6333" s="2"/>
      <c r="G6333" s="2"/>
    </row>
    <row r="6334" spans="1:7">
      <c r="A6334" s="261" t="s">
        <v>421</v>
      </c>
      <c r="B6334" s="261"/>
      <c r="C6334" s="261"/>
      <c r="D6334" s="261"/>
      <c r="E6334" s="261"/>
      <c r="F6334" s="261"/>
      <c r="G6334" s="85">
        <f>SUM(G6333:G6333)</f>
        <v>0</v>
      </c>
    </row>
    <row r="6335" spans="1:7">
      <c r="A6335" s="8" t="s">
        <v>36</v>
      </c>
      <c r="B6335" s="1" t="s">
        <v>37</v>
      </c>
      <c r="C6335" s="8"/>
      <c r="D6335" s="9"/>
      <c r="E6335" s="19"/>
      <c r="F6335" s="2"/>
      <c r="G6335" s="2"/>
    </row>
    <row r="6336" spans="1:7">
      <c r="A6336" s="263" t="s">
        <v>419</v>
      </c>
      <c r="B6336" s="263"/>
      <c r="C6336" s="263"/>
      <c r="D6336" s="263"/>
      <c r="E6336" s="263"/>
      <c r="F6336" s="263"/>
      <c r="G6336" s="80">
        <f>SUM(G6335)</f>
        <v>0</v>
      </c>
    </row>
    <row r="6337" spans="1:7">
      <c r="A6337" s="81" t="s">
        <v>38</v>
      </c>
      <c r="B6337" s="262" t="s">
        <v>39</v>
      </c>
      <c r="C6337" s="262"/>
      <c r="D6337" s="262"/>
      <c r="E6337" s="262"/>
      <c r="F6337" s="262"/>
      <c r="G6337" s="80">
        <f>SUM(G6330:G6336)/2</f>
        <v>1260</v>
      </c>
    </row>
    <row r="6338" spans="1:7">
      <c r="A6338" s="81" t="s">
        <v>40</v>
      </c>
      <c r="B6338" s="262" t="s">
        <v>180</v>
      </c>
      <c r="C6338" s="262"/>
      <c r="D6338" s="262"/>
      <c r="E6338" s="262"/>
      <c r="F6338" s="82">
        <v>0.1</v>
      </c>
      <c r="G6338" s="80">
        <f>G6337*F6338</f>
        <v>126</v>
      </c>
    </row>
    <row r="6339" spans="1:7">
      <c r="A6339" s="81" t="s">
        <v>41</v>
      </c>
      <c r="B6339" s="262" t="s">
        <v>42</v>
      </c>
      <c r="C6339" s="262"/>
      <c r="D6339" s="262"/>
      <c r="E6339" s="262"/>
      <c r="F6339" s="262"/>
      <c r="G6339" s="80">
        <f>G6337+G6338</f>
        <v>1386</v>
      </c>
    </row>
    <row r="6340" spans="1:7">
      <c r="A6340" s="90"/>
      <c r="B6340" s="91"/>
      <c r="C6340" s="91"/>
      <c r="D6340" s="91"/>
      <c r="E6340" s="91"/>
      <c r="F6340" s="91"/>
      <c r="G6340" s="92"/>
    </row>
    <row r="6341" spans="1:7">
      <c r="A6341" s="4" t="s">
        <v>454</v>
      </c>
      <c r="B6341" s="91"/>
      <c r="C6341" s="91"/>
      <c r="D6341" s="91"/>
      <c r="E6341" s="91"/>
      <c r="F6341" s="91"/>
      <c r="G6341" s="92"/>
    </row>
    <row r="6342" spans="1:7">
      <c r="A6342" s="4" t="s">
        <v>455</v>
      </c>
      <c r="B6342" s="91"/>
      <c r="C6342" s="91"/>
      <c r="D6342" s="91"/>
      <c r="E6342" s="91"/>
      <c r="F6342" s="91"/>
      <c r="G6342" s="92"/>
    </row>
    <row r="6343" spans="1:7" ht="30">
      <c r="A6343" s="79" t="s">
        <v>0</v>
      </c>
      <c r="B6343" s="79" t="s">
        <v>1</v>
      </c>
      <c r="C6343" s="79" t="s">
        <v>207</v>
      </c>
      <c r="D6343" s="79" t="s">
        <v>3</v>
      </c>
      <c r="E6343" s="79" t="s">
        <v>2</v>
      </c>
      <c r="F6343" s="79" t="s">
        <v>417</v>
      </c>
      <c r="G6343" s="79" t="s">
        <v>418</v>
      </c>
    </row>
    <row r="6344" spans="1:7">
      <c r="A6344" s="9" t="s">
        <v>4</v>
      </c>
      <c r="B6344" s="1" t="s">
        <v>5</v>
      </c>
      <c r="C6344" s="8"/>
      <c r="D6344" s="9"/>
      <c r="E6344" s="19"/>
      <c r="F6344" s="2"/>
      <c r="G6344" s="2"/>
    </row>
    <row r="6345" spans="1:7">
      <c r="A6345" s="9">
        <v>1</v>
      </c>
      <c r="B6345" s="1" t="s">
        <v>48</v>
      </c>
      <c r="C6345" s="8" t="s">
        <v>49</v>
      </c>
      <c r="D6345" s="9" t="s">
        <v>8</v>
      </c>
      <c r="E6345" s="10" t="s">
        <v>197</v>
      </c>
      <c r="F6345" s="86">
        <f>VLOOKUP(B6345,'HSD UPAH,BAHAN,ALAT'!$C$6:F5676,4,FALSE)</f>
        <v>100000</v>
      </c>
      <c r="G6345" s="87">
        <f t="shared" ref="G6345:G6348" si="809">E6345*F6345</f>
        <v>5000</v>
      </c>
    </row>
    <row r="6346" spans="1:7">
      <c r="A6346" s="9">
        <v>2</v>
      </c>
      <c r="B6346" s="1" t="s">
        <v>198</v>
      </c>
      <c r="C6346" s="8" t="s">
        <v>7</v>
      </c>
      <c r="D6346" s="9" t="s">
        <v>8</v>
      </c>
      <c r="E6346" s="10" t="s">
        <v>197</v>
      </c>
      <c r="F6346" s="86">
        <f>VLOOKUP(B6346,'HSD UPAH,BAHAN,ALAT'!$C$6:F5677,4,FALSE)</f>
        <v>100000</v>
      </c>
      <c r="G6346" s="87">
        <f t="shared" si="809"/>
        <v>5000</v>
      </c>
    </row>
    <row r="6347" spans="1:7">
      <c r="A6347" s="9">
        <v>3</v>
      </c>
      <c r="B6347" s="1" t="s">
        <v>199</v>
      </c>
      <c r="C6347" s="8" t="s">
        <v>11</v>
      </c>
      <c r="D6347" s="9" t="s">
        <v>8</v>
      </c>
      <c r="E6347" s="10" t="s">
        <v>200</v>
      </c>
      <c r="F6347" s="86">
        <f>VLOOKUP(B6347,'HSD UPAH,BAHAN,ALAT'!$C$6:F5678,4,FALSE)</f>
        <v>120000</v>
      </c>
      <c r="G6347" s="87">
        <f t="shared" si="809"/>
        <v>600</v>
      </c>
    </row>
    <row r="6348" spans="1:7">
      <c r="A6348" s="9">
        <v>4</v>
      </c>
      <c r="B6348" s="1" t="s">
        <v>13</v>
      </c>
      <c r="C6348" s="8" t="s">
        <v>14</v>
      </c>
      <c r="D6348" s="9" t="s">
        <v>8</v>
      </c>
      <c r="E6348" s="10" t="s">
        <v>201</v>
      </c>
      <c r="F6348" s="86">
        <f>VLOOKUP(B6348,'HSD UPAH,BAHAN,ALAT'!$C$6:F5679,4,FALSE)</f>
        <v>100000</v>
      </c>
      <c r="G6348" s="87">
        <f t="shared" si="809"/>
        <v>170</v>
      </c>
    </row>
    <row r="6349" spans="1:7">
      <c r="A6349" s="261" t="s">
        <v>420</v>
      </c>
      <c r="B6349" s="261"/>
      <c r="C6349" s="261"/>
      <c r="D6349" s="261"/>
      <c r="E6349" s="261"/>
      <c r="F6349" s="261"/>
      <c r="G6349" s="85">
        <f>SUM(G6345:G6348)</f>
        <v>10770</v>
      </c>
    </row>
    <row r="6350" spans="1:7">
      <c r="A6350" s="9" t="s">
        <v>16</v>
      </c>
      <c r="B6350" s="1" t="s">
        <v>17</v>
      </c>
      <c r="C6350" s="8"/>
      <c r="D6350" s="9"/>
      <c r="E6350" s="19"/>
      <c r="F6350" s="2"/>
      <c r="G6350" s="2"/>
    </row>
    <row r="6351" spans="1:7" ht="30">
      <c r="A6351" s="9">
        <v>1</v>
      </c>
      <c r="B6351" s="5" t="s">
        <v>227</v>
      </c>
      <c r="C6351" s="8"/>
      <c r="D6351" s="12" t="s">
        <v>86</v>
      </c>
      <c r="E6351" s="7" t="s">
        <v>105</v>
      </c>
      <c r="F6351" s="86">
        <f>VLOOKUP(B6351,'HSD UPAH,BAHAN,ALAT'!$C$6:F5682,4,FALSE)</f>
        <v>10000</v>
      </c>
      <c r="G6351" s="87">
        <f t="shared" ref="G6351:G6354" si="810">E6351*F6351</f>
        <v>10000</v>
      </c>
    </row>
    <row r="6352" spans="1:7">
      <c r="A6352" s="9">
        <v>2</v>
      </c>
      <c r="B6352" s="1" t="s">
        <v>386</v>
      </c>
      <c r="C6352" s="8"/>
      <c r="D6352" s="9" t="s">
        <v>202</v>
      </c>
      <c r="E6352" s="10" t="s">
        <v>158</v>
      </c>
      <c r="F6352" s="86">
        <f>VLOOKUP(B6352,'HSD UPAH,BAHAN,ALAT'!$C$6:F5683,4,FALSE)</f>
        <v>10000</v>
      </c>
      <c r="G6352" s="87">
        <f t="shared" si="810"/>
        <v>40000</v>
      </c>
    </row>
    <row r="6353" spans="1:7">
      <c r="A6353" s="9">
        <v>3</v>
      </c>
      <c r="B6353" s="1" t="s">
        <v>203</v>
      </c>
      <c r="C6353" s="8"/>
      <c r="D6353" s="9" t="s">
        <v>19</v>
      </c>
      <c r="E6353" s="10" t="s">
        <v>204</v>
      </c>
      <c r="F6353" s="86">
        <f>VLOOKUP(B6353,'HSD UPAH,BAHAN,ALAT'!$C$6:F5684,4,FALSE)</f>
        <v>10000</v>
      </c>
      <c r="G6353" s="87">
        <f t="shared" si="810"/>
        <v>290</v>
      </c>
    </row>
    <row r="6354" spans="1:7">
      <c r="A6354" s="9">
        <v>4</v>
      </c>
      <c r="B6354" s="1" t="s">
        <v>205</v>
      </c>
      <c r="C6354" s="8"/>
      <c r="D6354" s="9" t="s">
        <v>120</v>
      </c>
      <c r="E6354" s="10" t="s">
        <v>206</v>
      </c>
      <c r="F6354" s="86">
        <f>VLOOKUP(B6354,'HSD UPAH,BAHAN,ALAT'!$C$6:F5685,4,FALSE)</f>
        <v>10000</v>
      </c>
      <c r="G6354" s="87">
        <f t="shared" si="810"/>
        <v>770</v>
      </c>
    </row>
    <row r="6355" spans="1:7">
      <c r="A6355" s="261" t="s">
        <v>421</v>
      </c>
      <c r="B6355" s="261"/>
      <c r="C6355" s="261"/>
      <c r="D6355" s="261"/>
      <c r="E6355" s="261"/>
      <c r="F6355" s="261"/>
      <c r="G6355" s="85">
        <f>SUM(G6351:G6354)</f>
        <v>51060</v>
      </c>
    </row>
    <row r="6356" spans="1:7">
      <c r="A6356" s="9" t="s">
        <v>36</v>
      </c>
      <c r="B6356" s="1" t="s">
        <v>37</v>
      </c>
      <c r="C6356" s="8"/>
      <c r="D6356" s="9"/>
      <c r="E6356" s="19"/>
      <c r="F6356" s="2"/>
      <c r="G6356" s="2"/>
    </row>
    <row r="6357" spans="1:7">
      <c r="A6357" s="9"/>
      <c r="B6357" s="1"/>
      <c r="C6357" s="8"/>
      <c r="D6357" s="9"/>
      <c r="E6357" s="19"/>
      <c r="F6357" s="2"/>
      <c r="G6357" s="2"/>
    </row>
    <row r="6358" spans="1:7">
      <c r="A6358" s="263" t="s">
        <v>419</v>
      </c>
      <c r="B6358" s="263"/>
      <c r="C6358" s="263"/>
      <c r="D6358" s="263"/>
      <c r="E6358" s="263"/>
      <c r="F6358" s="263"/>
      <c r="G6358" s="80">
        <f>SUM(G6357)</f>
        <v>0</v>
      </c>
    </row>
    <row r="6359" spans="1:7">
      <c r="A6359" s="81" t="s">
        <v>38</v>
      </c>
      <c r="B6359" s="262" t="s">
        <v>39</v>
      </c>
      <c r="C6359" s="262"/>
      <c r="D6359" s="262"/>
      <c r="E6359" s="262"/>
      <c r="F6359" s="262"/>
      <c r="G6359" s="80">
        <f>SUM(G6345:G6358)/2</f>
        <v>61830</v>
      </c>
    </row>
    <row r="6360" spans="1:7">
      <c r="A6360" s="81" t="s">
        <v>40</v>
      </c>
      <c r="B6360" s="262" t="s">
        <v>180</v>
      </c>
      <c r="C6360" s="262"/>
      <c r="D6360" s="262"/>
      <c r="E6360" s="262"/>
      <c r="F6360" s="82">
        <v>0.1</v>
      </c>
      <c r="G6360" s="80">
        <f>G6359*F6360</f>
        <v>6183</v>
      </c>
    </row>
    <row r="6361" spans="1:7">
      <c r="A6361" s="81" t="s">
        <v>41</v>
      </c>
      <c r="B6361" s="262" t="s">
        <v>42</v>
      </c>
      <c r="C6361" s="262"/>
      <c r="D6361" s="262"/>
      <c r="E6361" s="262"/>
      <c r="F6361" s="262"/>
      <c r="G6361" s="80">
        <f>G6359+G6360</f>
        <v>68013</v>
      </c>
    </row>
  </sheetData>
  <mergeCells count="1722">
    <mergeCell ref="A46:F46"/>
    <mergeCell ref="A35:F35"/>
    <mergeCell ref="B24:E24"/>
    <mergeCell ref="B25:F25"/>
    <mergeCell ref="A22:F22"/>
    <mergeCell ref="B23:F23"/>
    <mergeCell ref="A20:F20"/>
    <mergeCell ref="A9:F9"/>
    <mergeCell ref="A121:F121"/>
    <mergeCell ref="A110:F110"/>
    <mergeCell ref="B100:E100"/>
    <mergeCell ref="B101:F101"/>
    <mergeCell ref="A98:F98"/>
    <mergeCell ref="B99:F99"/>
    <mergeCell ref="A96:F96"/>
    <mergeCell ref="A85:F85"/>
    <mergeCell ref="B75:E75"/>
    <mergeCell ref="B76:F76"/>
    <mergeCell ref="A73:F73"/>
    <mergeCell ref="B74:F74"/>
    <mergeCell ref="A71:F71"/>
    <mergeCell ref="A60:F60"/>
    <mergeCell ref="B50:E50"/>
    <mergeCell ref="B51:F51"/>
    <mergeCell ref="A48:F48"/>
    <mergeCell ref="B49:F49"/>
    <mergeCell ref="A194:F194"/>
    <mergeCell ref="A183:F183"/>
    <mergeCell ref="B174:E174"/>
    <mergeCell ref="B175:F175"/>
    <mergeCell ref="A172:F172"/>
    <mergeCell ref="B173:F173"/>
    <mergeCell ref="A170:F170"/>
    <mergeCell ref="A159:F159"/>
    <mergeCell ref="B150:E150"/>
    <mergeCell ref="B151:F151"/>
    <mergeCell ref="A148:F148"/>
    <mergeCell ref="B149:F149"/>
    <mergeCell ref="A146:F146"/>
    <mergeCell ref="A135:F135"/>
    <mergeCell ref="B125:E125"/>
    <mergeCell ref="B126:F126"/>
    <mergeCell ref="A123:F123"/>
    <mergeCell ref="B124:F124"/>
    <mergeCell ref="A266:F266"/>
    <mergeCell ref="A255:F255"/>
    <mergeCell ref="B246:E246"/>
    <mergeCell ref="B247:F247"/>
    <mergeCell ref="A244:F244"/>
    <mergeCell ref="B245:F245"/>
    <mergeCell ref="A242:F242"/>
    <mergeCell ref="A231:F231"/>
    <mergeCell ref="B222:E222"/>
    <mergeCell ref="B223:F223"/>
    <mergeCell ref="A220:F220"/>
    <mergeCell ref="B221:F221"/>
    <mergeCell ref="A218:F218"/>
    <mergeCell ref="A207:F207"/>
    <mergeCell ref="B198:E198"/>
    <mergeCell ref="B199:F199"/>
    <mergeCell ref="A196:F196"/>
    <mergeCell ref="B197:F197"/>
    <mergeCell ref="A339:F339"/>
    <mergeCell ref="A328:F328"/>
    <mergeCell ref="B319:E319"/>
    <mergeCell ref="B320:F320"/>
    <mergeCell ref="A317:F317"/>
    <mergeCell ref="B318:F318"/>
    <mergeCell ref="A315:F315"/>
    <mergeCell ref="A304:F304"/>
    <mergeCell ref="B295:E295"/>
    <mergeCell ref="B296:F296"/>
    <mergeCell ref="A293:F293"/>
    <mergeCell ref="B294:F294"/>
    <mergeCell ref="A291:F291"/>
    <mergeCell ref="A280:F280"/>
    <mergeCell ref="B270:E270"/>
    <mergeCell ref="B271:F271"/>
    <mergeCell ref="A268:F268"/>
    <mergeCell ref="B269:F269"/>
    <mergeCell ref="A411:F411"/>
    <mergeCell ref="A400:F400"/>
    <mergeCell ref="B391:E391"/>
    <mergeCell ref="B392:F392"/>
    <mergeCell ref="A389:F389"/>
    <mergeCell ref="B390:F390"/>
    <mergeCell ref="A387:F387"/>
    <mergeCell ref="A376:F376"/>
    <mergeCell ref="B367:E367"/>
    <mergeCell ref="B368:F368"/>
    <mergeCell ref="A365:F365"/>
    <mergeCell ref="B366:F366"/>
    <mergeCell ref="A363:F363"/>
    <mergeCell ref="A352:F352"/>
    <mergeCell ref="B343:E343"/>
    <mergeCell ref="B344:F344"/>
    <mergeCell ref="A341:F341"/>
    <mergeCell ref="B342:F342"/>
    <mergeCell ref="A484:F484"/>
    <mergeCell ref="A473:F473"/>
    <mergeCell ref="B464:E464"/>
    <mergeCell ref="B465:F465"/>
    <mergeCell ref="A462:F462"/>
    <mergeCell ref="B463:F463"/>
    <mergeCell ref="A460:F460"/>
    <mergeCell ref="A449:F449"/>
    <mergeCell ref="B440:E440"/>
    <mergeCell ref="B441:F441"/>
    <mergeCell ref="A438:F438"/>
    <mergeCell ref="B439:F439"/>
    <mergeCell ref="A436:F436"/>
    <mergeCell ref="A425:F425"/>
    <mergeCell ref="B415:E415"/>
    <mergeCell ref="B416:F416"/>
    <mergeCell ref="A413:F413"/>
    <mergeCell ref="B414:F414"/>
    <mergeCell ref="A556:F556"/>
    <mergeCell ref="A545:F545"/>
    <mergeCell ref="B536:E536"/>
    <mergeCell ref="B537:F537"/>
    <mergeCell ref="A534:F534"/>
    <mergeCell ref="B535:F535"/>
    <mergeCell ref="A532:F532"/>
    <mergeCell ref="A521:F521"/>
    <mergeCell ref="B512:E512"/>
    <mergeCell ref="B513:F513"/>
    <mergeCell ref="A510:F510"/>
    <mergeCell ref="B511:F511"/>
    <mergeCell ref="A508:F508"/>
    <mergeCell ref="A497:F497"/>
    <mergeCell ref="B488:E488"/>
    <mergeCell ref="B489:F489"/>
    <mergeCell ref="A486:F486"/>
    <mergeCell ref="B487:F487"/>
    <mergeCell ref="A628:F628"/>
    <mergeCell ref="A617:F617"/>
    <mergeCell ref="B608:E608"/>
    <mergeCell ref="B609:F609"/>
    <mergeCell ref="A606:F606"/>
    <mergeCell ref="B607:F607"/>
    <mergeCell ref="A604:F604"/>
    <mergeCell ref="A593:F593"/>
    <mergeCell ref="B584:E584"/>
    <mergeCell ref="B585:F585"/>
    <mergeCell ref="A582:F582"/>
    <mergeCell ref="B583:F583"/>
    <mergeCell ref="A580:F580"/>
    <mergeCell ref="A569:F569"/>
    <mergeCell ref="B560:E560"/>
    <mergeCell ref="B561:F561"/>
    <mergeCell ref="A558:F558"/>
    <mergeCell ref="B559:F559"/>
    <mergeCell ref="A700:F700"/>
    <mergeCell ref="A689:F689"/>
    <mergeCell ref="B680:E680"/>
    <mergeCell ref="B681:F681"/>
    <mergeCell ref="A678:F678"/>
    <mergeCell ref="B679:F679"/>
    <mergeCell ref="A676:F676"/>
    <mergeCell ref="A665:F665"/>
    <mergeCell ref="B656:E656"/>
    <mergeCell ref="B657:F657"/>
    <mergeCell ref="A654:F654"/>
    <mergeCell ref="B655:F655"/>
    <mergeCell ref="A652:F652"/>
    <mergeCell ref="A641:F641"/>
    <mergeCell ref="B632:E632"/>
    <mergeCell ref="B633:F633"/>
    <mergeCell ref="A630:F630"/>
    <mergeCell ref="B631:F631"/>
    <mergeCell ref="A777:F777"/>
    <mergeCell ref="A766:F766"/>
    <mergeCell ref="B755:E755"/>
    <mergeCell ref="B756:F756"/>
    <mergeCell ref="A753:F753"/>
    <mergeCell ref="B754:F754"/>
    <mergeCell ref="A751:F751"/>
    <mergeCell ref="A740:F740"/>
    <mergeCell ref="B730:E730"/>
    <mergeCell ref="B731:F731"/>
    <mergeCell ref="A728:F728"/>
    <mergeCell ref="B729:F729"/>
    <mergeCell ref="A726:F726"/>
    <mergeCell ref="A715:F715"/>
    <mergeCell ref="B704:E704"/>
    <mergeCell ref="B705:F705"/>
    <mergeCell ref="A702:F702"/>
    <mergeCell ref="B703:F703"/>
    <mergeCell ref="A852:F852"/>
    <mergeCell ref="A841:F841"/>
    <mergeCell ref="B831:E831"/>
    <mergeCell ref="B832:F832"/>
    <mergeCell ref="A829:F829"/>
    <mergeCell ref="B830:F830"/>
    <mergeCell ref="A827:F827"/>
    <mergeCell ref="A816:F816"/>
    <mergeCell ref="B806:E806"/>
    <mergeCell ref="B807:F807"/>
    <mergeCell ref="A804:F804"/>
    <mergeCell ref="B805:F805"/>
    <mergeCell ref="A802:F802"/>
    <mergeCell ref="A791:F791"/>
    <mergeCell ref="B781:E781"/>
    <mergeCell ref="B782:F782"/>
    <mergeCell ref="A779:F779"/>
    <mergeCell ref="B780:F780"/>
    <mergeCell ref="A916:F916"/>
    <mergeCell ref="B906:E906"/>
    <mergeCell ref="B907:F907"/>
    <mergeCell ref="A904:F904"/>
    <mergeCell ref="B905:F905"/>
    <mergeCell ref="A902:F902"/>
    <mergeCell ref="A891:F891"/>
    <mergeCell ref="B881:E881"/>
    <mergeCell ref="B882:F882"/>
    <mergeCell ref="A879:F879"/>
    <mergeCell ref="B880:F880"/>
    <mergeCell ref="A877:F877"/>
    <mergeCell ref="A866:F866"/>
    <mergeCell ref="B856:E856"/>
    <mergeCell ref="B857:F857"/>
    <mergeCell ref="A854:F854"/>
    <mergeCell ref="B855:F855"/>
    <mergeCell ref="A952:F952"/>
    <mergeCell ref="A941:F941"/>
    <mergeCell ref="B930:F930"/>
    <mergeCell ref="A927:F927"/>
    <mergeCell ref="A929:F929"/>
    <mergeCell ref="B931:E931"/>
    <mergeCell ref="B932:F932"/>
    <mergeCell ref="A966:F966"/>
    <mergeCell ref="A977:F977"/>
    <mergeCell ref="A979:F979"/>
    <mergeCell ref="B980:F980"/>
    <mergeCell ref="B981:E981"/>
    <mergeCell ref="B982:F982"/>
    <mergeCell ref="A991:F991"/>
    <mergeCell ref="A1002:F1002"/>
    <mergeCell ref="A1004:F1004"/>
    <mergeCell ref="B1005:F1005"/>
    <mergeCell ref="A1128:F1128"/>
    <mergeCell ref="A1117:F1117"/>
    <mergeCell ref="B1107:E1107"/>
    <mergeCell ref="B1108:F1108"/>
    <mergeCell ref="A1105:F1105"/>
    <mergeCell ref="B1106:F1106"/>
    <mergeCell ref="A1103:F1103"/>
    <mergeCell ref="A1092:F1092"/>
    <mergeCell ref="B1082:E1082"/>
    <mergeCell ref="B1083:F1083"/>
    <mergeCell ref="A1080:F1080"/>
    <mergeCell ref="B1081:F1081"/>
    <mergeCell ref="A1078:F1078"/>
    <mergeCell ref="A1067:F1067"/>
    <mergeCell ref="B956:E956"/>
    <mergeCell ref="B957:F957"/>
    <mergeCell ref="A954:F954"/>
    <mergeCell ref="B955:F955"/>
    <mergeCell ref="B1006:E1006"/>
    <mergeCell ref="B1007:F1007"/>
    <mergeCell ref="A1016:F1016"/>
    <mergeCell ref="A1027:F1027"/>
    <mergeCell ref="A1029:F1029"/>
    <mergeCell ref="B1030:F1030"/>
    <mergeCell ref="B1031:E1031"/>
    <mergeCell ref="B1032:F1032"/>
    <mergeCell ref="A1041:F1041"/>
    <mergeCell ref="A1203:F1203"/>
    <mergeCell ref="A1192:F1192"/>
    <mergeCell ref="B1182:E1182"/>
    <mergeCell ref="B1183:F1183"/>
    <mergeCell ref="A1180:F1180"/>
    <mergeCell ref="B1181:F1181"/>
    <mergeCell ref="A1178:F1178"/>
    <mergeCell ref="A1167:F1167"/>
    <mergeCell ref="B1157:E1157"/>
    <mergeCell ref="B1158:F1158"/>
    <mergeCell ref="A1155:F1155"/>
    <mergeCell ref="B1156:F1156"/>
    <mergeCell ref="A1153:F1153"/>
    <mergeCell ref="A1142:F1142"/>
    <mergeCell ref="B1132:E1132"/>
    <mergeCell ref="B1133:F1133"/>
    <mergeCell ref="A1130:F1130"/>
    <mergeCell ref="B1131:F1131"/>
    <mergeCell ref="A1267:F1267"/>
    <mergeCell ref="B1257:E1257"/>
    <mergeCell ref="B1258:F1258"/>
    <mergeCell ref="A1255:F1255"/>
    <mergeCell ref="B1256:F1256"/>
    <mergeCell ref="A1253:F1253"/>
    <mergeCell ref="A1242:F1242"/>
    <mergeCell ref="B1232:E1232"/>
    <mergeCell ref="B1233:F1233"/>
    <mergeCell ref="A1230:F1230"/>
    <mergeCell ref="B1231:F1231"/>
    <mergeCell ref="A1228:F1228"/>
    <mergeCell ref="A1217:F1217"/>
    <mergeCell ref="B1207:E1207"/>
    <mergeCell ref="B1208:F1208"/>
    <mergeCell ref="A1205:F1205"/>
    <mergeCell ref="B1206:F1206"/>
    <mergeCell ref="B1332:E1332"/>
    <mergeCell ref="B1333:F1333"/>
    <mergeCell ref="A1330:F1330"/>
    <mergeCell ref="B1331:F1331"/>
    <mergeCell ref="A1328:F1328"/>
    <mergeCell ref="A1317:F1317"/>
    <mergeCell ref="B1307:E1307"/>
    <mergeCell ref="B1308:F1308"/>
    <mergeCell ref="A1305:F1305"/>
    <mergeCell ref="B1306:F1306"/>
    <mergeCell ref="A1303:F1303"/>
    <mergeCell ref="A1292:F1292"/>
    <mergeCell ref="B1282:E1282"/>
    <mergeCell ref="B1283:F1283"/>
    <mergeCell ref="A1280:F1280"/>
    <mergeCell ref="B1281:F1281"/>
    <mergeCell ref="A1278:F1278"/>
    <mergeCell ref="B1408:F1408"/>
    <mergeCell ref="A1405:F1405"/>
    <mergeCell ref="B1406:F1406"/>
    <mergeCell ref="A1403:F1403"/>
    <mergeCell ref="A1392:F1392"/>
    <mergeCell ref="B1382:E1382"/>
    <mergeCell ref="B1383:F1383"/>
    <mergeCell ref="A1380:F1380"/>
    <mergeCell ref="B1381:F1381"/>
    <mergeCell ref="A1378:F1378"/>
    <mergeCell ref="A1367:F1367"/>
    <mergeCell ref="B1357:E1357"/>
    <mergeCell ref="B1358:F1358"/>
    <mergeCell ref="A1355:F1355"/>
    <mergeCell ref="B1356:F1356"/>
    <mergeCell ref="A1353:F1353"/>
    <mergeCell ref="A1342:F1342"/>
    <mergeCell ref="A1655:F1655"/>
    <mergeCell ref="A1644:F1644"/>
    <mergeCell ref="B1634:E1634"/>
    <mergeCell ref="B1635:F1635"/>
    <mergeCell ref="A1632:F1632"/>
    <mergeCell ref="B1633:F1633"/>
    <mergeCell ref="A1629:F1629"/>
    <mergeCell ref="A1618:F1618"/>
    <mergeCell ref="B1507:E1507"/>
    <mergeCell ref="B1508:F1508"/>
    <mergeCell ref="A1505:F1505"/>
    <mergeCell ref="B1506:F1506"/>
    <mergeCell ref="A1542:F1542"/>
    <mergeCell ref="A1553:F1553"/>
    <mergeCell ref="A1555:F1555"/>
    <mergeCell ref="B1556:F1556"/>
    <mergeCell ref="B1557:E1557"/>
    <mergeCell ref="B1558:F1558"/>
    <mergeCell ref="A1567:F1567"/>
    <mergeCell ref="A1578:F1578"/>
    <mergeCell ref="A1580:F1580"/>
    <mergeCell ref="B1581:F1581"/>
    <mergeCell ref="B1582:E1582"/>
    <mergeCell ref="B1583:F1583"/>
    <mergeCell ref="A1592:F1592"/>
    <mergeCell ref="A1603:F1603"/>
    <mergeCell ref="A1733:F1733"/>
    <mergeCell ref="A1722:F1722"/>
    <mergeCell ref="B1712:E1712"/>
    <mergeCell ref="B1713:F1713"/>
    <mergeCell ref="A1710:F1710"/>
    <mergeCell ref="B1711:F1711"/>
    <mergeCell ref="A1707:F1707"/>
    <mergeCell ref="A1696:F1696"/>
    <mergeCell ref="B1686:E1686"/>
    <mergeCell ref="B1687:F1687"/>
    <mergeCell ref="A1684:F1684"/>
    <mergeCell ref="B1685:F1685"/>
    <mergeCell ref="A1681:F1681"/>
    <mergeCell ref="A1670:F1670"/>
    <mergeCell ref="B1660:E1660"/>
    <mergeCell ref="B1661:F1661"/>
    <mergeCell ref="A1658:F1658"/>
    <mergeCell ref="B1659:F1659"/>
    <mergeCell ref="A1811:F1811"/>
    <mergeCell ref="A1800:F1800"/>
    <mergeCell ref="B1790:E1790"/>
    <mergeCell ref="B1791:F1791"/>
    <mergeCell ref="A1788:F1788"/>
    <mergeCell ref="B1789:F1789"/>
    <mergeCell ref="A1785:F1785"/>
    <mergeCell ref="A1774:F1774"/>
    <mergeCell ref="B1764:E1764"/>
    <mergeCell ref="B1765:F1765"/>
    <mergeCell ref="A1762:F1762"/>
    <mergeCell ref="B1763:F1763"/>
    <mergeCell ref="A1759:F1759"/>
    <mergeCell ref="A1748:F1748"/>
    <mergeCell ref="B1738:E1738"/>
    <mergeCell ref="B1739:F1739"/>
    <mergeCell ref="A1736:F1736"/>
    <mergeCell ref="B1737:F1737"/>
    <mergeCell ref="A1889:F1889"/>
    <mergeCell ref="A1878:F1878"/>
    <mergeCell ref="B1868:E1868"/>
    <mergeCell ref="B1869:F1869"/>
    <mergeCell ref="A1866:F1866"/>
    <mergeCell ref="B1867:F1867"/>
    <mergeCell ref="A1863:F1863"/>
    <mergeCell ref="A1852:F1852"/>
    <mergeCell ref="B1842:E1842"/>
    <mergeCell ref="B1843:F1843"/>
    <mergeCell ref="A1840:F1840"/>
    <mergeCell ref="B1841:F1841"/>
    <mergeCell ref="A1837:F1837"/>
    <mergeCell ref="A1826:F1826"/>
    <mergeCell ref="B1816:E1816"/>
    <mergeCell ref="B1817:F1817"/>
    <mergeCell ref="A1814:F1814"/>
    <mergeCell ref="B1815:F1815"/>
    <mergeCell ref="A1967:F1967"/>
    <mergeCell ref="A1956:F1956"/>
    <mergeCell ref="B1946:E1946"/>
    <mergeCell ref="B1947:F1947"/>
    <mergeCell ref="A1944:F1944"/>
    <mergeCell ref="B1945:F1945"/>
    <mergeCell ref="A1941:F1941"/>
    <mergeCell ref="A1930:F1930"/>
    <mergeCell ref="B1920:E1920"/>
    <mergeCell ref="B1921:F1921"/>
    <mergeCell ref="A1918:F1918"/>
    <mergeCell ref="B1919:F1919"/>
    <mergeCell ref="A1915:F1915"/>
    <mergeCell ref="A1904:F1904"/>
    <mergeCell ref="B1894:E1894"/>
    <mergeCell ref="B1895:F1895"/>
    <mergeCell ref="A1892:F1892"/>
    <mergeCell ref="B1893:F1893"/>
    <mergeCell ref="A2046:F2046"/>
    <mergeCell ref="A2035:F2035"/>
    <mergeCell ref="B2025:E2025"/>
    <mergeCell ref="B2026:F2026"/>
    <mergeCell ref="A2023:F2023"/>
    <mergeCell ref="B2024:F2024"/>
    <mergeCell ref="A2020:F2020"/>
    <mergeCell ref="A2009:F2009"/>
    <mergeCell ref="B1999:E1999"/>
    <mergeCell ref="B2000:F2000"/>
    <mergeCell ref="A1997:F1997"/>
    <mergeCell ref="B1998:F1998"/>
    <mergeCell ref="A1994:F1994"/>
    <mergeCell ref="A1983:F1983"/>
    <mergeCell ref="B1972:E1972"/>
    <mergeCell ref="B1973:F1973"/>
    <mergeCell ref="A1970:F1970"/>
    <mergeCell ref="B1971:F1971"/>
    <mergeCell ref="A2124:F2124"/>
    <mergeCell ref="A2113:F2113"/>
    <mergeCell ref="B2103:E2103"/>
    <mergeCell ref="B2104:F2104"/>
    <mergeCell ref="A2101:F2101"/>
    <mergeCell ref="B2102:F2102"/>
    <mergeCell ref="A2098:F2098"/>
    <mergeCell ref="A2087:F2087"/>
    <mergeCell ref="B2077:E2077"/>
    <mergeCell ref="B2078:F2078"/>
    <mergeCell ref="A2075:F2075"/>
    <mergeCell ref="B2076:F2076"/>
    <mergeCell ref="A2072:F2072"/>
    <mergeCell ref="A2061:F2061"/>
    <mergeCell ref="B2051:E2051"/>
    <mergeCell ref="B2052:F2052"/>
    <mergeCell ref="A2049:F2049"/>
    <mergeCell ref="B2050:F2050"/>
    <mergeCell ref="A2203:F2203"/>
    <mergeCell ref="A2192:F2192"/>
    <mergeCell ref="B2181:E2181"/>
    <mergeCell ref="B2182:F2182"/>
    <mergeCell ref="A2179:F2179"/>
    <mergeCell ref="B2180:F2180"/>
    <mergeCell ref="A2176:F2176"/>
    <mergeCell ref="A2165:F2165"/>
    <mergeCell ref="B2155:E2155"/>
    <mergeCell ref="B2156:F2156"/>
    <mergeCell ref="A2153:F2153"/>
    <mergeCell ref="B2154:F2154"/>
    <mergeCell ref="A2150:F2150"/>
    <mergeCell ref="A2139:F2139"/>
    <mergeCell ref="B2129:E2129"/>
    <mergeCell ref="B2130:F2130"/>
    <mergeCell ref="A2127:F2127"/>
    <mergeCell ref="B2128:F2128"/>
    <mergeCell ref="A2281:F2281"/>
    <mergeCell ref="A2270:F2270"/>
    <mergeCell ref="B2260:E2260"/>
    <mergeCell ref="B2261:F2261"/>
    <mergeCell ref="A2258:F2258"/>
    <mergeCell ref="B2259:F2259"/>
    <mergeCell ref="A2255:F2255"/>
    <mergeCell ref="A2244:F2244"/>
    <mergeCell ref="B2234:E2234"/>
    <mergeCell ref="B2235:F2235"/>
    <mergeCell ref="A2232:F2232"/>
    <mergeCell ref="B2233:F2233"/>
    <mergeCell ref="A2229:F2229"/>
    <mergeCell ref="A2218:F2218"/>
    <mergeCell ref="B2208:E2208"/>
    <mergeCell ref="B2209:F2209"/>
    <mergeCell ref="A2206:F2206"/>
    <mergeCell ref="B2207:F2207"/>
    <mergeCell ref="A2359:F2359"/>
    <mergeCell ref="A2348:F2348"/>
    <mergeCell ref="B2338:E2338"/>
    <mergeCell ref="B2339:F2339"/>
    <mergeCell ref="A2336:F2336"/>
    <mergeCell ref="B2337:F2337"/>
    <mergeCell ref="A2333:F2333"/>
    <mergeCell ref="A2322:F2322"/>
    <mergeCell ref="B2312:E2312"/>
    <mergeCell ref="B2313:F2313"/>
    <mergeCell ref="A2310:F2310"/>
    <mergeCell ref="B2311:F2311"/>
    <mergeCell ref="A2307:F2307"/>
    <mergeCell ref="A2296:F2296"/>
    <mergeCell ref="B2286:E2286"/>
    <mergeCell ref="B2287:F2287"/>
    <mergeCell ref="A2284:F2284"/>
    <mergeCell ref="B2285:F2285"/>
    <mergeCell ref="A2427:F2427"/>
    <mergeCell ref="B2417:E2417"/>
    <mergeCell ref="B2418:F2418"/>
    <mergeCell ref="A2415:F2415"/>
    <mergeCell ref="B2416:F2416"/>
    <mergeCell ref="A2412:F2412"/>
    <mergeCell ref="A2401:F2401"/>
    <mergeCell ref="B2391:E2391"/>
    <mergeCell ref="B2392:F2392"/>
    <mergeCell ref="A2389:F2389"/>
    <mergeCell ref="B2390:F2390"/>
    <mergeCell ref="A2386:F2386"/>
    <mergeCell ref="A2375:F2375"/>
    <mergeCell ref="B2364:E2364"/>
    <mergeCell ref="B2365:F2365"/>
    <mergeCell ref="A2362:F2362"/>
    <mergeCell ref="B2363:F2363"/>
    <mergeCell ref="B2634:E2634"/>
    <mergeCell ref="B2635:F2635"/>
    <mergeCell ref="A2643:F2643"/>
    <mergeCell ref="A2651:F2651"/>
    <mergeCell ref="A2653:F2653"/>
    <mergeCell ref="B2654:F2654"/>
    <mergeCell ref="B2655:E2655"/>
    <mergeCell ref="B2656:F2656"/>
    <mergeCell ref="A2664:F2664"/>
    <mergeCell ref="A2672:F2672"/>
    <mergeCell ref="A2674:F2674"/>
    <mergeCell ref="A2453:F2453"/>
    <mergeCell ref="B2443:E2443"/>
    <mergeCell ref="B2444:F2444"/>
    <mergeCell ref="A2441:F2441"/>
    <mergeCell ref="B2442:F2442"/>
    <mergeCell ref="A2438:F2438"/>
    <mergeCell ref="B2570:E2570"/>
    <mergeCell ref="B2571:F2571"/>
    <mergeCell ref="A2568:F2568"/>
    <mergeCell ref="B2569:F2569"/>
    <mergeCell ref="A2566:F2566"/>
    <mergeCell ref="A2558:F2558"/>
    <mergeCell ref="B2547:E2547"/>
    <mergeCell ref="B2548:F2548"/>
    <mergeCell ref="A2545:F2545"/>
    <mergeCell ref="B2546:F2546"/>
    <mergeCell ref="A2542:F2542"/>
    <mergeCell ref="A2531:F2531"/>
    <mergeCell ref="B2521:E2521"/>
    <mergeCell ref="B2522:F2522"/>
    <mergeCell ref="A2630:F2630"/>
    <mergeCell ref="A2632:F2632"/>
    <mergeCell ref="B2633:F2633"/>
    <mergeCell ref="A3351:F3351"/>
    <mergeCell ref="A3343:F3343"/>
    <mergeCell ref="B3334:E3334"/>
    <mergeCell ref="B3335:F3335"/>
    <mergeCell ref="A3332:F3332"/>
    <mergeCell ref="B3333:F3333"/>
    <mergeCell ref="A3330:F3330"/>
    <mergeCell ref="A3322:F3322"/>
    <mergeCell ref="A3731:F3731"/>
    <mergeCell ref="B3692:F3692"/>
    <mergeCell ref="A3729:F3729"/>
    <mergeCell ref="B3732:F3732"/>
    <mergeCell ref="B3733:E3733"/>
    <mergeCell ref="B3734:F3734"/>
    <mergeCell ref="A3742:F3742"/>
    <mergeCell ref="A3750:F3750"/>
    <mergeCell ref="A3752:F3752"/>
    <mergeCell ref="A3406:F3406"/>
    <mergeCell ref="B3397:E3397"/>
    <mergeCell ref="B3398:F3398"/>
    <mergeCell ref="A3395:F3395"/>
    <mergeCell ref="B3396:F3396"/>
    <mergeCell ref="A3393:F3393"/>
    <mergeCell ref="A3385:F3385"/>
    <mergeCell ref="B3376:E3376"/>
    <mergeCell ref="B3377:F3377"/>
    <mergeCell ref="A3374:F3374"/>
    <mergeCell ref="B3375:F3375"/>
    <mergeCell ref="A3372:F3372"/>
    <mergeCell ref="A3364:F3364"/>
    <mergeCell ref="B3355:E3355"/>
    <mergeCell ref="B3356:F3356"/>
    <mergeCell ref="A3353:F3353"/>
    <mergeCell ref="B3354:F3354"/>
    <mergeCell ref="B3460:E3460"/>
    <mergeCell ref="B3461:F3461"/>
    <mergeCell ref="A3458:F3458"/>
    <mergeCell ref="B3459:F3459"/>
    <mergeCell ref="A3456:F3456"/>
    <mergeCell ref="A3448:F3448"/>
    <mergeCell ref="B3439:E3439"/>
    <mergeCell ref="B3440:F3440"/>
    <mergeCell ref="A3437:F3437"/>
    <mergeCell ref="B3438:F3438"/>
    <mergeCell ref="A3435:F3435"/>
    <mergeCell ref="A3427:F3427"/>
    <mergeCell ref="B3418:E3418"/>
    <mergeCell ref="B3419:F3419"/>
    <mergeCell ref="A3416:F3416"/>
    <mergeCell ref="B3417:F3417"/>
    <mergeCell ref="A3414:F3414"/>
    <mergeCell ref="B3524:F3524"/>
    <mergeCell ref="A3521:F3521"/>
    <mergeCell ref="B3522:F3522"/>
    <mergeCell ref="A3519:F3519"/>
    <mergeCell ref="A3511:F3511"/>
    <mergeCell ref="B3502:E3502"/>
    <mergeCell ref="B3503:F3503"/>
    <mergeCell ref="A3500:F3500"/>
    <mergeCell ref="B3501:F3501"/>
    <mergeCell ref="A3498:F3498"/>
    <mergeCell ref="A3490:F3490"/>
    <mergeCell ref="B3481:E3481"/>
    <mergeCell ref="B3482:F3482"/>
    <mergeCell ref="A3479:F3479"/>
    <mergeCell ref="B3480:F3480"/>
    <mergeCell ref="A3477:F3477"/>
    <mergeCell ref="A3469:F3469"/>
    <mergeCell ref="A3603:F3603"/>
    <mergeCell ref="A3595:F3595"/>
    <mergeCell ref="B3586:E3586"/>
    <mergeCell ref="B3587:F3587"/>
    <mergeCell ref="A3584:F3584"/>
    <mergeCell ref="B3585:F3585"/>
    <mergeCell ref="B3670:E3670"/>
    <mergeCell ref="B3671:F3671"/>
    <mergeCell ref="A3679:F3679"/>
    <mergeCell ref="A3687:F3687"/>
    <mergeCell ref="A3689:F3689"/>
    <mergeCell ref="B3690:F3690"/>
    <mergeCell ref="B3691:E3691"/>
    <mergeCell ref="A3700:F3700"/>
    <mergeCell ref="A3708:F3708"/>
    <mergeCell ref="A3710:F3710"/>
    <mergeCell ref="B3711:F3711"/>
    <mergeCell ref="A3637:F3637"/>
    <mergeCell ref="A3814:F3814"/>
    <mergeCell ref="A3806:F3806"/>
    <mergeCell ref="B3797:E3797"/>
    <mergeCell ref="B3798:F3798"/>
    <mergeCell ref="A3795:F3795"/>
    <mergeCell ref="B3796:F3796"/>
    <mergeCell ref="A3793:F3793"/>
    <mergeCell ref="A3785:F3785"/>
    <mergeCell ref="B3776:E3776"/>
    <mergeCell ref="B3777:F3777"/>
    <mergeCell ref="A3774:F3774"/>
    <mergeCell ref="B3775:F3775"/>
    <mergeCell ref="A3772:F3772"/>
    <mergeCell ref="A3764:F3764"/>
    <mergeCell ref="B3607:E3607"/>
    <mergeCell ref="B3608:F3608"/>
    <mergeCell ref="A3605:F3605"/>
    <mergeCell ref="B3606:F3606"/>
    <mergeCell ref="B3712:E3712"/>
    <mergeCell ref="B3713:F3713"/>
    <mergeCell ref="A3721:F3721"/>
    <mergeCell ref="B3753:F3753"/>
    <mergeCell ref="B3754:E3754"/>
    <mergeCell ref="B3755:F3755"/>
    <mergeCell ref="A3877:F3877"/>
    <mergeCell ref="A3869:F3869"/>
    <mergeCell ref="B3860:E3860"/>
    <mergeCell ref="B3861:F3861"/>
    <mergeCell ref="A3858:F3858"/>
    <mergeCell ref="B3859:F3859"/>
    <mergeCell ref="A3856:F3856"/>
    <mergeCell ref="A3848:F3848"/>
    <mergeCell ref="B3839:E3839"/>
    <mergeCell ref="B3840:F3840"/>
    <mergeCell ref="A3837:F3837"/>
    <mergeCell ref="B3838:F3838"/>
    <mergeCell ref="A3835:F3835"/>
    <mergeCell ref="A3827:F3827"/>
    <mergeCell ref="B3818:E3818"/>
    <mergeCell ref="B3819:F3819"/>
    <mergeCell ref="A3816:F3816"/>
    <mergeCell ref="B3817:F3817"/>
    <mergeCell ref="A3940:F3940"/>
    <mergeCell ref="A3932:F3932"/>
    <mergeCell ref="B3923:E3923"/>
    <mergeCell ref="B3924:F3924"/>
    <mergeCell ref="A3921:F3921"/>
    <mergeCell ref="B3922:F3922"/>
    <mergeCell ref="A3919:F3919"/>
    <mergeCell ref="A3911:F3911"/>
    <mergeCell ref="B3902:E3902"/>
    <mergeCell ref="B3903:F3903"/>
    <mergeCell ref="A3900:F3900"/>
    <mergeCell ref="B3901:F3901"/>
    <mergeCell ref="A3898:F3898"/>
    <mergeCell ref="A3890:F3890"/>
    <mergeCell ref="B3881:E3881"/>
    <mergeCell ref="B3882:F3882"/>
    <mergeCell ref="A3879:F3879"/>
    <mergeCell ref="B3880:F3880"/>
    <mergeCell ref="A4003:F4003"/>
    <mergeCell ref="A3995:F3995"/>
    <mergeCell ref="B3986:E3986"/>
    <mergeCell ref="B3987:F3987"/>
    <mergeCell ref="A3984:F3984"/>
    <mergeCell ref="B3985:F3985"/>
    <mergeCell ref="A3982:F3982"/>
    <mergeCell ref="A3974:F3974"/>
    <mergeCell ref="B3965:E3965"/>
    <mergeCell ref="B3966:F3966"/>
    <mergeCell ref="A3963:F3963"/>
    <mergeCell ref="B3964:F3964"/>
    <mergeCell ref="A3961:F3961"/>
    <mergeCell ref="A3953:F3953"/>
    <mergeCell ref="B3944:E3944"/>
    <mergeCell ref="B3945:F3945"/>
    <mergeCell ref="A3942:F3942"/>
    <mergeCell ref="B3943:F3943"/>
    <mergeCell ref="A4066:F4066"/>
    <mergeCell ref="A4058:F4058"/>
    <mergeCell ref="B4049:E4049"/>
    <mergeCell ref="B4050:F4050"/>
    <mergeCell ref="A4047:F4047"/>
    <mergeCell ref="B4048:F4048"/>
    <mergeCell ref="A4045:F4045"/>
    <mergeCell ref="A4037:F4037"/>
    <mergeCell ref="B4028:E4028"/>
    <mergeCell ref="B4029:F4029"/>
    <mergeCell ref="A4026:F4026"/>
    <mergeCell ref="B4027:F4027"/>
    <mergeCell ref="A4024:F4024"/>
    <mergeCell ref="A4016:F4016"/>
    <mergeCell ref="B4007:E4007"/>
    <mergeCell ref="B4008:F4008"/>
    <mergeCell ref="A4005:F4005"/>
    <mergeCell ref="B4006:F4006"/>
    <mergeCell ref="A4129:F4129"/>
    <mergeCell ref="A4121:F4121"/>
    <mergeCell ref="B4112:E4112"/>
    <mergeCell ref="B4113:F4113"/>
    <mergeCell ref="A4110:F4110"/>
    <mergeCell ref="B4111:F4111"/>
    <mergeCell ref="A4108:F4108"/>
    <mergeCell ref="A4100:F4100"/>
    <mergeCell ref="B4091:E4091"/>
    <mergeCell ref="B4092:F4092"/>
    <mergeCell ref="A4089:F4089"/>
    <mergeCell ref="B4090:F4090"/>
    <mergeCell ref="A4087:F4087"/>
    <mergeCell ref="A4079:F4079"/>
    <mergeCell ref="B4070:E4070"/>
    <mergeCell ref="B4071:F4071"/>
    <mergeCell ref="A4068:F4068"/>
    <mergeCell ref="B4069:F4069"/>
    <mergeCell ref="A4192:F4192"/>
    <mergeCell ref="A4184:F4184"/>
    <mergeCell ref="B4175:E4175"/>
    <mergeCell ref="B4176:F4176"/>
    <mergeCell ref="A4173:F4173"/>
    <mergeCell ref="B4174:F4174"/>
    <mergeCell ref="A4171:F4171"/>
    <mergeCell ref="A4163:F4163"/>
    <mergeCell ref="B4154:E4154"/>
    <mergeCell ref="B4155:F4155"/>
    <mergeCell ref="A4152:F4152"/>
    <mergeCell ref="B4153:F4153"/>
    <mergeCell ref="A4150:F4150"/>
    <mergeCell ref="A4142:F4142"/>
    <mergeCell ref="B4133:E4133"/>
    <mergeCell ref="B4134:F4134"/>
    <mergeCell ref="A4131:F4131"/>
    <mergeCell ref="B4132:F4132"/>
    <mergeCell ref="A4255:F4255"/>
    <mergeCell ref="A4247:F4247"/>
    <mergeCell ref="B4238:E4238"/>
    <mergeCell ref="B4239:F4239"/>
    <mergeCell ref="A4236:F4236"/>
    <mergeCell ref="B4237:F4237"/>
    <mergeCell ref="A4234:F4234"/>
    <mergeCell ref="A4226:F4226"/>
    <mergeCell ref="B4217:E4217"/>
    <mergeCell ref="B4218:F4218"/>
    <mergeCell ref="A4215:F4215"/>
    <mergeCell ref="B4216:F4216"/>
    <mergeCell ref="A4213:F4213"/>
    <mergeCell ref="A4205:F4205"/>
    <mergeCell ref="B4196:E4196"/>
    <mergeCell ref="B4197:F4197"/>
    <mergeCell ref="A4194:F4194"/>
    <mergeCell ref="B4195:F4195"/>
    <mergeCell ref="A4383:F4383"/>
    <mergeCell ref="B4384:F4384"/>
    <mergeCell ref="B4385:E4385"/>
    <mergeCell ref="B4386:F4386"/>
    <mergeCell ref="A4394:F4394"/>
    <mergeCell ref="A4402:F4402"/>
    <mergeCell ref="A4297:F4297"/>
    <mergeCell ref="A4289:F4289"/>
    <mergeCell ref="B4280:E4280"/>
    <mergeCell ref="B4281:F4281"/>
    <mergeCell ref="A4278:F4278"/>
    <mergeCell ref="B4279:F4279"/>
    <mergeCell ref="A4276:F4276"/>
    <mergeCell ref="A4268:F4268"/>
    <mergeCell ref="B4259:E4259"/>
    <mergeCell ref="B4260:F4260"/>
    <mergeCell ref="A4257:F4257"/>
    <mergeCell ref="B4258:F4258"/>
    <mergeCell ref="A4445:F4445"/>
    <mergeCell ref="A4437:F4437"/>
    <mergeCell ref="B4428:E4428"/>
    <mergeCell ref="B4429:F4429"/>
    <mergeCell ref="A4426:F4426"/>
    <mergeCell ref="B4427:F4427"/>
    <mergeCell ref="A4424:F4424"/>
    <mergeCell ref="A4416:F4416"/>
    <mergeCell ref="B4301:E4301"/>
    <mergeCell ref="B4302:F4302"/>
    <mergeCell ref="A4299:F4299"/>
    <mergeCell ref="B4300:F4300"/>
    <mergeCell ref="A4310:F4310"/>
    <mergeCell ref="A4318:F4318"/>
    <mergeCell ref="A4320:F4320"/>
    <mergeCell ref="B4321:F4321"/>
    <mergeCell ref="B4322:E4322"/>
    <mergeCell ref="B4323:F4323"/>
    <mergeCell ref="A4331:F4331"/>
    <mergeCell ref="A4339:F4339"/>
    <mergeCell ref="A4341:F4341"/>
    <mergeCell ref="B4342:F4342"/>
    <mergeCell ref="B4343:E4343"/>
    <mergeCell ref="B4344:F4344"/>
    <mergeCell ref="A4352:F4352"/>
    <mergeCell ref="A4360:F4360"/>
    <mergeCell ref="A4362:F4362"/>
    <mergeCell ref="B4363:F4363"/>
    <mergeCell ref="B4364:E4364"/>
    <mergeCell ref="B4365:F4365"/>
    <mergeCell ref="A4373:F4373"/>
    <mergeCell ref="A4381:F4381"/>
    <mergeCell ref="A4508:F4508"/>
    <mergeCell ref="A4500:F4500"/>
    <mergeCell ref="B4491:E4491"/>
    <mergeCell ref="B4492:F4492"/>
    <mergeCell ref="A4489:F4489"/>
    <mergeCell ref="B4490:F4490"/>
    <mergeCell ref="A4487:F4487"/>
    <mergeCell ref="A4479:F4479"/>
    <mergeCell ref="B4470:E4470"/>
    <mergeCell ref="B4471:F4471"/>
    <mergeCell ref="A4468:F4468"/>
    <mergeCell ref="B4469:F4469"/>
    <mergeCell ref="A4466:F4466"/>
    <mergeCell ref="A4458:F4458"/>
    <mergeCell ref="B4449:E4449"/>
    <mergeCell ref="B4450:F4450"/>
    <mergeCell ref="A4447:F4447"/>
    <mergeCell ref="B4448:F4448"/>
    <mergeCell ref="A4563:F4563"/>
    <mergeCell ref="B4554:E4554"/>
    <mergeCell ref="B4555:F4555"/>
    <mergeCell ref="A4552:F4552"/>
    <mergeCell ref="B4553:F4553"/>
    <mergeCell ref="A4550:F4550"/>
    <mergeCell ref="A4542:F4542"/>
    <mergeCell ref="B4533:E4533"/>
    <mergeCell ref="B4534:F4534"/>
    <mergeCell ref="A4531:F4531"/>
    <mergeCell ref="B4532:F4532"/>
    <mergeCell ref="A4529:F4529"/>
    <mergeCell ref="A4521:F4521"/>
    <mergeCell ref="B4512:E4512"/>
    <mergeCell ref="B4513:F4513"/>
    <mergeCell ref="A4510:F4510"/>
    <mergeCell ref="B4511:F4511"/>
    <mergeCell ref="B4617:E4617"/>
    <mergeCell ref="B4618:F4618"/>
    <mergeCell ref="A4615:F4615"/>
    <mergeCell ref="B4616:F4616"/>
    <mergeCell ref="A4613:F4613"/>
    <mergeCell ref="A4605:F4605"/>
    <mergeCell ref="B4596:E4596"/>
    <mergeCell ref="B4597:F4597"/>
    <mergeCell ref="A4594:F4594"/>
    <mergeCell ref="B4595:F4595"/>
    <mergeCell ref="A4592:F4592"/>
    <mergeCell ref="A4584:F4584"/>
    <mergeCell ref="B4575:E4575"/>
    <mergeCell ref="B4576:F4576"/>
    <mergeCell ref="A4573:F4573"/>
    <mergeCell ref="B4574:F4574"/>
    <mergeCell ref="A4571:F4571"/>
    <mergeCell ref="B4681:F4681"/>
    <mergeCell ref="A4678:F4678"/>
    <mergeCell ref="B4679:F4679"/>
    <mergeCell ref="A4676:F4676"/>
    <mergeCell ref="A4668:F4668"/>
    <mergeCell ref="B4659:E4659"/>
    <mergeCell ref="B4660:F4660"/>
    <mergeCell ref="A4657:F4657"/>
    <mergeCell ref="B4658:F4658"/>
    <mergeCell ref="A4655:F4655"/>
    <mergeCell ref="A4647:F4647"/>
    <mergeCell ref="B4638:E4638"/>
    <mergeCell ref="B4639:F4639"/>
    <mergeCell ref="A4636:F4636"/>
    <mergeCell ref="B4637:F4637"/>
    <mergeCell ref="A4634:F4634"/>
    <mergeCell ref="A4626:F4626"/>
    <mergeCell ref="A4887:F4887"/>
    <mergeCell ref="A4879:F4879"/>
    <mergeCell ref="B4849:E4849"/>
    <mergeCell ref="B4850:F4850"/>
    <mergeCell ref="A4847:F4847"/>
    <mergeCell ref="B4848:F4848"/>
    <mergeCell ref="A4845:F4845"/>
    <mergeCell ref="A4837:F4837"/>
    <mergeCell ref="B4806:E4806"/>
    <mergeCell ref="B4807:F4807"/>
    <mergeCell ref="A4804:F4804"/>
    <mergeCell ref="B4805:F4805"/>
    <mergeCell ref="A4802:F4802"/>
    <mergeCell ref="A4794:F4794"/>
    <mergeCell ref="B4785:E4785"/>
    <mergeCell ref="B4786:F4786"/>
    <mergeCell ref="A4783:F4783"/>
    <mergeCell ref="B4784:F4784"/>
    <mergeCell ref="A4823:F4823"/>
    <mergeCell ref="A4825:F4825"/>
    <mergeCell ref="B4826:F4826"/>
    <mergeCell ref="B4827:E4827"/>
    <mergeCell ref="B4828:F4828"/>
    <mergeCell ref="A4858:F4858"/>
    <mergeCell ref="A4866:F4866"/>
    <mergeCell ref="A4868:F4868"/>
    <mergeCell ref="B4869:F4869"/>
    <mergeCell ref="B4870:E4870"/>
    <mergeCell ref="B4871:F4871"/>
    <mergeCell ref="A4950:F4950"/>
    <mergeCell ref="A4942:F4942"/>
    <mergeCell ref="B4933:E4933"/>
    <mergeCell ref="B4934:F4934"/>
    <mergeCell ref="A4931:F4931"/>
    <mergeCell ref="B4932:F4932"/>
    <mergeCell ref="A4929:F4929"/>
    <mergeCell ref="A4921:F4921"/>
    <mergeCell ref="B4912:E4912"/>
    <mergeCell ref="B4913:F4913"/>
    <mergeCell ref="A4910:F4910"/>
    <mergeCell ref="B4911:F4911"/>
    <mergeCell ref="A4908:F4908"/>
    <mergeCell ref="A4900:F4900"/>
    <mergeCell ref="B4891:E4891"/>
    <mergeCell ref="B4892:F4892"/>
    <mergeCell ref="A4889:F4889"/>
    <mergeCell ref="B4890:F4890"/>
    <mergeCell ref="A5011:F5011"/>
    <mergeCell ref="A5005:F5005"/>
    <mergeCell ref="B4995:E4995"/>
    <mergeCell ref="B4996:F4996"/>
    <mergeCell ref="A4993:F4993"/>
    <mergeCell ref="B4994:F4994"/>
    <mergeCell ref="A4991:F4991"/>
    <mergeCell ref="A4985:F4985"/>
    <mergeCell ref="B4975:E4975"/>
    <mergeCell ref="B4976:F4976"/>
    <mergeCell ref="A4973:F4973"/>
    <mergeCell ref="B4974:F4974"/>
    <mergeCell ref="A4971:F4971"/>
    <mergeCell ref="A4965:F4965"/>
    <mergeCell ref="B4954:E4954"/>
    <mergeCell ref="B4955:F4955"/>
    <mergeCell ref="A4952:F4952"/>
    <mergeCell ref="B4953:F4953"/>
    <mergeCell ref="A5079:F5079"/>
    <mergeCell ref="A5070:F5070"/>
    <mergeCell ref="B5060:E5060"/>
    <mergeCell ref="B5061:F5061"/>
    <mergeCell ref="A5058:F5058"/>
    <mergeCell ref="B5059:F5059"/>
    <mergeCell ref="A5055:F5055"/>
    <mergeCell ref="A5046:F5046"/>
    <mergeCell ref="B5035:E5035"/>
    <mergeCell ref="B5036:F5036"/>
    <mergeCell ref="A5033:F5033"/>
    <mergeCell ref="B5034:F5034"/>
    <mergeCell ref="A5031:F5031"/>
    <mergeCell ref="A5025:F5025"/>
    <mergeCell ref="B5015:E5015"/>
    <mergeCell ref="B5016:F5016"/>
    <mergeCell ref="A5013:F5013"/>
    <mergeCell ref="B5014:F5014"/>
    <mergeCell ref="A5151:F5151"/>
    <mergeCell ref="A5142:F5142"/>
    <mergeCell ref="B5132:E5132"/>
    <mergeCell ref="B5133:F5133"/>
    <mergeCell ref="A5130:F5130"/>
    <mergeCell ref="B5131:F5131"/>
    <mergeCell ref="A5127:F5127"/>
    <mergeCell ref="A5118:F5118"/>
    <mergeCell ref="B5108:E5108"/>
    <mergeCell ref="B5109:F5109"/>
    <mergeCell ref="A5106:F5106"/>
    <mergeCell ref="B5107:F5107"/>
    <mergeCell ref="A5103:F5103"/>
    <mergeCell ref="A5094:F5094"/>
    <mergeCell ref="B5084:E5084"/>
    <mergeCell ref="B5085:F5085"/>
    <mergeCell ref="A5082:F5082"/>
    <mergeCell ref="B5083:F5083"/>
    <mergeCell ref="A5223:F5223"/>
    <mergeCell ref="A5214:F5214"/>
    <mergeCell ref="B5204:E5204"/>
    <mergeCell ref="B5205:F5205"/>
    <mergeCell ref="A5202:F5202"/>
    <mergeCell ref="B5203:F5203"/>
    <mergeCell ref="A5199:F5199"/>
    <mergeCell ref="A5190:F5190"/>
    <mergeCell ref="B5180:E5180"/>
    <mergeCell ref="B5181:F5181"/>
    <mergeCell ref="A5178:F5178"/>
    <mergeCell ref="B5179:F5179"/>
    <mergeCell ref="A5175:F5175"/>
    <mergeCell ref="A5166:F5166"/>
    <mergeCell ref="B5156:E5156"/>
    <mergeCell ref="B5157:F5157"/>
    <mergeCell ref="A5154:F5154"/>
    <mergeCell ref="B5155:F5155"/>
    <mergeCell ref="A5295:F5295"/>
    <mergeCell ref="A5286:F5286"/>
    <mergeCell ref="B5276:E5276"/>
    <mergeCell ref="B5277:F5277"/>
    <mergeCell ref="A5274:F5274"/>
    <mergeCell ref="B5275:F5275"/>
    <mergeCell ref="A5271:F5271"/>
    <mergeCell ref="A5262:F5262"/>
    <mergeCell ref="B5252:E5252"/>
    <mergeCell ref="B5253:F5253"/>
    <mergeCell ref="A5250:F5250"/>
    <mergeCell ref="B5251:F5251"/>
    <mergeCell ref="A5247:F5247"/>
    <mergeCell ref="A5238:F5238"/>
    <mergeCell ref="B5228:E5228"/>
    <mergeCell ref="B5229:F5229"/>
    <mergeCell ref="A5226:F5226"/>
    <mergeCell ref="B5227:F5227"/>
    <mergeCell ref="A5376:F5376"/>
    <mergeCell ref="A5372:F5372"/>
    <mergeCell ref="B5364:E5364"/>
    <mergeCell ref="B5365:F5365"/>
    <mergeCell ref="A5362:F5362"/>
    <mergeCell ref="B5363:F5363"/>
    <mergeCell ref="A5359:F5359"/>
    <mergeCell ref="A5355:F5355"/>
    <mergeCell ref="B5324:E5324"/>
    <mergeCell ref="B5325:F5325"/>
    <mergeCell ref="A5322:F5322"/>
    <mergeCell ref="B5323:F5323"/>
    <mergeCell ref="A5319:F5319"/>
    <mergeCell ref="A5310:F5310"/>
    <mergeCell ref="B5300:E5300"/>
    <mergeCell ref="B5301:F5301"/>
    <mergeCell ref="A5298:F5298"/>
    <mergeCell ref="B5299:F5299"/>
    <mergeCell ref="A5428:F5428"/>
    <mergeCell ref="A5424:F5424"/>
    <mergeCell ref="B5416:E5416"/>
    <mergeCell ref="B5417:F5417"/>
    <mergeCell ref="A5414:F5414"/>
    <mergeCell ref="B5415:F5415"/>
    <mergeCell ref="A5411:F5411"/>
    <mergeCell ref="A5407:F5407"/>
    <mergeCell ref="B5399:E5399"/>
    <mergeCell ref="B5400:F5400"/>
    <mergeCell ref="A5397:F5397"/>
    <mergeCell ref="B5398:F5398"/>
    <mergeCell ref="A5394:F5394"/>
    <mergeCell ref="A5389:F5389"/>
    <mergeCell ref="B5381:E5381"/>
    <mergeCell ref="B5382:F5382"/>
    <mergeCell ref="A5379:F5379"/>
    <mergeCell ref="B5380:F5380"/>
    <mergeCell ref="A5480:F5480"/>
    <mergeCell ref="A5476:F5476"/>
    <mergeCell ref="B5468:E5468"/>
    <mergeCell ref="B5469:F5469"/>
    <mergeCell ref="A5466:F5466"/>
    <mergeCell ref="B5467:F5467"/>
    <mergeCell ref="A5463:F5463"/>
    <mergeCell ref="A5459:F5459"/>
    <mergeCell ref="B5451:E5451"/>
    <mergeCell ref="B5452:F5452"/>
    <mergeCell ref="A5449:F5449"/>
    <mergeCell ref="B5450:F5450"/>
    <mergeCell ref="A5446:F5446"/>
    <mergeCell ref="A5441:F5441"/>
    <mergeCell ref="B5433:E5433"/>
    <mergeCell ref="B5434:F5434"/>
    <mergeCell ref="A5431:F5431"/>
    <mergeCell ref="B5432:F5432"/>
    <mergeCell ref="A5532:F5532"/>
    <mergeCell ref="A5529:F5529"/>
    <mergeCell ref="B5520:E5520"/>
    <mergeCell ref="B5521:F5521"/>
    <mergeCell ref="A5518:F5518"/>
    <mergeCell ref="B5519:F5519"/>
    <mergeCell ref="A5515:F5515"/>
    <mergeCell ref="A5510:F5510"/>
    <mergeCell ref="B5502:E5502"/>
    <mergeCell ref="B5503:F5503"/>
    <mergeCell ref="A5500:F5500"/>
    <mergeCell ref="B5501:F5501"/>
    <mergeCell ref="A5497:F5497"/>
    <mergeCell ref="A5493:F5493"/>
    <mergeCell ref="B5485:E5485"/>
    <mergeCell ref="B5486:F5486"/>
    <mergeCell ref="A5483:F5483"/>
    <mergeCell ref="B5484:F5484"/>
    <mergeCell ref="A5582:F5582"/>
    <mergeCell ref="A5579:F5579"/>
    <mergeCell ref="B5570:E5570"/>
    <mergeCell ref="B5571:F5571"/>
    <mergeCell ref="A5568:F5568"/>
    <mergeCell ref="B5569:F5569"/>
    <mergeCell ref="A5565:F5565"/>
    <mergeCell ref="A5562:F5562"/>
    <mergeCell ref="B5554:E5554"/>
    <mergeCell ref="B5555:F5555"/>
    <mergeCell ref="A5552:F5552"/>
    <mergeCell ref="B5553:F5553"/>
    <mergeCell ref="A5549:F5549"/>
    <mergeCell ref="A5545:F5545"/>
    <mergeCell ref="B5537:E5537"/>
    <mergeCell ref="B5538:F5538"/>
    <mergeCell ref="A5535:F5535"/>
    <mergeCell ref="B5536:F5536"/>
    <mergeCell ref="A5630:F5630"/>
    <mergeCell ref="A5627:F5627"/>
    <mergeCell ref="B5619:E5619"/>
    <mergeCell ref="B5620:F5620"/>
    <mergeCell ref="A5617:F5617"/>
    <mergeCell ref="B5618:F5618"/>
    <mergeCell ref="A5614:F5614"/>
    <mergeCell ref="A5611:F5611"/>
    <mergeCell ref="B5603:E5603"/>
    <mergeCell ref="B5604:F5604"/>
    <mergeCell ref="A5601:F5601"/>
    <mergeCell ref="B5602:F5602"/>
    <mergeCell ref="A5598:F5598"/>
    <mergeCell ref="A5595:F5595"/>
    <mergeCell ref="B5587:E5587"/>
    <mergeCell ref="B5588:F5588"/>
    <mergeCell ref="A5585:F5585"/>
    <mergeCell ref="B5586:F5586"/>
    <mergeCell ref="A5679:F5679"/>
    <mergeCell ref="A5676:F5676"/>
    <mergeCell ref="B5668:E5668"/>
    <mergeCell ref="B5669:F5669"/>
    <mergeCell ref="A5666:F5666"/>
    <mergeCell ref="B5667:F5667"/>
    <mergeCell ref="A5663:F5663"/>
    <mergeCell ref="A5660:F5660"/>
    <mergeCell ref="B5651:E5651"/>
    <mergeCell ref="B5652:F5652"/>
    <mergeCell ref="A5649:F5649"/>
    <mergeCell ref="B5650:F5650"/>
    <mergeCell ref="A5646:F5646"/>
    <mergeCell ref="A5643:F5643"/>
    <mergeCell ref="B5635:E5635"/>
    <mergeCell ref="B5636:F5636"/>
    <mergeCell ref="A5633:F5633"/>
    <mergeCell ref="B5634:F5634"/>
    <mergeCell ref="A5727:F5727"/>
    <mergeCell ref="A5724:F5724"/>
    <mergeCell ref="B5716:E5716"/>
    <mergeCell ref="B5717:F5717"/>
    <mergeCell ref="A5714:F5714"/>
    <mergeCell ref="B5715:F5715"/>
    <mergeCell ref="A5711:F5711"/>
    <mergeCell ref="A5708:F5708"/>
    <mergeCell ref="B5700:E5700"/>
    <mergeCell ref="B5701:F5701"/>
    <mergeCell ref="A5698:F5698"/>
    <mergeCell ref="B5699:F5699"/>
    <mergeCell ref="A5695:F5695"/>
    <mergeCell ref="A5692:F5692"/>
    <mergeCell ref="B5684:E5684"/>
    <mergeCell ref="B5685:F5685"/>
    <mergeCell ref="A5682:F5682"/>
    <mergeCell ref="B5683:F5683"/>
    <mergeCell ref="A5775:F5775"/>
    <mergeCell ref="A5772:F5772"/>
    <mergeCell ref="B5764:E5764"/>
    <mergeCell ref="B5765:F5765"/>
    <mergeCell ref="A5762:F5762"/>
    <mergeCell ref="B5763:F5763"/>
    <mergeCell ref="A5759:F5759"/>
    <mergeCell ref="A5756:F5756"/>
    <mergeCell ref="B5748:E5748"/>
    <mergeCell ref="B5749:F5749"/>
    <mergeCell ref="A5746:F5746"/>
    <mergeCell ref="B5747:F5747"/>
    <mergeCell ref="A5743:F5743"/>
    <mergeCell ref="A5740:F5740"/>
    <mergeCell ref="B5732:E5732"/>
    <mergeCell ref="B5733:F5733"/>
    <mergeCell ref="A5730:F5730"/>
    <mergeCell ref="B5731:F5731"/>
    <mergeCell ref="A5824:F5824"/>
    <mergeCell ref="A5821:F5821"/>
    <mergeCell ref="B5812:E5812"/>
    <mergeCell ref="B5813:F5813"/>
    <mergeCell ref="A5810:F5810"/>
    <mergeCell ref="B5811:F5811"/>
    <mergeCell ref="A5807:F5807"/>
    <mergeCell ref="A5804:F5804"/>
    <mergeCell ref="B5796:E5796"/>
    <mergeCell ref="B5797:F5797"/>
    <mergeCell ref="A5794:F5794"/>
    <mergeCell ref="B5795:F5795"/>
    <mergeCell ref="A5791:F5791"/>
    <mergeCell ref="A5788:F5788"/>
    <mergeCell ref="B5780:E5780"/>
    <mergeCell ref="B5781:F5781"/>
    <mergeCell ref="A5778:F5778"/>
    <mergeCell ref="B5779:F5779"/>
    <mergeCell ref="A5873:F5873"/>
    <mergeCell ref="A5870:F5870"/>
    <mergeCell ref="B5861:E5861"/>
    <mergeCell ref="B5862:F5862"/>
    <mergeCell ref="A5859:F5859"/>
    <mergeCell ref="B5860:F5860"/>
    <mergeCell ref="A5856:F5856"/>
    <mergeCell ref="A5853:F5853"/>
    <mergeCell ref="B5845:E5845"/>
    <mergeCell ref="B5846:F5846"/>
    <mergeCell ref="A5843:F5843"/>
    <mergeCell ref="B5844:F5844"/>
    <mergeCell ref="A5840:F5840"/>
    <mergeCell ref="A5837:F5837"/>
    <mergeCell ref="B5829:E5829"/>
    <mergeCell ref="B5830:F5830"/>
    <mergeCell ref="A5827:F5827"/>
    <mergeCell ref="B5828:F5828"/>
    <mergeCell ref="A5921:F5921"/>
    <mergeCell ref="A5918:F5918"/>
    <mergeCell ref="B5910:E5910"/>
    <mergeCell ref="B5911:F5911"/>
    <mergeCell ref="A5908:F5908"/>
    <mergeCell ref="B5909:F5909"/>
    <mergeCell ref="A5905:F5905"/>
    <mergeCell ref="A5902:F5902"/>
    <mergeCell ref="B5894:E5894"/>
    <mergeCell ref="B5895:F5895"/>
    <mergeCell ref="A5892:F5892"/>
    <mergeCell ref="B5893:F5893"/>
    <mergeCell ref="A5889:F5889"/>
    <mergeCell ref="A5886:F5886"/>
    <mergeCell ref="B5878:E5878"/>
    <mergeCell ref="B5879:F5879"/>
    <mergeCell ref="A5876:F5876"/>
    <mergeCell ref="B5877:F5877"/>
    <mergeCell ref="A5971:F5971"/>
    <mergeCell ref="A5968:F5968"/>
    <mergeCell ref="B5958:E5958"/>
    <mergeCell ref="B5959:F5959"/>
    <mergeCell ref="A5956:F5956"/>
    <mergeCell ref="B5957:F5957"/>
    <mergeCell ref="A5953:F5953"/>
    <mergeCell ref="A5950:F5950"/>
    <mergeCell ref="B5942:E5942"/>
    <mergeCell ref="B5943:F5943"/>
    <mergeCell ref="A5940:F5940"/>
    <mergeCell ref="B5941:F5941"/>
    <mergeCell ref="A5937:F5937"/>
    <mergeCell ref="A5934:F5934"/>
    <mergeCell ref="B5926:E5926"/>
    <mergeCell ref="B5927:F5927"/>
    <mergeCell ref="A5924:F5924"/>
    <mergeCell ref="B5925:F5925"/>
    <mergeCell ref="A6019:F6019"/>
    <mergeCell ref="A6016:F6016"/>
    <mergeCell ref="B6008:E6008"/>
    <mergeCell ref="B6009:F6009"/>
    <mergeCell ref="A6006:F6006"/>
    <mergeCell ref="B6007:F6007"/>
    <mergeCell ref="A6004:F6004"/>
    <mergeCell ref="A6001:F6001"/>
    <mergeCell ref="B5992:E5992"/>
    <mergeCell ref="B5993:F5993"/>
    <mergeCell ref="A5990:F5990"/>
    <mergeCell ref="B5991:F5991"/>
    <mergeCell ref="A5987:F5987"/>
    <mergeCell ref="A5984:F5984"/>
    <mergeCell ref="B5976:E5976"/>
    <mergeCell ref="B5977:F5977"/>
    <mergeCell ref="A5974:F5974"/>
    <mergeCell ref="B5975:F5975"/>
    <mergeCell ref="A6070:F6070"/>
    <mergeCell ref="A6066:F6066"/>
    <mergeCell ref="B6058:E6058"/>
    <mergeCell ref="B6059:F6059"/>
    <mergeCell ref="A6056:F6056"/>
    <mergeCell ref="B6057:F6057"/>
    <mergeCell ref="A6053:F6053"/>
    <mergeCell ref="A6049:F6049"/>
    <mergeCell ref="B6041:E6041"/>
    <mergeCell ref="B6042:F6042"/>
    <mergeCell ref="A6039:F6039"/>
    <mergeCell ref="B6040:F6040"/>
    <mergeCell ref="A6036:F6036"/>
    <mergeCell ref="A6032:F6032"/>
    <mergeCell ref="B6023:E6023"/>
    <mergeCell ref="B6024:F6024"/>
    <mergeCell ref="A6021:F6021"/>
    <mergeCell ref="B6022:F6022"/>
    <mergeCell ref="A6121:F6121"/>
    <mergeCell ref="A6119:F6119"/>
    <mergeCell ref="B6109:E6109"/>
    <mergeCell ref="B6110:F6110"/>
    <mergeCell ref="A6107:F6107"/>
    <mergeCell ref="B6108:F6108"/>
    <mergeCell ref="A6104:F6104"/>
    <mergeCell ref="A6100:F6100"/>
    <mergeCell ref="B6092:E6092"/>
    <mergeCell ref="B6093:F6093"/>
    <mergeCell ref="A6090:F6090"/>
    <mergeCell ref="B6091:F6091"/>
    <mergeCell ref="A6087:F6087"/>
    <mergeCell ref="A6083:F6083"/>
    <mergeCell ref="B6075:E6075"/>
    <mergeCell ref="B6076:F6076"/>
    <mergeCell ref="A6073:F6073"/>
    <mergeCell ref="B6074:F6074"/>
    <mergeCell ref="A6166:F6166"/>
    <mergeCell ref="A6163:F6163"/>
    <mergeCell ref="B6155:E6155"/>
    <mergeCell ref="B6156:F6156"/>
    <mergeCell ref="A6153:F6153"/>
    <mergeCell ref="B6154:F6154"/>
    <mergeCell ref="A6151:F6151"/>
    <mergeCell ref="A6149:F6149"/>
    <mergeCell ref="B6140:E6140"/>
    <mergeCell ref="B6141:F6141"/>
    <mergeCell ref="A6138:F6138"/>
    <mergeCell ref="B6139:F6139"/>
    <mergeCell ref="A6136:F6136"/>
    <mergeCell ref="A6134:F6134"/>
    <mergeCell ref="B6125:E6125"/>
    <mergeCell ref="B6126:F6126"/>
    <mergeCell ref="A6123:F6123"/>
    <mergeCell ref="B6124:F6124"/>
    <mergeCell ref="A6216:F6216"/>
    <mergeCell ref="A6213:F6213"/>
    <mergeCell ref="B6204:E6204"/>
    <mergeCell ref="B6205:F6205"/>
    <mergeCell ref="A6202:F6202"/>
    <mergeCell ref="B6203:F6203"/>
    <mergeCell ref="A6199:F6199"/>
    <mergeCell ref="A6196:F6196"/>
    <mergeCell ref="B6188:E6188"/>
    <mergeCell ref="B6189:F6189"/>
    <mergeCell ref="A6186:F6186"/>
    <mergeCell ref="B6187:F6187"/>
    <mergeCell ref="A6183:F6183"/>
    <mergeCell ref="A6180:F6180"/>
    <mergeCell ref="B6171:E6171"/>
    <mergeCell ref="B6172:F6172"/>
    <mergeCell ref="A6169:F6169"/>
    <mergeCell ref="B6170:F6170"/>
    <mergeCell ref="A6268:F6268"/>
    <mergeCell ref="A6264:F6264"/>
    <mergeCell ref="B6256:E6256"/>
    <mergeCell ref="B6257:F6257"/>
    <mergeCell ref="A6254:F6254"/>
    <mergeCell ref="B6255:F6255"/>
    <mergeCell ref="A6251:F6251"/>
    <mergeCell ref="A6247:F6247"/>
    <mergeCell ref="B6238:E6238"/>
    <mergeCell ref="B6239:F6239"/>
    <mergeCell ref="A6236:F6236"/>
    <mergeCell ref="B6237:F6237"/>
    <mergeCell ref="A6233:F6233"/>
    <mergeCell ref="A6230:F6230"/>
    <mergeCell ref="B6221:E6221"/>
    <mergeCell ref="B6222:F6222"/>
    <mergeCell ref="A6219:F6219"/>
    <mergeCell ref="B6220:F6220"/>
    <mergeCell ref="A6316:F6316"/>
    <mergeCell ref="B6307:E6307"/>
    <mergeCell ref="B6308:F6308"/>
    <mergeCell ref="A6305:F6305"/>
    <mergeCell ref="B6306:F6306"/>
    <mergeCell ref="A6302:F6302"/>
    <mergeCell ref="A6299:F6299"/>
    <mergeCell ref="B6290:E6290"/>
    <mergeCell ref="B6291:F6291"/>
    <mergeCell ref="A6288:F6288"/>
    <mergeCell ref="B6289:F6289"/>
    <mergeCell ref="A6285:F6285"/>
    <mergeCell ref="A6281:F6281"/>
    <mergeCell ref="B6273:E6273"/>
    <mergeCell ref="B6274:F6274"/>
    <mergeCell ref="A6271:F6271"/>
    <mergeCell ref="B6272:F6272"/>
    <mergeCell ref="A6358:F6358"/>
    <mergeCell ref="B6359:F6359"/>
    <mergeCell ref="B6360:E6360"/>
    <mergeCell ref="B6361:F6361"/>
    <mergeCell ref="A6349:F6349"/>
    <mergeCell ref="A6355:F6355"/>
    <mergeCell ref="B6338:E6338"/>
    <mergeCell ref="B6339:F6339"/>
    <mergeCell ref="A6336:F6336"/>
    <mergeCell ref="B6337:F6337"/>
    <mergeCell ref="A6334:F6334"/>
    <mergeCell ref="A6332:F6332"/>
    <mergeCell ref="B6324:E6324"/>
    <mergeCell ref="B6325:F6325"/>
    <mergeCell ref="A6322:F6322"/>
    <mergeCell ref="B6323:F6323"/>
    <mergeCell ref="A6319:F6319"/>
    <mergeCell ref="A1052:F1052"/>
    <mergeCell ref="A1054:F1054"/>
    <mergeCell ref="B1055:F1055"/>
    <mergeCell ref="B1056:E1056"/>
    <mergeCell ref="B1057:F1057"/>
    <mergeCell ref="A1517:F1517"/>
    <mergeCell ref="A1528:F1528"/>
    <mergeCell ref="A1530:F1530"/>
    <mergeCell ref="B1531:F1531"/>
    <mergeCell ref="B1532:E1532"/>
    <mergeCell ref="B1533:F1533"/>
    <mergeCell ref="A1503:F1503"/>
    <mergeCell ref="A1492:F1492"/>
    <mergeCell ref="B1482:E1482"/>
    <mergeCell ref="B1483:F1483"/>
    <mergeCell ref="A1480:F1480"/>
    <mergeCell ref="B1481:F1481"/>
    <mergeCell ref="A1478:F1478"/>
    <mergeCell ref="A1467:F1467"/>
    <mergeCell ref="B1457:E1457"/>
    <mergeCell ref="B1458:F1458"/>
    <mergeCell ref="A1455:F1455"/>
    <mergeCell ref="B1456:F1456"/>
    <mergeCell ref="A1453:F1453"/>
    <mergeCell ref="A1442:F1442"/>
    <mergeCell ref="B1432:E1432"/>
    <mergeCell ref="B1433:F1433"/>
    <mergeCell ref="A1430:F1430"/>
    <mergeCell ref="B1431:F1431"/>
    <mergeCell ref="A1428:F1428"/>
    <mergeCell ref="A1417:F1417"/>
    <mergeCell ref="B1407:E1407"/>
    <mergeCell ref="A1605:F1605"/>
    <mergeCell ref="B1606:F1606"/>
    <mergeCell ref="B1607:E1607"/>
    <mergeCell ref="B1608:F1608"/>
    <mergeCell ref="A2579:F2579"/>
    <mergeCell ref="A2587:F2587"/>
    <mergeCell ref="A2589:F2589"/>
    <mergeCell ref="B2590:F2590"/>
    <mergeCell ref="B2591:E2591"/>
    <mergeCell ref="B2592:F2592"/>
    <mergeCell ref="A2600:F2600"/>
    <mergeCell ref="A2608:F2608"/>
    <mergeCell ref="A2610:F2610"/>
    <mergeCell ref="B2611:F2611"/>
    <mergeCell ref="B2612:E2612"/>
    <mergeCell ref="B2613:F2613"/>
    <mergeCell ref="A2622:F2622"/>
    <mergeCell ref="A2519:F2519"/>
    <mergeCell ref="B2520:F2520"/>
    <mergeCell ref="A2516:F2516"/>
    <mergeCell ref="A2505:F2505"/>
    <mergeCell ref="B2495:E2495"/>
    <mergeCell ref="B2496:F2496"/>
    <mergeCell ref="A2493:F2493"/>
    <mergeCell ref="B2494:F2494"/>
    <mergeCell ref="A2490:F2490"/>
    <mergeCell ref="A2479:F2479"/>
    <mergeCell ref="B2469:E2469"/>
    <mergeCell ref="B2470:F2470"/>
    <mergeCell ref="A2467:F2467"/>
    <mergeCell ref="B2468:F2468"/>
    <mergeCell ref="A2464:F2464"/>
    <mergeCell ref="A2750:F2750"/>
    <mergeCell ref="B2751:F2751"/>
    <mergeCell ref="B2752:E2752"/>
    <mergeCell ref="B2753:F2753"/>
    <mergeCell ref="A2762:F2762"/>
    <mergeCell ref="A2770:F2770"/>
    <mergeCell ref="A2772:F2772"/>
    <mergeCell ref="B2773:F2773"/>
    <mergeCell ref="B2774:E2774"/>
    <mergeCell ref="B2775:F2775"/>
    <mergeCell ref="B2675:F2675"/>
    <mergeCell ref="B2676:E2676"/>
    <mergeCell ref="B2677:F2677"/>
    <mergeCell ref="A2687:F2687"/>
    <mergeCell ref="A2698:F2698"/>
    <mergeCell ref="A2700:F2700"/>
    <mergeCell ref="B2701:F2701"/>
    <mergeCell ref="B2702:E2702"/>
    <mergeCell ref="B2703:F2703"/>
    <mergeCell ref="A2712:F2712"/>
    <mergeCell ref="A2723:F2723"/>
    <mergeCell ref="A2725:F2725"/>
    <mergeCell ref="B2726:F2726"/>
    <mergeCell ref="B2727:E2727"/>
    <mergeCell ref="B2728:F2728"/>
    <mergeCell ref="A2737:F2737"/>
    <mergeCell ref="A2748:F2748"/>
    <mergeCell ref="A2863:F2863"/>
    <mergeCell ref="B2866:F2866"/>
    <mergeCell ref="A2783:F2783"/>
    <mergeCell ref="A2791:F2791"/>
    <mergeCell ref="A2793:F2793"/>
    <mergeCell ref="B2794:F2794"/>
    <mergeCell ref="B2795:E2795"/>
    <mergeCell ref="B2796:F2796"/>
    <mergeCell ref="A2804:F2804"/>
    <mergeCell ref="A2812:F2812"/>
    <mergeCell ref="A2814:F2814"/>
    <mergeCell ref="B2815:F2815"/>
    <mergeCell ref="B2816:E2816"/>
    <mergeCell ref="B2817:F2817"/>
    <mergeCell ref="A2827:F2827"/>
    <mergeCell ref="A2838:F2838"/>
    <mergeCell ref="A2840:F2840"/>
    <mergeCell ref="B2841:F2841"/>
    <mergeCell ref="B2842:E2842"/>
    <mergeCell ref="B2843:F2843"/>
    <mergeCell ref="A2852:F2852"/>
    <mergeCell ref="A2865:F2865"/>
    <mergeCell ref="B2867:E2867"/>
    <mergeCell ref="B2868:F2868"/>
    <mergeCell ref="A2877:F2877"/>
    <mergeCell ref="A2888:F2888"/>
    <mergeCell ref="A2890:F2890"/>
    <mergeCell ref="B2891:F2891"/>
    <mergeCell ref="B2892:E2892"/>
    <mergeCell ref="B2893:F2893"/>
    <mergeCell ref="A2903:F2903"/>
    <mergeCell ref="A2914:F2914"/>
    <mergeCell ref="A2917:F2917"/>
    <mergeCell ref="B2918:F2918"/>
    <mergeCell ref="B2919:E2919"/>
    <mergeCell ref="B2920:F2920"/>
    <mergeCell ref="A2929:F2929"/>
    <mergeCell ref="A2940:F2940"/>
    <mergeCell ref="A2943:F2943"/>
    <mergeCell ref="B2944:F2944"/>
    <mergeCell ref="B2945:E2945"/>
    <mergeCell ref="B2946:F2946"/>
    <mergeCell ref="A2955:F2955"/>
    <mergeCell ref="A2966:F2966"/>
    <mergeCell ref="A2969:F2969"/>
    <mergeCell ref="B2970:F2970"/>
    <mergeCell ref="B2971:E2971"/>
    <mergeCell ref="B2972:F2972"/>
    <mergeCell ref="A2981:F2981"/>
    <mergeCell ref="A2992:F2992"/>
    <mergeCell ref="A2995:F2995"/>
    <mergeCell ref="B2996:F2996"/>
    <mergeCell ref="B2997:E2997"/>
    <mergeCell ref="B2998:F2998"/>
    <mergeCell ref="A3007:F3007"/>
    <mergeCell ref="A3018:F3018"/>
    <mergeCell ref="A3021:F3021"/>
    <mergeCell ref="B3022:F3022"/>
    <mergeCell ref="B3023:E3023"/>
    <mergeCell ref="B3024:F3024"/>
    <mergeCell ref="A3033:F3033"/>
    <mergeCell ref="A3044:F3044"/>
    <mergeCell ref="A3047:F3047"/>
    <mergeCell ref="B3048:F3048"/>
    <mergeCell ref="B3049:E3049"/>
    <mergeCell ref="B3050:F3050"/>
    <mergeCell ref="A3059:F3059"/>
    <mergeCell ref="A3070:F3070"/>
    <mergeCell ref="A3073:F3073"/>
    <mergeCell ref="B3074:F3074"/>
    <mergeCell ref="B3075:E3075"/>
    <mergeCell ref="B3076:F3076"/>
    <mergeCell ref="A3085:F3085"/>
    <mergeCell ref="A3096:F3096"/>
    <mergeCell ref="A3099:F3099"/>
    <mergeCell ref="B3100:F3100"/>
    <mergeCell ref="B3101:E3101"/>
    <mergeCell ref="B3102:F3102"/>
    <mergeCell ref="A3112:F3112"/>
    <mergeCell ref="A3123:F3123"/>
    <mergeCell ref="A3126:F3126"/>
    <mergeCell ref="B3127:F3127"/>
    <mergeCell ref="B3128:E3128"/>
    <mergeCell ref="B3129:F3129"/>
    <mergeCell ref="A3138:F3138"/>
    <mergeCell ref="A3149:F3149"/>
    <mergeCell ref="A3152:F3152"/>
    <mergeCell ref="B3153:F3153"/>
    <mergeCell ref="B3154:E3154"/>
    <mergeCell ref="B3155:F3155"/>
    <mergeCell ref="A3164:F3164"/>
    <mergeCell ref="A3175:F3175"/>
    <mergeCell ref="A3178:F3178"/>
    <mergeCell ref="B3179:F3179"/>
    <mergeCell ref="B3180:E3180"/>
    <mergeCell ref="B3181:F3181"/>
    <mergeCell ref="A3190:F3190"/>
    <mergeCell ref="A3201:F3201"/>
    <mergeCell ref="A3204:F3204"/>
    <mergeCell ref="B3205:F3205"/>
    <mergeCell ref="B3206:E3206"/>
    <mergeCell ref="B3207:F3207"/>
    <mergeCell ref="A3216:F3216"/>
    <mergeCell ref="A3227:F3227"/>
    <mergeCell ref="A3230:F3230"/>
    <mergeCell ref="B3231:F3231"/>
    <mergeCell ref="B3232:E3232"/>
    <mergeCell ref="B3233:F3233"/>
    <mergeCell ref="A3242:F3242"/>
    <mergeCell ref="A3253:F3253"/>
    <mergeCell ref="A3256:F3256"/>
    <mergeCell ref="B3257:F3257"/>
    <mergeCell ref="B3258:E3258"/>
    <mergeCell ref="B3259:F3259"/>
    <mergeCell ref="A3268:F3268"/>
    <mergeCell ref="A3279:F3279"/>
    <mergeCell ref="A3282:F3282"/>
    <mergeCell ref="B3283:F3283"/>
    <mergeCell ref="B3284:E3284"/>
    <mergeCell ref="B3285:F3285"/>
    <mergeCell ref="A3294:F3294"/>
    <mergeCell ref="A3305:F3305"/>
    <mergeCell ref="A3308:F3308"/>
    <mergeCell ref="B3309:F3309"/>
    <mergeCell ref="B3310:E3310"/>
    <mergeCell ref="B3311:F3311"/>
    <mergeCell ref="A3616:F3616"/>
    <mergeCell ref="A3624:F3624"/>
    <mergeCell ref="A3626:F3626"/>
    <mergeCell ref="B3627:F3627"/>
    <mergeCell ref="B3628:E3628"/>
    <mergeCell ref="B3629:F3629"/>
    <mergeCell ref="A3645:F3645"/>
    <mergeCell ref="A3647:F3647"/>
    <mergeCell ref="B3648:F3648"/>
    <mergeCell ref="B3649:E3649"/>
    <mergeCell ref="B3650:F3650"/>
    <mergeCell ref="A3658:F3658"/>
    <mergeCell ref="A3666:F3666"/>
    <mergeCell ref="A3668:F3668"/>
    <mergeCell ref="B3669:F3669"/>
    <mergeCell ref="A3582:F3582"/>
    <mergeCell ref="A3574:F3574"/>
    <mergeCell ref="B3565:E3565"/>
    <mergeCell ref="B3566:F3566"/>
    <mergeCell ref="A3563:F3563"/>
    <mergeCell ref="B3564:F3564"/>
    <mergeCell ref="A3561:F3561"/>
    <mergeCell ref="A3553:F3553"/>
    <mergeCell ref="B3544:E3544"/>
    <mergeCell ref="B3545:F3545"/>
    <mergeCell ref="A3542:F3542"/>
    <mergeCell ref="B3543:F3543"/>
    <mergeCell ref="A3540:F3540"/>
    <mergeCell ref="A3532:F3532"/>
    <mergeCell ref="B3523:E3523"/>
    <mergeCell ref="A4404:F4404"/>
    <mergeCell ref="B4405:F4405"/>
    <mergeCell ref="B4406:E4406"/>
    <mergeCell ref="B4407:F4407"/>
    <mergeCell ref="A4815:F4815"/>
    <mergeCell ref="A4781:F4781"/>
    <mergeCell ref="A4773:F4773"/>
    <mergeCell ref="B4764:E4764"/>
    <mergeCell ref="B4765:F4765"/>
    <mergeCell ref="A4762:F4762"/>
    <mergeCell ref="B4763:F4763"/>
    <mergeCell ref="A4760:F4760"/>
    <mergeCell ref="A4752:F4752"/>
    <mergeCell ref="B4743:E4743"/>
    <mergeCell ref="B4744:F4744"/>
    <mergeCell ref="A4741:F4741"/>
    <mergeCell ref="B4742:F4742"/>
    <mergeCell ref="A4739:F4739"/>
    <mergeCell ref="A4731:F4731"/>
    <mergeCell ref="B4722:E4722"/>
    <mergeCell ref="B4723:F4723"/>
    <mergeCell ref="A4720:F4720"/>
    <mergeCell ref="B4721:F4721"/>
    <mergeCell ref="A4718:F4718"/>
    <mergeCell ref="A4710:F4710"/>
    <mergeCell ref="B4701:E4701"/>
    <mergeCell ref="B4702:F4702"/>
    <mergeCell ref="A4699:F4699"/>
    <mergeCell ref="B4700:F4700"/>
    <mergeCell ref="A4697:F4697"/>
    <mergeCell ref="A4689:F4689"/>
    <mergeCell ref="B4680:E4680"/>
  </mergeCells>
  <pageMargins left="0.7" right="0.7" top="0.75" bottom="0.75" header="0.3" footer="0.3"/>
  <pageSetup paperSize="9" orientation="portrait" r:id="rId1"/>
  <rowBreaks count="1" manualBreakCount="1">
    <brk id="6328" max="6" man="1"/>
  </rowBreaks>
  <drawing r:id="rId2"/>
</worksheet>
</file>

<file path=xl/worksheets/sheet4.xml><?xml version="1.0" encoding="utf-8"?>
<worksheet xmlns="http://schemas.openxmlformats.org/spreadsheetml/2006/main" xmlns:r="http://schemas.openxmlformats.org/officeDocument/2006/relationships">
  <sheetPr codeName="Sheet4"/>
  <dimension ref="A1:K357"/>
  <sheetViews>
    <sheetView view="pageBreakPreview" zoomScale="60" workbookViewId="0">
      <selection activeCell="B355" sqref="B355:F355"/>
    </sheetView>
  </sheetViews>
  <sheetFormatPr defaultRowHeight="15"/>
  <cols>
    <col min="2" max="2" width="27.5703125" bestFit="1" customWidth="1"/>
    <col min="6" max="6" width="14" customWidth="1"/>
    <col min="7" max="7" width="17.28515625" customWidth="1"/>
  </cols>
  <sheetData>
    <row r="1" spans="1:11">
      <c r="A1" t="s">
        <v>888</v>
      </c>
    </row>
    <row r="2" spans="1:11" ht="30">
      <c r="A2" s="79" t="s">
        <v>0</v>
      </c>
      <c r="B2" s="79" t="s">
        <v>1</v>
      </c>
      <c r="C2" s="79" t="s">
        <v>207</v>
      </c>
      <c r="D2" s="79" t="s">
        <v>3</v>
      </c>
      <c r="E2" s="79" t="s">
        <v>2</v>
      </c>
      <c r="F2" s="79" t="s">
        <v>417</v>
      </c>
      <c r="G2" s="79" t="s">
        <v>418</v>
      </c>
    </row>
    <row r="3" spans="1:11">
      <c r="A3" s="8" t="s">
        <v>4</v>
      </c>
      <c r="B3" s="222" t="s">
        <v>5</v>
      </c>
      <c r="C3" s="222"/>
      <c r="D3" s="8"/>
      <c r="E3" s="8"/>
      <c r="F3" s="222"/>
      <c r="G3" s="222"/>
    </row>
    <row r="4" spans="1:11">
      <c r="A4" s="8">
        <v>1</v>
      </c>
      <c r="B4" s="222" t="s">
        <v>48</v>
      </c>
      <c r="C4" s="222" t="s">
        <v>49</v>
      </c>
      <c r="D4" s="8" t="s">
        <v>685</v>
      </c>
      <c r="E4" s="8" t="s">
        <v>686</v>
      </c>
      <c r="F4" s="86">
        <f>VLOOKUP(B4,'HSD UPAH,BAHAN,ALAT'!$C$6:F482,4,FALSE)</f>
        <v>100000</v>
      </c>
      <c r="G4" s="87">
        <f t="shared" ref="G4:G5" si="0">E4*F4</f>
        <v>2560</v>
      </c>
    </row>
    <row r="5" spans="1:11">
      <c r="A5" s="8">
        <v>2</v>
      </c>
      <c r="B5" s="222" t="s">
        <v>13</v>
      </c>
      <c r="C5" s="222" t="s">
        <v>14</v>
      </c>
      <c r="D5" s="8" t="s">
        <v>685</v>
      </c>
      <c r="E5" s="8" t="s">
        <v>687</v>
      </c>
      <c r="F5" s="86">
        <f>VLOOKUP(B5,'HSD UPAH,BAHAN,ALAT'!$C$6:F483,4,FALSE)</f>
        <v>100000</v>
      </c>
      <c r="G5" s="87">
        <f t="shared" si="0"/>
        <v>260</v>
      </c>
    </row>
    <row r="6" spans="1:11">
      <c r="A6" s="261" t="s">
        <v>420</v>
      </c>
      <c r="B6" s="261"/>
      <c r="C6" s="261"/>
      <c r="D6" s="261"/>
      <c r="E6" s="261"/>
      <c r="F6" s="261"/>
      <c r="G6" s="85">
        <f>SUM(G4:G5)</f>
        <v>2820</v>
      </c>
    </row>
    <row r="7" spans="1:11">
      <c r="A7" s="8" t="s">
        <v>16</v>
      </c>
      <c r="B7" s="222" t="s">
        <v>17</v>
      </c>
      <c r="C7" s="222"/>
      <c r="D7" s="8"/>
      <c r="E7" s="8"/>
      <c r="F7" s="222"/>
      <c r="G7" s="222"/>
    </row>
    <row r="8" spans="1:11" ht="75" customHeight="1">
      <c r="A8" s="8">
        <v>1</v>
      </c>
      <c r="B8" s="223" t="s">
        <v>728</v>
      </c>
      <c r="C8" s="222"/>
      <c r="D8" s="8" t="s">
        <v>688</v>
      </c>
      <c r="E8" s="8" t="s">
        <v>105</v>
      </c>
      <c r="F8" s="86">
        <f>VLOOKUP(B8,'HSD UPAH,BAHAN,ALAT'!$C$6:F486,4,FALSE)</f>
        <v>10000</v>
      </c>
      <c r="G8" s="87">
        <f t="shared" ref="G8" si="1">E8*F8</f>
        <v>10000</v>
      </c>
    </row>
    <row r="9" spans="1:11">
      <c r="A9" s="261" t="s">
        <v>421</v>
      </c>
      <c r="B9" s="261"/>
      <c r="C9" s="261"/>
      <c r="D9" s="261"/>
      <c r="E9" s="261"/>
      <c r="F9" s="261"/>
      <c r="G9" s="85">
        <f>SUM(G8)</f>
        <v>10000</v>
      </c>
      <c r="K9" t="s">
        <v>874</v>
      </c>
    </row>
    <row r="10" spans="1:11">
      <c r="A10" s="8" t="s">
        <v>36</v>
      </c>
      <c r="B10" s="222" t="s">
        <v>37</v>
      </c>
      <c r="C10" s="222"/>
      <c r="D10" s="8"/>
      <c r="E10" s="8"/>
      <c r="F10" s="222"/>
      <c r="G10" s="222"/>
    </row>
    <row r="11" spans="1:11">
      <c r="A11" s="8">
        <v>1</v>
      </c>
      <c r="B11" s="145" t="s">
        <v>689</v>
      </c>
      <c r="C11" s="222"/>
      <c r="D11" s="8" t="s">
        <v>690</v>
      </c>
      <c r="E11" s="8" t="s">
        <v>691</v>
      </c>
      <c r="F11" s="86">
        <f>VLOOKUP(B11,'HSD UPAH,BAHAN,ALAT'!$C$6:F489,4,FALSE)</f>
        <v>25000</v>
      </c>
      <c r="G11" s="87">
        <f t="shared" ref="G11" si="2">E11*F11</f>
        <v>632.5</v>
      </c>
    </row>
    <row r="12" spans="1:11">
      <c r="A12" s="268" t="s">
        <v>419</v>
      </c>
      <c r="B12" s="269"/>
      <c r="C12" s="269"/>
      <c r="D12" s="269"/>
      <c r="E12" s="269"/>
      <c r="F12" s="270"/>
      <c r="G12" s="224">
        <f>SUM(G11)</f>
        <v>632.5</v>
      </c>
    </row>
    <row r="13" spans="1:11">
      <c r="A13" s="8" t="s">
        <v>38</v>
      </c>
      <c r="B13" s="271" t="s">
        <v>39</v>
      </c>
      <c r="C13" s="272"/>
      <c r="D13" s="272"/>
      <c r="E13" s="272"/>
      <c r="F13" s="273"/>
      <c r="G13" s="225">
        <f>SUM(G4:G12)/2</f>
        <v>13452.5</v>
      </c>
    </row>
    <row r="14" spans="1:11">
      <c r="A14" s="8" t="s">
        <v>40</v>
      </c>
      <c r="B14" s="271" t="s">
        <v>180</v>
      </c>
      <c r="C14" s="272"/>
      <c r="D14" s="272"/>
      <c r="E14" s="273"/>
      <c r="F14" s="226">
        <v>0.1</v>
      </c>
      <c r="G14" s="224">
        <f>G13*F14</f>
        <v>1345.25</v>
      </c>
    </row>
    <row r="15" spans="1:11">
      <c r="A15" s="100" t="s">
        <v>41</v>
      </c>
      <c r="B15" s="274" t="s">
        <v>42</v>
      </c>
      <c r="C15" s="275"/>
      <c r="D15" s="275"/>
      <c r="E15" s="275"/>
      <c r="F15" s="276"/>
      <c r="G15" s="232">
        <f>G13+G14</f>
        <v>14797.75</v>
      </c>
    </row>
    <row r="16" spans="1:11">
      <c r="A16" s="233"/>
      <c r="B16" s="234"/>
      <c r="C16" s="234"/>
      <c r="D16" s="234"/>
      <c r="E16" s="234"/>
      <c r="F16" s="234"/>
      <c r="G16" s="235"/>
    </row>
    <row r="17" spans="1:7">
      <c r="A17" s="11" t="s">
        <v>889</v>
      </c>
      <c r="B17" s="227"/>
      <c r="C17" s="227"/>
      <c r="D17" s="227"/>
      <c r="E17" s="227"/>
      <c r="F17" s="227"/>
      <c r="G17" s="228"/>
    </row>
    <row r="18" spans="1:7" ht="30">
      <c r="A18" s="79" t="s">
        <v>0</v>
      </c>
      <c r="B18" s="79" t="s">
        <v>1</v>
      </c>
      <c r="C18" s="79" t="s">
        <v>207</v>
      </c>
      <c r="D18" s="79" t="s">
        <v>3</v>
      </c>
      <c r="E18" s="79" t="s">
        <v>2</v>
      </c>
      <c r="F18" s="79" t="s">
        <v>417</v>
      </c>
      <c r="G18" s="79" t="s">
        <v>418</v>
      </c>
    </row>
    <row r="19" spans="1:7">
      <c r="A19" s="8" t="s">
        <v>4</v>
      </c>
      <c r="B19" s="222" t="s">
        <v>5</v>
      </c>
      <c r="C19" s="222"/>
      <c r="D19" s="8"/>
      <c r="E19" s="8"/>
      <c r="F19" s="222"/>
      <c r="G19" s="222"/>
    </row>
    <row r="20" spans="1:7">
      <c r="A20" s="8">
        <v>1</v>
      </c>
      <c r="B20" s="222" t="s">
        <v>48</v>
      </c>
      <c r="C20" s="222" t="s">
        <v>49</v>
      </c>
      <c r="D20" s="8" t="s">
        <v>685</v>
      </c>
      <c r="E20" s="8" t="s">
        <v>692</v>
      </c>
      <c r="F20" s="86">
        <f>VLOOKUP(B20,'HSD UPAH,BAHAN,ALAT'!$C$6:F498,4,FALSE)</f>
        <v>100000</v>
      </c>
      <c r="G20" s="87">
        <f t="shared" ref="G20:G21" si="3">E20*F20</f>
        <v>2990</v>
      </c>
    </row>
    <row r="21" spans="1:7">
      <c r="A21" s="8">
        <v>2</v>
      </c>
      <c r="B21" s="222" t="s">
        <v>13</v>
      </c>
      <c r="C21" s="222" t="s">
        <v>14</v>
      </c>
      <c r="D21" s="8" t="s">
        <v>685</v>
      </c>
      <c r="E21" s="8" t="s">
        <v>693</v>
      </c>
      <c r="F21" s="86">
        <f>VLOOKUP(B21,'HSD UPAH,BAHAN,ALAT'!$C$6:F499,4,FALSE)</f>
        <v>100000</v>
      </c>
      <c r="G21" s="87">
        <f t="shared" si="3"/>
        <v>300</v>
      </c>
    </row>
    <row r="22" spans="1:7">
      <c r="A22" s="261" t="s">
        <v>420</v>
      </c>
      <c r="B22" s="261"/>
      <c r="C22" s="261"/>
      <c r="D22" s="261"/>
      <c r="E22" s="261"/>
      <c r="F22" s="261"/>
      <c r="G22" s="85">
        <f>SUM(G20:G21)</f>
        <v>3290</v>
      </c>
    </row>
    <row r="23" spans="1:7">
      <c r="A23" s="8" t="s">
        <v>16</v>
      </c>
      <c r="B23" s="222" t="s">
        <v>17</v>
      </c>
      <c r="C23" s="222"/>
      <c r="D23" s="8"/>
      <c r="E23" s="8"/>
      <c r="F23" s="222"/>
      <c r="G23" s="222"/>
    </row>
    <row r="24" spans="1:7" ht="45">
      <c r="A24" s="8">
        <v>1</v>
      </c>
      <c r="B24" s="223" t="s">
        <v>729</v>
      </c>
      <c r="C24" s="222"/>
      <c r="D24" s="8" t="s">
        <v>688</v>
      </c>
      <c r="E24" s="8" t="s">
        <v>105</v>
      </c>
      <c r="F24" s="86">
        <f>VLOOKUP(B24,'HSD UPAH,BAHAN,ALAT'!$C$6:F502,4,FALSE)</f>
        <v>10000</v>
      </c>
      <c r="G24" s="87">
        <f t="shared" ref="G24" si="4">E24*F24</f>
        <v>10000</v>
      </c>
    </row>
    <row r="25" spans="1:7">
      <c r="A25" s="261" t="s">
        <v>421</v>
      </c>
      <c r="B25" s="261"/>
      <c r="C25" s="261"/>
      <c r="D25" s="261"/>
      <c r="E25" s="261"/>
      <c r="F25" s="261"/>
      <c r="G25" s="85">
        <f>SUM(G24)</f>
        <v>10000</v>
      </c>
    </row>
    <row r="26" spans="1:7">
      <c r="A26" s="8" t="s">
        <v>36</v>
      </c>
      <c r="B26" s="222" t="s">
        <v>37</v>
      </c>
      <c r="C26" s="222"/>
      <c r="D26" s="8"/>
      <c r="E26" s="8"/>
      <c r="F26" s="222"/>
      <c r="G26" s="222"/>
    </row>
    <row r="27" spans="1:7">
      <c r="A27" s="8">
        <v>1</v>
      </c>
      <c r="B27" s="145" t="s">
        <v>689</v>
      </c>
      <c r="C27" s="222"/>
      <c r="D27" s="8" t="s">
        <v>690</v>
      </c>
      <c r="E27" s="8" t="s">
        <v>694</v>
      </c>
      <c r="F27" s="86">
        <f>VLOOKUP(B27,'HSD UPAH,BAHAN,ALAT'!$C$6:F505,4,FALSE)</f>
        <v>25000</v>
      </c>
      <c r="G27" s="87">
        <f t="shared" ref="G27" si="5">E27*F27</f>
        <v>887.49999999999989</v>
      </c>
    </row>
    <row r="28" spans="1:7">
      <c r="A28" s="268" t="s">
        <v>419</v>
      </c>
      <c r="B28" s="269"/>
      <c r="C28" s="269"/>
      <c r="D28" s="269"/>
      <c r="E28" s="269"/>
      <c r="F28" s="270"/>
      <c r="G28" s="224">
        <f>SUM(G27)</f>
        <v>887.49999999999989</v>
      </c>
    </row>
    <row r="29" spans="1:7">
      <c r="A29" s="8" t="s">
        <v>38</v>
      </c>
      <c r="B29" s="271" t="s">
        <v>39</v>
      </c>
      <c r="C29" s="272"/>
      <c r="D29" s="272"/>
      <c r="E29" s="272"/>
      <c r="F29" s="273"/>
      <c r="G29" s="225">
        <f>SUM(G19:G28)/2</f>
        <v>14177.5</v>
      </c>
    </row>
    <row r="30" spans="1:7">
      <c r="A30" s="8" t="s">
        <v>40</v>
      </c>
      <c r="B30" s="271" t="s">
        <v>180</v>
      </c>
      <c r="C30" s="272"/>
      <c r="D30" s="272"/>
      <c r="E30" s="273"/>
      <c r="F30" s="226">
        <v>0.1</v>
      </c>
      <c r="G30" s="224">
        <f>G29*F30</f>
        <v>1417.75</v>
      </c>
    </row>
    <row r="31" spans="1:7">
      <c r="A31" s="100" t="s">
        <v>41</v>
      </c>
      <c r="B31" s="274" t="s">
        <v>42</v>
      </c>
      <c r="C31" s="275"/>
      <c r="D31" s="275"/>
      <c r="E31" s="275"/>
      <c r="F31" s="276"/>
      <c r="G31" s="232">
        <f>G29+G30</f>
        <v>15595.25</v>
      </c>
    </row>
    <row r="32" spans="1:7">
      <c r="A32" s="233"/>
      <c r="B32" s="234"/>
      <c r="C32" s="234"/>
      <c r="D32" s="234"/>
      <c r="E32" s="234"/>
      <c r="F32" s="234"/>
      <c r="G32" s="235"/>
    </row>
    <row r="33" spans="1:7">
      <c r="A33" s="11" t="s">
        <v>890</v>
      </c>
      <c r="B33" s="227"/>
      <c r="C33" s="227"/>
      <c r="D33" s="227"/>
      <c r="E33" s="227"/>
      <c r="F33" s="227"/>
      <c r="G33" s="228"/>
    </row>
    <row r="34" spans="1:7" ht="45" customHeight="1">
      <c r="A34" s="79" t="s">
        <v>0</v>
      </c>
      <c r="B34" s="79" t="s">
        <v>1</v>
      </c>
      <c r="C34" s="79" t="s">
        <v>207</v>
      </c>
      <c r="D34" s="79" t="s">
        <v>3</v>
      </c>
      <c r="E34" s="79" t="s">
        <v>2</v>
      </c>
      <c r="F34" s="79" t="s">
        <v>417</v>
      </c>
      <c r="G34" s="79" t="s">
        <v>418</v>
      </c>
    </row>
    <row r="35" spans="1:7">
      <c r="A35" s="8" t="s">
        <v>4</v>
      </c>
      <c r="B35" s="222" t="s">
        <v>5</v>
      </c>
      <c r="C35" s="222"/>
      <c r="D35" s="8"/>
      <c r="E35" s="8"/>
      <c r="F35" s="222"/>
      <c r="G35" s="222"/>
    </row>
    <row r="36" spans="1:7">
      <c r="A36" s="8">
        <v>1</v>
      </c>
      <c r="B36" s="222" t="s">
        <v>48</v>
      </c>
      <c r="C36" s="222" t="s">
        <v>49</v>
      </c>
      <c r="D36" s="8" t="s">
        <v>685</v>
      </c>
      <c r="E36" s="8" t="s">
        <v>695</v>
      </c>
      <c r="F36" s="86">
        <f>VLOOKUP(B36,'HSD UPAH,BAHAN,ALAT'!$C$6:F514,4,FALSE)</f>
        <v>100000</v>
      </c>
      <c r="G36" s="87">
        <f t="shared" ref="G36:G37" si="6">E36*F36</f>
        <v>5630</v>
      </c>
    </row>
    <row r="37" spans="1:7">
      <c r="A37" s="8">
        <v>2</v>
      </c>
      <c r="B37" s="222" t="s">
        <v>13</v>
      </c>
      <c r="C37" s="222" t="s">
        <v>14</v>
      </c>
      <c r="D37" s="8" t="s">
        <v>685</v>
      </c>
      <c r="E37" s="8" t="s">
        <v>696</v>
      </c>
      <c r="F37" s="86">
        <f>VLOOKUP(B37,'HSD UPAH,BAHAN,ALAT'!$C$6:F515,4,FALSE)</f>
        <v>100000</v>
      </c>
      <c r="G37" s="87">
        <f t="shared" si="6"/>
        <v>560</v>
      </c>
    </row>
    <row r="38" spans="1:7">
      <c r="A38" s="261" t="s">
        <v>420</v>
      </c>
      <c r="B38" s="261"/>
      <c r="C38" s="261"/>
      <c r="D38" s="261"/>
      <c r="E38" s="261"/>
      <c r="F38" s="261"/>
      <c r="G38" s="85">
        <f>SUM(G36:G37)</f>
        <v>6190</v>
      </c>
    </row>
    <row r="39" spans="1:7">
      <c r="A39" s="8" t="s">
        <v>16</v>
      </c>
      <c r="B39" s="222" t="s">
        <v>17</v>
      </c>
      <c r="C39" s="222"/>
      <c r="D39" s="8"/>
      <c r="E39" s="8"/>
      <c r="F39" s="222"/>
      <c r="G39" s="222"/>
    </row>
    <row r="40" spans="1:7" ht="30">
      <c r="A40" s="8">
        <v>1</v>
      </c>
      <c r="B40" s="223" t="s">
        <v>730</v>
      </c>
      <c r="C40" s="222"/>
      <c r="D40" s="8" t="s">
        <v>688</v>
      </c>
      <c r="E40" s="8" t="s">
        <v>105</v>
      </c>
      <c r="F40" s="86">
        <f>VLOOKUP(B40,'HSD UPAH,BAHAN,ALAT'!$C$6:F518,4,FALSE)</f>
        <v>10000</v>
      </c>
      <c r="G40" s="87">
        <f t="shared" ref="G40" si="7">E40*F40</f>
        <v>10000</v>
      </c>
    </row>
    <row r="41" spans="1:7">
      <c r="A41" s="261" t="s">
        <v>421</v>
      </c>
      <c r="B41" s="261"/>
      <c r="C41" s="261"/>
      <c r="D41" s="261"/>
      <c r="E41" s="261"/>
      <c r="F41" s="261"/>
      <c r="G41" s="85">
        <f>SUM(G40)</f>
        <v>10000</v>
      </c>
    </row>
    <row r="42" spans="1:7">
      <c r="A42" s="8" t="s">
        <v>36</v>
      </c>
      <c r="B42" s="222" t="s">
        <v>37</v>
      </c>
      <c r="C42" s="222"/>
      <c r="D42" s="8"/>
      <c r="E42" s="8"/>
      <c r="F42" s="222"/>
      <c r="G42" s="222"/>
    </row>
    <row r="43" spans="1:7">
      <c r="A43" s="8">
        <v>1</v>
      </c>
      <c r="B43" s="222" t="s">
        <v>697</v>
      </c>
      <c r="C43" s="222"/>
      <c r="D43" s="8" t="s">
        <v>690</v>
      </c>
      <c r="E43" s="8" t="s">
        <v>876</v>
      </c>
      <c r="F43" s="86">
        <f>VLOOKUP(B43,'HSD UPAH,BAHAN,ALAT'!$C$6:F521,4,FALSE)</f>
        <v>25000</v>
      </c>
      <c r="G43" s="87">
        <f t="shared" ref="G43" si="8">E43*F43</f>
        <v>670</v>
      </c>
    </row>
    <row r="44" spans="1:7">
      <c r="A44" s="268" t="s">
        <v>419</v>
      </c>
      <c r="B44" s="269"/>
      <c r="C44" s="269"/>
      <c r="D44" s="269"/>
      <c r="E44" s="269"/>
      <c r="F44" s="270"/>
      <c r="G44" s="224">
        <f>SUM(G43)</f>
        <v>670</v>
      </c>
    </row>
    <row r="45" spans="1:7">
      <c r="A45" s="8" t="s">
        <v>38</v>
      </c>
      <c r="B45" s="271" t="s">
        <v>39</v>
      </c>
      <c r="C45" s="272"/>
      <c r="D45" s="272"/>
      <c r="E45" s="272"/>
      <c r="F45" s="273"/>
      <c r="G45" s="225">
        <f>SUM(G35:G44)/2</f>
        <v>16860</v>
      </c>
    </row>
    <row r="46" spans="1:7">
      <c r="A46" s="8" t="s">
        <v>40</v>
      </c>
      <c r="B46" s="271" t="s">
        <v>180</v>
      </c>
      <c r="C46" s="272"/>
      <c r="D46" s="272"/>
      <c r="E46" s="273"/>
      <c r="F46" s="226">
        <v>0.1</v>
      </c>
      <c r="G46" s="224">
        <f>G45*F46</f>
        <v>1686</v>
      </c>
    </row>
    <row r="47" spans="1:7">
      <c r="A47" s="100" t="s">
        <v>41</v>
      </c>
      <c r="B47" s="274" t="s">
        <v>42</v>
      </c>
      <c r="C47" s="275"/>
      <c r="D47" s="275"/>
      <c r="E47" s="275"/>
      <c r="F47" s="276"/>
      <c r="G47" s="232">
        <f>G45+G46</f>
        <v>18546</v>
      </c>
    </row>
    <row r="48" spans="1:7">
      <c r="A48" s="233"/>
      <c r="B48" s="234"/>
      <c r="C48" s="234"/>
      <c r="D48" s="234"/>
      <c r="E48" s="234"/>
      <c r="F48" s="234"/>
      <c r="G48" s="235"/>
    </row>
    <row r="49" spans="1:7">
      <c r="A49" s="11" t="s">
        <v>891</v>
      </c>
      <c r="B49" s="227"/>
      <c r="C49" s="227"/>
      <c r="D49" s="227"/>
      <c r="E49" s="227"/>
      <c r="F49" s="227"/>
      <c r="G49" s="228"/>
    </row>
    <row r="50" spans="1:7" ht="30">
      <c r="A50" s="79" t="s">
        <v>0</v>
      </c>
      <c r="B50" s="79" t="s">
        <v>1</v>
      </c>
      <c r="C50" s="79" t="s">
        <v>207</v>
      </c>
      <c r="D50" s="79" t="s">
        <v>3</v>
      </c>
      <c r="E50" s="79" t="s">
        <v>2</v>
      </c>
      <c r="F50" s="79" t="s">
        <v>417</v>
      </c>
      <c r="G50" s="79" t="s">
        <v>418</v>
      </c>
    </row>
    <row r="51" spans="1:7">
      <c r="A51" s="8" t="s">
        <v>4</v>
      </c>
      <c r="B51" s="222" t="s">
        <v>5</v>
      </c>
      <c r="C51" s="222"/>
      <c r="D51" s="8"/>
      <c r="E51" s="8"/>
      <c r="F51" s="222"/>
      <c r="G51" s="222"/>
    </row>
    <row r="52" spans="1:7">
      <c r="A52" s="8">
        <v>1</v>
      </c>
      <c r="B52" s="222" t="s">
        <v>48</v>
      </c>
      <c r="C52" s="222" t="s">
        <v>49</v>
      </c>
      <c r="D52" s="8" t="s">
        <v>685</v>
      </c>
      <c r="E52" s="8" t="s">
        <v>698</v>
      </c>
      <c r="F52" s="86">
        <f>VLOOKUP(B52,'HSD UPAH,BAHAN,ALAT'!$C$6:F530,4,FALSE)</f>
        <v>100000</v>
      </c>
      <c r="G52" s="87">
        <f t="shared" ref="G52:G53" si="9">E52*F52</f>
        <v>11180</v>
      </c>
    </row>
    <row r="53" spans="1:7">
      <c r="A53" s="8">
        <v>2</v>
      </c>
      <c r="B53" s="222" t="s">
        <v>13</v>
      </c>
      <c r="C53" s="222" t="s">
        <v>14</v>
      </c>
      <c r="D53" s="8" t="s">
        <v>685</v>
      </c>
      <c r="E53" s="8" t="s">
        <v>699</v>
      </c>
      <c r="F53" s="86">
        <f>VLOOKUP(B53,'HSD UPAH,BAHAN,ALAT'!$C$6:F531,4,FALSE)</f>
        <v>100000</v>
      </c>
      <c r="G53" s="87">
        <f t="shared" si="9"/>
        <v>1120</v>
      </c>
    </row>
    <row r="54" spans="1:7">
      <c r="A54" s="261" t="s">
        <v>420</v>
      </c>
      <c r="B54" s="261"/>
      <c r="C54" s="261"/>
      <c r="D54" s="261"/>
      <c r="E54" s="261"/>
      <c r="F54" s="261"/>
      <c r="G54" s="85">
        <f>SUM(G52:G53)</f>
        <v>12300</v>
      </c>
    </row>
    <row r="55" spans="1:7">
      <c r="A55" s="8" t="s">
        <v>16</v>
      </c>
      <c r="B55" s="222" t="s">
        <v>17</v>
      </c>
      <c r="C55" s="222"/>
      <c r="D55" s="8"/>
      <c r="E55" s="8"/>
      <c r="F55" s="222"/>
      <c r="G55" s="222"/>
    </row>
    <row r="56" spans="1:7" ht="30">
      <c r="A56" s="8">
        <v>1</v>
      </c>
      <c r="B56" s="223" t="s">
        <v>731</v>
      </c>
      <c r="C56" s="222"/>
      <c r="D56" s="8" t="s">
        <v>688</v>
      </c>
      <c r="E56" s="8" t="s">
        <v>105</v>
      </c>
      <c r="F56" s="86">
        <f>VLOOKUP(B56,'HSD UPAH,BAHAN,ALAT'!$C$6:F534,4,FALSE)</f>
        <v>10000</v>
      </c>
      <c r="G56" s="87">
        <f t="shared" ref="G56" si="10">E56*F56</f>
        <v>10000</v>
      </c>
    </row>
    <row r="57" spans="1:7">
      <c r="A57" s="261" t="s">
        <v>421</v>
      </c>
      <c r="B57" s="261"/>
      <c r="C57" s="261"/>
      <c r="D57" s="261"/>
      <c r="E57" s="261"/>
      <c r="F57" s="261"/>
      <c r="G57" s="85">
        <f>SUM(G56)</f>
        <v>10000</v>
      </c>
    </row>
    <row r="58" spans="1:7">
      <c r="A58" s="8" t="s">
        <v>36</v>
      </c>
      <c r="B58" s="222" t="s">
        <v>37</v>
      </c>
      <c r="C58" s="222"/>
      <c r="D58" s="8"/>
      <c r="E58" s="8"/>
      <c r="F58" s="222"/>
      <c r="G58" s="222"/>
    </row>
    <row r="59" spans="1:7">
      <c r="A59" s="8">
        <v>1</v>
      </c>
      <c r="B59" s="222" t="s">
        <v>697</v>
      </c>
      <c r="C59" s="222"/>
      <c r="D59" s="8" t="s">
        <v>690</v>
      </c>
      <c r="E59" s="8" t="s">
        <v>74</v>
      </c>
      <c r="F59" s="86">
        <f>VLOOKUP(B59,'HSD UPAH,BAHAN,ALAT'!$C$6:F537,4,FALSE)</f>
        <v>25000</v>
      </c>
      <c r="G59" s="87">
        <f t="shared" ref="G59" si="11">E59*F59</f>
        <v>825</v>
      </c>
    </row>
    <row r="60" spans="1:7">
      <c r="A60" s="268" t="s">
        <v>419</v>
      </c>
      <c r="B60" s="269"/>
      <c r="C60" s="269"/>
      <c r="D60" s="269"/>
      <c r="E60" s="269"/>
      <c r="F60" s="270"/>
      <c r="G60" s="224">
        <f>SUM(G59)</f>
        <v>825</v>
      </c>
    </row>
    <row r="61" spans="1:7">
      <c r="A61" s="8" t="s">
        <v>38</v>
      </c>
      <c r="B61" s="271" t="s">
        <v>39</v>
      </c>
      <c r="C61" s="272"/>
      <c r="D61" s="272"/>
      <c r="E61" s="272"/>
      <c r="F61" s="273"/>
      <c r="G61" s="225">
        <f>SUM(G51:G60)/2</f>
        <v>23125</v>
      </c>
    </row>
    <row r="62" spans="1:7">
      <c r="A62" s="8" t="s">
        <v>40</v>
      </c>
      <c r="B62" s="271" t="s">
        <v>180</v>
      </c>
      <c r="C62" s="272"/>
      <c r="D62" s="272"/>
      <c r="E62" s="273"/>
      <c r="F62" s="226">
        <v>0.1</v>
      </c>
      <c r="G62" s="224">
        <f>G61*F62</f>
        <v>2312.5</v>
      </c>
    </row>
    <row r="63" spans="1:7">
      <c r="A63" s="100" t="s">
        <v>41</v>
      </c>
      <c r="B63" s="274" t="s">
        <v>42</v>
      </c>
      <c r="C63" s="275"/>
      <c r="D63" s="275"/>
      <c r="E63" s="275"/>
      <c r="F63" s="276"/>
      <c r="G63" s="232">
        <f>G61+G62</f>
        <v>25437.5</v>
      </c>
    </row>
    <row r="64" spans="1:7">
      <c r="A64" s="233"/>
      <c r="B64" s="234"/>
      <c r="C64" s="234"/>
      <c r="D64" s="234"/>
      <c r="E64" s="234"/>
      <c r="F64" s="234"/>
      <c r="G64" s="235"/>
    </row>
    <row r="65" spans="1:7">
      <c r="A65" s="11" t="s">
        <v>892</v>
      </c>
      <c r="B65" s="227"/>
      <c r="C65" s="227"/>
      <c r="D65" s="227"/>
      <c r="E65" s="227"/>
      <c r="F65" s="227"/>
      <c r="G65" s="228"/>
    </row>
    <row r="66" spans="1:7" ht="30">
      <c r="A66" s="79" t="s">
        <v>0</v>
      </c>
      <c r="B66" s="79" t="s">
        <v>1</v>
      </c>
      <c r="C66" s="79" t="s">
        <v>207</v>
      </c>
      <c r="D66" s="79" t="s">
        <v>3</v>
      </c>
      <c r="E66" s="79" t="s">
        <v>2</v>
      </c>
      <c r="F66" s="79" t="s">
        <v>417</v>
      </c>
      <c r="G66" s="79" t="s">
        <v>418</v>
      </c>
    </row>
    <row r="67" spans="1:7">
      <c r="A67" s="8" t="s">
        <v>4</v>
      </c>
      <c r="B67" s="222" t="s">
        <v>5</v>
      </c>
      <c r="C67" s="222"/>
      <c r="D67" s="8"/>
      <c r="E67" s="8"/>
      <c r="F67" s="222"/>
      <c r="G67" s="222"/>
    </row>
    <row r="68" spans="1:7">
      <c r="A68" s="8">
        <v>1</v>
      </c>
      <c r="B68" s="222" t="s">
        <v>48</v>
      </c>
      <c r="C68" s="222" t="s">
        <v>49</v>
      </c>
      <c r="D68" s="8" t="s">
        <v>685</v>
      </c>
      <c r="E68" s="8" t="s">
        <v>700</v>
      </c>
      <c r="F68" s="86">
        <f>VLOOKUP(B68,'HSD UPAH,BAHAN,ALAT'!$C$6:F546,4,FALSE)</f>
        <v>100000</v>
      </c>
      <c r="G68" s="87">
        <f t="shared" ref="G68:G69" si="12">E68*F68</f>
        <v>52690</v>
      </c>
    </row>
    <row r="69" spans="1:7">
      <c r="A69" s="8">
        <v>2</v>
      </c>
      <c r="B69" s="222" t="s">
        <v>13</v>
      </c>
      <c r="C69" s="222" t="s">
        <v>14</v>
      </c>
      <c r="D69" s="8" t="s">
        <v>685</v>
      </c>
      <c r="E69" s="8" t="s">
        <v>701</v>
      </c>
      <c r="F69" s="86">
        <f>VLOOKUP(B69,'HSD UPAH,BAHAN,ALAT'!$C$6:F547,4,FALSE)</f>
        <v>100000</v>
      </c>
      <c r="G69" s="87">
        <f t="shared" si="12"/>
        <v>5270</v>
      </c>
    </row>
    <row r="70" spans="1:7">
      <c r="A70" s="261" t="s">
        <v>420</v>
      </c>
      <c r="B70" s="261"/>
      <c r="C70" s="261"/>
      <c r="D70" s="261"/>
      <c r="E70" s="261"/>
      <c r="F70" s="261"/>
      <c r="G70" s="85">
        <f>SUM(G68:G69)</f>
        <v>57960</v>
      </c>
    </row>
    <row r="71" spans="1:7">
      <c r="A71" s="8" t="s">
        <v>16</v>
      </c>
      <c r="B71" s="222" t="s">
        <v>17</v>
      </c>
      <c r="C71" s="222"/>
      <c r="D71" s="8"/>
      <c r="E71" s="8"/>
      <c r="F71" s="222"/>
      <c r="G71" s="222"/>
    </row>
    <row r="72" spans="1:7" ht="45">
      <c r="A72" s="8">
        <v>1</v>
      </c>
      <c r="B72" s="223" t="s">
        <v>732</v>
      </c>
      <c r="C72" s="222"/>
      <c r="D72" s="8" t="s">
        <v>688</v>
      </c>
      <c r="E72" s="8" t="s">
        <v>105</v>
      </c>
      <c r="F72" s="86">
        <f>VLOOKUP(B72,'HSD UPAH,BAHAN,ALAT'!$C$6:F550,4,FALSE)</f>
        <v>10000</v>
      </c>
      <c r="G72" s="87">
        <f t="shared" ref="G72" si="13">E72*F72</f>
        <v>10000</v>
      </c>
    </row>
    <row r="73" spans="1:7">
      <c r="A73" s="261" t="s">
        <v>421</v>
      </c>
      <c r="B73" s="261"/>
      <c r="C73" s="261"/>
      <c r="D73" s="261"/>
      <c r="E73" s="261"/>
      <c r="F73" s="261"/>
      <c r="G73" s="85">
        <f>SUM(G72)</f>
        <v>10000</v>
      </c>
    </row>
    <row r="74" spans="1:7">
      <c r="A74" s="8" t="s">
        <v>36</v>
      </c>
      <c r="B74" s="222" t="s">
        <v>37</v>
      </c>
      <c r="C74" s="222"/>
      <c r="D74" s="8"/>
      <c r="E74" s="8"/>
      <c r="F74" s="222"/>
      <c r="G74" s="222"/>
    </row>
    <row r="75" spans="1:7">
      <c r="A75" s="8">
        <v>1</v>
      </c>
      <c r="B75" s="222" t="s">
        <v>697</v>
      </c>
      <c r="C75" s="222"/>
      <c r="D75" s="8" t="s">
        <v>690</v>
      </c>
      <c r="E75" s="8" t="s">
        <v>702</v>
      </c>
      <c r="F75" s="86">
        <f>VLOOKUP(B75,'HSD UPAH,BAHAN,ALAT'!$C$6:F553,4,FALSE)</f>
        <v>25000</v>
      </c>
      <c r="G75" s="87">
        <f t="shared" ref="G75:G76" si="14">E75*F75</f>
        <v>4547.5</v>
      </c>
    </row>
    <row r="76" spans="1:7">
      <c r="A76" s="8">
        <v>2</v>
      </c>
      <c r="B76" s="222" t="s">
        <v>703</v>
      </c>
      <c r="C76" s="222"/>
      <c r="D76" s="8" t="s">
        <v>690</v>
      </c>
      <c r="E76" s="8" t="s">
        <v>704</v>
      </c>
      <c r="F76" s="86">
        <f>VLOOKUP(B76,'HSD UPAH,BAHAN,ALAT'!$C$6:F554,4,FALSE)</f>
        <v>25000</v>
      </c>
      <c r="G76" s="87">
        <f t="shared" si="14"/>
        <v>3295</v>
      </c>
    </row>
    <row r="77" spans="1:7">
      <c r="A77" s="268" t="s">
        <v>419</v>
      </c>
      <c r="B77" s="269"/>
      <c r="C77" s="269"/>
      <c r="D77" s="269"/>
      <c r="E77" s="269"/>
      <c r="F77" s="270"/>
      <c r="G77" s="224">
        <f>SUM(G75:G76)</f>
        <v>7842.5</v>
      </c>
    </row>
    <row r="78" spans="1:7">
      <c r="A78" s="8" t="s">
        <v>38</v>
      </c>
      <c r="B78" s="271" t="s">
        <v>39</v>
      </c>
      <c r="C78" s="272"/>
      <c r="D78" s="272"/>
      <c r="E78" s="272"/>
      <c r="F78" s="273"/>
      <c r="G78" s="225">
        <f>SUM(G68:G77)/2</f>
        <v>75802.5</v>
      </c>
    </row>
    <row r="79" spans="1:7">
      <c r="A79" s="8" t="s">
        <v>40</v>
      </c>
      <c r="B79" s="271" t="s">
        <v>180</v>
      </c>
      <c r="C79" s="272"/>
      <c r="D79" s="272"/>
      <c r="E79" s="273"/>
      <c r="F79" s="226">
        <v>0.1</v>
      </c>
      <c r="G79" s="224">
        <f>G78*F79</f>
        <v>7580.25</v>
      </c>
    </row>
    <row r="80" spans="1:7">
      <c r="A80" s="100" t="s">
        <v>41</v>
      </c>
      <c r="B80" s="274" t="s">
        <v>42</v>
      </c>
      <c r="C80" s="275"/>
      <c r="D80" s="275"/>
      <c r="E80" s="275"/>
      <c r="F80" s="276"/>
      <c r="G80" s="232">
        <f>G78+G79</f>
        <v>83382.75</v>
      </c>
    </row>
    <row r="81" spans="1:7">
      <c r="A81" s="233"/>
      <c r="B81" s="234"/>
      <c r="C81" s="234"/>
      <c r="D81" s="234"/>
      <c r="E81" s="234"/>
      <c r="F81" s="234"/>
      <c r="G81" s="235"/>
    </row>
    <row r="82" spans="1:7">
      <c r="A82" s="11" t="s">
        <v>893</v>
      </c>
      <c r="B82" s="227"/>
      <c r="C82" s="227"/>
      <c r="D82" s="227"/>
      <c r="E82" s="227"/>
      <c r="F82" s="227"/>
      <c r="G82" s="228"/>
    </row>
    <row r="83" spans="1:7" ht="30">
      <c r="A83" s="79" t="s">
        <v>0</v>
      </c>
      <c r="B83" s="79" t="s">
        <v>1</v>
      </c>
      <c r="C83" s="79" t="s">
        <v>207</v>
      </c>
      <c r="D83" s="79" t="s">
        <v>3</v>
      </c>
      <c r="E83" s="79" t="s">
        <v>2</v>
      </c>
      <c r="F83" s="79" t="s">
        <v>417</v>
      </c>
      <c r="G83" s="79" t="s">
        <v>418</v>
      </c>
    </row>
    <row r="84" spans="1:7">
      <c r="A84" s="8" t="s">
        <v>4</v>
      </c>
      <c r="B84" s="1" t="s">
        <v>5</v>
      </c>
      <c r="C84" s="222"/>
      <c r="D84" s="9"/>
      <c r="E84" s="8"/>
      <c r="F84" s="1"/>
      <c r="G84" s="229"/>
    </row>
    <row r="85" spans="1:7">
      <c r="A85" s="8">
        <v>1</v>
      </c>
      <c r="B85" s="1" t="s">
        <v>48</v>
      </c>
      <c r="C85" s="222" t="s">
        <v>49</v>
      </c>
      <c r="D85" s="9" t="s">
        <v>685</v>
      </c>
      <c r="E85" s="8" t="s">
        <v>705</v>
      </c>
      <c r="F85" s="86">
        <f>VLOOKUP(B85,'HSD UPAH,BAHAN,ALAT'!$C$6:F103,4,FALSE)</f>
        <v>100000</v>
      </c>
      <c r="G85" s="87">
        <f t="shared" ref="G85:G86" si="15">E85*F85</f>
        <v>54340</v>
      </c>
    </row>
    <row r="86" spans="1:7">
      <c r="A86" s="8">
        <v>2</v>
      </c>
      <c r="B86" s="1" t="s">
        <v>13</v>
      </c>
      <c r="C86" s="222" t="s">
        <v>14</v>
      </c>
      <c r="D86" s="9" t="s">
        <v>685</v>
      </c>
      <c r="E86" s="8" t="s">
        <v>706</v>
      </c>
      <c r="F86" s="86">
        <f>VLOOKUP(B86,'HSD UPAH,BAHAN,ALAT'!$C$6:F104,4,FALSE)</f>
        <v>100000</v>
      </c>
      <c r="G86" s="87">
        <f t="shared" si="15"/>
        <v>5430</v>
      </c>
    </row>
    <row r="87" spans="1:7">
      <c r="A87" s="261" t="s">
        <v>420</v>
      </c>
      <c r="B87" s="261"/>
      <c r="C87" s="261"/>
      <c r="D87" s="261"/>
      <c r="E87" s="261"/>
      <c r="F87" s="261"/>
      <c r="G87" s="85">
        <f>SUM(G85:G86)</f>
        <v>59770</v>
      </c>
    </row>
    <row r="88" spans="1:7">
      <c r="A88" s="8" t="s">
        <v>16</v>
      </c>
      <c r="B88" s="1" t="s">
        <v>17</v>
      </c>
      <c r="C88" s="222"/>
      <c r="D88" s="9"/>
      <c r="E88" s="8"/>
      <c r="F88" s="1"/>
      <c r="G88" s="229"/>
    </row>
    <row r="89" spans="1:7" ht="45">
      <c r="A89" s="8">
        <v>1</v>
      </c>
      <c r="B89" s="5" t="s">
        <v>733</v>
      </c>
      <c r="C89" s="222"/>
      <c r="D89" s="9" t="s">
        <v>688</v>
      </c>
      <c r="E89" s="8" t="s">
        <v>105</v>
      </c>
      <c r="F89" s="86">
        <f>VLOOKUP(B89,'HSD UPAH,BAHAN,ALAT'!$C$6:F567,4,FALSE)</f>
        <v>10000</v>
      </c>
      <c r="G89" s="87">
        <f t="shared" ref="G89" si="16">E89*F89</f>
        <v>10000</v>
      </c>
    </row>
    <row r="90" spans="1:7">
      <c r="A90" s="261" t="s">
        <v>421</v>
      </c>
      <c r="B90" s="261"/>
      <c r="C90" s="261"/>
      <c r="D90" s="261"/>
      <c r="E90" s="261"/>
      <c r="F90" s="261"/>
      <c r="G90" s="85">
        <f>SUM(G89)</f>
        <v>10000</v>
      </c>
    </row>
    <row r="91" spans="1:7">
      <c r="A91" s="8" t="s">
        <v>36</v>
      </c>
      <c r="B91" s="1" t="s">
        <v>37</v>
      </c>
      <c r="C91" s="222"/>
      <c r="D91" s="9"/>
      <c r="E91" s="8"/>
      <c r="F91" s="1"/>
      <c r="G91" s="229"/>
    </row>
    <row r="92" spans="1:7">
      <c r="A92" s="8">
        <v>1</v>
      </c>
      <c r="B92" s="1" t="s">
        <v>697</v>
      </c>
      <c r="C92" s="222"/>
      <c r="D92" s="9" t="s">
        <v>690</v>
      </c>
      <c r="E92" s="8" t="s">
        <v>877</v>
      </c>
      <c r="F92" s="86">
        <f>VLOOKUP(B92,'HSD UPAH,BAHAN,ALAT'!$C$6:F570,4,FALSE)</f>
        <v>25000</v>
      </c>
      <c r="G92" s="87">
        <f t="shared" ref="G92:G93" si="17">E92*F92</f>
        <v>4900</v>
      </c>
    </row>
    <row r="93" spans="1:7">
      <c r="A93" s="8">
        <v>2</v>
      </c>
      <c r="B93" s="1" t="s">
        <v>703</v>
      </c>
      <c r="C93" s="222"/>
      <c r="D93" s="9" t="s">
        <v>690</v>
      </c>
      <c r="E93" s="8" t="s">
        <v>878</v>
      </c>
      <c r="F93" s="86">
        <f>VLOOKUP(B93,'HSD UPAH,BAHAN,ALAT'!$C$6:F571,4,FALSE)</f>
        <v>25000</v>
      </c>
      <c r="G93" s="87">
        <f t="shared" si="17"/>
        <v>3400.0000000000005</v>
      </c>
    </row>
    <row r="94" spans="1:7">
      <c r="A94" s="268" t="s">
        <v>419</v>
      </c>
      <c r="B94" s="269"/>
      <c r="C94" s="269"/>
      <c r="D94" s="269"/>
      <c r="E94" s="269"/>
      <c r="F94" s="270"/>
      <c r="G94" s="224">
        <f>SUM(G92:G93)</f>
        <v>8300</v>
      </c>
    </row>
    <row r="95" spans="1:7">
      <c r="A95" s="8" t="s">
        <v>38</v>
      </c>
      <c r="B95" s="271" t="s">
        <v>39</v>
      </c>
      <c r="C95" s="272"/>
      <c r="D95" s="272"/>
      <c r="E95" s="272"/>
      <c r="F95" s="273"/>
      <c r="G95" s="225">
        <f>SUM(G85:G94)/2</f>
        <v>78070</v>
      </c>
    </row>
    <row r="96" spans="1:7">
      <c r="A96" s="8" t="s">
        <v>40</v>
      </c>
      <c r="B96" s="271" t="s">
        <v>180</v>
      </c>
      <c r="C96" s="272"/>
      <c r="D96" s="272"/>
      <c r="E96" s="273"/>
      <c r="F96" s="226">
        <v>0.1</v>
      </c>
      <c r="G96" s="224">
        <f>G95*F96</f>
        <v>7807</v>
      </c>
    </row>
    <row r="97" spans="1:7">
      <c r="A97" s="100" t="s">
        <v>41</v>
      </c>
      <c r="B97" s="274" t="s">
        <v>42</v>
      </c>
      <c r="C97" s="275"/>
      <c r="D97" s="275"/>
      <c r="E97" s="275"/>
      <c r="F97" s="276"/>
      <c r="G97" s="232">
        <f>G95+G96</f>
        <v>85877</v>
      </c>
    </row>
    <row r="98" spans="1:7">
      <c r="A98" s="233"/>
      <c r="B98" s="234"/>
      <c r="C98" s="234"/>
      <c r="D98" s="234"/>
      <c r="E98" s="234"/>
      <c r="F98" s="234"/>
      <c r="G98" s="235"/>
    </row>
    <row r="99" spans="1:7">
      <c r="A99" s="11" t="s">
        <v>894</v>
      </c>
      <c r="B99" s="227"/>
      <c r="C99" s="227"/>
      <c r="D99" s="227"/>
      <c r="E99" s="227"/>
      <c r="F99" s="227"/>
      <c r="G99" s="228"/>
    </row>
    <row r="100" spans="1:7" ht="30">
      <c r="A100" s="79" t="s">
        <v>0</v>
      </c>
      <c r="B100" s="79" t="s">
        <v>1</v>
      </c>
      <c r="C100" s="79" t="s">
        <v>207</v>
      </c>
      <c r="D100" s="79" t="s">
        <v>3</v>
      </c>
      <c r="E100" s="79" t="s">
        <v>2</v>
      </c>
      <c r="F100" s="79" t="s">
        <v>417</v>
      </c>
      <c r="G100" s="79" t="s">
        <v>418</v>
      </c>
    </row>
    <row r="101" spans="1:7">
      <c r="A101" s="8" t="s">
        <v>4</v>
      </c>
      <c r="B101" s="222" t="s">
        <v>5</v>
      </c>
      <c r="C101" s="222"/>
      <c r="D101" s="8"/>
      <c r="E101" s="8"/>
      <c r="F101" s="222"/>
      <c r="G101" s="222"/>
    </row>
    <row r="102" spans="1:7">
      <c r="A102" s="8">
        <v>1</v>
      </c>
      <c r="B102" s="222" t="s">
        <v>48</v>
      </c>
      <c r="C102" s="222" t="s">
        <v>49</v>
      </c>
      <c r="D102" s="8" t="s">
        <v>685</v>
      </c>
      <c r="E102" s="8" t="s">
        <v>707</v>
      </c>
      <c r="F102" s="86">
        <f>VLOOKUP(B102,'HSD UPAH,BAHAN,ALAT'!$C$6:F119,4,FALSE)</f>
        <v>100000</v>
      </c>
      <c r="G102" s="87">
        <f t="shared" ref="G102:G103" si="18">E102*F102</f>
        <v>74430</v>
      </c>
    </row>
    <row r="103" spans="1:7">
      <c r="A103" s="8">
        <v>2</v>
      </c>
      <c r="B103" s="222" t="s">
        <v>13</v>
      </c>
      <c r="C103" s="222" t="s">
        <v>14</v>
      </c>
      <c r="D103" s="8" t="s">
        <v>685</v>
      </c>
      <c r="E103" s="8" t="s">
        <v>708</v>
      </c>
      <c r="F103" s="86">
        <f>VLOOKUP(B103,'HSD UPAH,BAHAN,ALAT'!$C$6:F120,4,FALSE)</f>
        <v>100000</v>
      </c>
      <c r="G103" s="87">
        <f t="shared" si="18"/>
        <v>7439.9999999999991</v>
      </c>
    </row>
    <row r="104" spans="1:7">
      <c r="A104" s="261" t="s">
        <v>420</v>
      </c>
      <c r="B104" s="261"/>
      <c r="C104" s="261"/>
      <c r="D104" s="261"/>
      <c r="E104" s="261"/>
      <c r="F104" s="261"/>
      <c r="G104" s="85">
        <f>SUM(G102:G103)</f>
        <v>81870</v>
      </c>
    </row>
    <row r="105" spans="1:7">
      <c r="A105" s="8" t="s">
        <v>16</v>
      </c>
      <c r="B105" s="222" t="s">
        <v>17</v>
      </c>
      <c r="C105" s="222"/>
      <c r="D105" s="8"/>
      <c r="E105" s="8"/>
      <c r="F105" s="222"/>
      <c r="G105" s="222"/>
    </row>
    <row r="106" spans="1:7" ht="45">
      <c r="A106" s="8">
        <v>1</v>
      </c>
      <c r="B106" s="223" t="s">
        <v>306</v>
      </c>
      <c r="C106" s="222"/>
      <c r="D106" s="8" t="s">
        <v>688</v>
      </c>
      <c r="E106" s="8" t="s">
        <v>105</v>
      </c>
      <c r="F106" s="86">
        <f>VLOOKUP(B106,'HSD UPAH,BAHAN,ALAT'!$C$6:F584,4,FALSE)</f>
        <v>10000</v>
      </c>
      <c r="G106" s="87">
        <f t="shared" ref="G106" si="19">E106*F106</f>
        <v>10000</v>
      </c>
    </row>
    <row r="107" spans="1:7">
      <c r="A107" s="261" t="s">
        <v>421</v>
      </c>
      <c r="B107" s="261"/>
      <c r="C107" s="261"/>
      <c r="D107" s="261"/>
      <c r="E107" s="261"/>
      <c r="F107" s="261"/>
      <c r="G107" s="85">
        <f>SUM(G106)</f>
        <v>10000</v>
      </c>
    </row>
    <row r="108" spans="1:7">
      <c r="A108" s="8" t="s">
        <v>36</v>
      </c>
      <c r="B108" s="222" t="s">
        <v>37</v>
      </c>
      <c r="C108" s="222"/>
      <c r="D108" s="8"/>
      <c r="E108" s="8"/>
      <c r="F108" s="222"/>
      <c r="G108" s="222"/>
    </row>
    <row r="109" spans="1:7">
      <c r="A109" s="8">
        <v>1</v>
      </c>
      <c r="B109" s="222" t="s">
        <v>697</v>
      </c>
      <c r="C109" s="222"/>
      <c r="D109" s="8" t="s">
        <v>690</v>
      </c>
      <c r="E109" s="8" t="s">
        <v>709</v>
      </c>
      <c r="F109" s="86">
        <f>VLOOKUP(B109,'HSD UPAH,BAHAN,ALAT'!$C$6:F587,4,FALSE)</f>
        <v>25000</v>
      </c>
      <c r="G109" s="87">
        <f t="shared" ref="G109:G110" si="20">E109*F109</f>
        <v>7162.4999999999991</v>
      </c>
    </row>
    <row r="110" spans="1:7">
      <c r="A110" s="8">
        <v>2</v>
      </c>
      <c r="B110" s="222" t="s">
        <v>703</v>
      </c>
      <c r="C110" s="222"/>
      <c r="D110" s="8" t="s">
        <v>690</v>
      </c>
      <c r="E110" s="8" t="s">
        <v>710</v>
      </c>
      <c r="F110" s="86">
        <f>VLOOKUP(B110,'HSD UPAH,BAHAN,ALAT'!$C$6:F588,4,FALSE)</f>
        <v>25000</v>
      </c>
      <c r="G110" s="87">
        <f t="shared" si="20"/>
        <v>4652.5</v>
      </c>
    </row>
    <row r="111" spans="1:7">
      <c r="A111" s="268" t="s">
        <v>419</v>
      </c>
      <c r="B111" s="269"/>
      <c r="C111" s="269"/>
      <c r="D111" s="269"/>
      <c r="E111" s="269"/>
      <c r="F111" s="270"/>
      <c r="G111" s="224">
        <f>SUM(G109:G110)</f>
        <v>11815</v>
      </c>
    </row>
    <row r="112" spans="1:7">
      <c r="A112" s="8" t="s">
        <v>38</v>
      </c>
      <c r="B112" s="271" t="s">
        <v>39</v>
      </c>
      <c r="C112" s="272"/>
      <c r="D112" s="272"/>
      <c r="E112" s="272"/>
      <c r="F112" s="273"/>
      <c r="G112" s="225">
        <f>SUM(G102:G111)/2</f>
        <v>103685</v>
      </c>
    </row>
    <row r="113" spans="1:7">
      <c r="A113" s="8" t="s">
        <v>40</v>
      </c>
      <c r="B113" s="271" t="s">
        <v>180</v>
      </c>
      <c r="C113" s="272"/>
      <c r="D113" s="272"/>
      <c r="E113" s="273"/>
      <c r="F113" s="226">
        <v>0.1</v>
      </c>
      <c r="G113" s="224">
        <f>G112*F113</f>
        <v>10368.5</v>
      </c>
    </row>
    <row r="114" spans="1:7">
      <c r="A114" s="100" t="s">
        <v>41</v>
      </c>
      <c r="B114" s="274" t="s">
        <v>42</v>
      </c>
      <c r="C114" s="275"/>
      <c r="D114" s="275"/>
      <c r="E114" s="275"/>
      <c r="F114" s="276"/>
      <c r="G114" s="232">
        <f>G112+G113</f>
        <v>114053.5</v>
      </c>
    </row>
    <row r="115" spans="1:7">
      <c r="A115" s="233"/>
      <c r="B115" s="234"/>
      <c r="C115" s="234"/>
      <c r="D115" s="234"/>
      <c r="E115" s="234"/>
      <c r="F115" s="234"/>
      <c r="G115" s="235"/>
    </row>
    <row r="116" spans="1:7">
      <c r="A116" s="11" t="s">
        <v>895</v>
      </c>
      <c r="B116" s="227"/>
      <c r="C116" s="227"/>
      <c r="D116" s="227"/>
      <c r="E116" s="227"/>
      <c r="F116" s="227"/>
      <c r="G116" s="228"/>
    </row>
    <row r="117" spans="1:7" ht="30">
      <c r="A117" s="79" t="s">
        <v>0</v>
      </c>
      <c r="B117" s="79" t="s">
        <v>1</v>
      </c>
      <c r="C117" s="79" t="s">
        <v>207</v>
      </c>
      <c r="D117" s="79" t="s">
        <v>3</v>
      </c>
      <c r="E117" s="79" t="s">
        <v>2</v>
      </c>
      <c r="F117" s="79" t="s">
        <v>417</v>
      </c>
      <c r="G117" s="79" t="s">
        <v>418</v>
      </c>
    </row>
    <row r="118" spans="1:7">
      <c r="A118" s="8" t="s">
        <v>4</v>
      </c>
      <c r="B118" s="222" t="s">
        <v>5</v>
      </c>
      <c r="C118" s="222"/>
      <c r="D118" s="8"/>
      <c r="E118" s="8"/>
      <c r="F118" s="222"/>
      <c r="G118" s="222"/>
    </row>
    <row r="119" spans="1:7">
      <c r="A119" s="8">
        <v>1</v>
      </c>
      <c r="B119" s="222" t="s">
        <v>48</v>
      </c>
      <c r="C119" s="222" t="s">
        <v>49</v>
      </c>
      <c r="D119" s="8" t="s">
        <v>685</v>
      </c>
      <c r="E119" s="8" t="s">
        <v>711</v>
      </c>
      <c r="F119" s="86">
        <f>VLOOKUP(B119,'HSD UPAH,BAHAN,ALAT'!$C$6:F135,4,FALSE)</f>
        <v>100000</v>
      </c>
      <c r="G119" s="87">
        <f t="shared" ref="G119:G120" si="21">E119*F119</f>
        <v>98800</v>
      </c>
    </row>
    <row r="120" spans="1:7">
      <c r="A120" s="8">
        <v>2</v>
      </c>
      <c r="B120" s="222" t="s">
        <v>13</v>
      </c>
      <c r="C120" s="222" t="s">
        <v>14</v>
      </c>
      <c r="D120" s="8" t="s">
        <v>685</v>
      </c>
      <c r="E120" s="8" t="s">
        <v>712</v>
      </c>
      <c r="F120" s="86">
        <f>VLOOKUP(B120,'HSD UPAH,BAHAN,ALAT'!$C$6:F136,4,FALSE)</f>
        <v>100000</v>
      </c>
      <c r="G120" s="87">
        <f t="shared" si="21"/>
        <v>9880</v>
      </c>
    </row>
    <row r="121" spans="1:7">
      <c r="A121" s="261" t="s">
        <v>420</v>
      </c>
      <c r="B121" s="261"/>
      <c r="C121" s="261"/>
      <c r="D121" s="261"/>
      <c r="E121" s="261"/>
      <c r="F121" s="261"/>
      <c r="G121" s="85">
        <f>SUM(G119:G120)</f>
        <v>108680</v>
      </c>
    </row>
    <row r="122" spans="1:7">
      <c r="A122" s="8" t="s">
        <v>16</v>
      </c>
      <c r="B122" s="222" t="s">
        <v>17</v>
      </c>
      <c r="C122" s="222"/>
      <c r="D122" s="8"/>
      <c r="E122" s="8"/>
      <c r="F122" s="222"/>
      <c r="G122" s="222"/>
    </row>
    <row r="123" spans="1:7" ht="45">
      <c r="A123" s="8">
        <v>1</v>
      </c>
      <c r="B123" s="223" t="s">
        <v>734</v>
      </c>
      <c r="C123" s="222"/>
      <c r="D123" s="8" t="s">
        <v>688</v>
      </c>
      <c r="E123" s="8" t="s">
        <v>105</v>
      </c>
      <c r="F123" s="86">
        <f>VLOOKUP(B123,'HSD UPAH,BAHAN,ALAT'!$C$6:F601,4,FALSE)</f>
        <v>10000</v>
      </c>
      <c r="G123" s="87">
        <f t="shared" ref="G123" si="22">E123*F123</f>
        <v>10000</v>
      </c>
    </row>
    <row r="124" spans="1:7">
      <c r="A124" s="261" t="s">
        <v>421</v>
      </c>
      <c r="B124" s="261"/>
      <c r="C124" s="261"/>
      <c r="D124" s="261"/>
      <c r="E124" s="261"/>
      <c r="F124" s="261"/>
      <c r="G124" s="85">
        <f>SUM(G123)</f>
        <v>10000</v>
      </c>
    </row>
    <row r="125" spans="1:7">
      <c r="A125" s="8" t="s">
        <v>36</v>
      </c>
      <c r="B125" s="222" t="s">
        <v>37</v>
      </c>
      <c r="C125" s="222"/>
      <c r="D125" s="8"/>
      <c r="E125" s="8"/>
      <c r="F125" s="222"/>
      <c r="G125" s="222"/>
    </row>
    <row r="126" spans="1:7">
      <c r="A126" s="8">
        <v>1</v>
      </c>
      <c r="B126" s="222" t="s">
        <v>697</v>
      </c>
      <c r="C126" s="222"/>
      <c r="D126" s="8" t="s">
        <v>690</v>
      </c>
      <c r="E126" s="8" t="s">
        <v>713</v>
      </c>
      <c r="F126" s="86">
        <f>VLOOKUP(B126,'HSD UPAH,BAHAN,ALAT'!$C$6:F604,4,FALSE)</f>
        <v>25000</v>
      </c>
      <c r="G126" s="87">
        <f t="shared" ref="G126:G127" si="23">E126*F126</f>
        <v>9940</v>
      </c>
    </row>
    <row r="127" spans="1:7">
      <c r="A127" s="8">
        <v>2</v>
      </c>
      <c r="B127" s="222" t="s">
        <v>703</v>
      </c>
      <c r="C127" s="222"/>
      <c r="D127" s="8" t="s">
        <v>690</v>
      </c>
      <c r="E127" s="8" t="s">
        <v>714</v>
      </c>
      <c r="F127" s="86">
        <f>VLOOKUP(B127,'HSD UPAH,BAHAN,ALAT'!$C$6:F605,4,FALSE)</f>
        <v>25000</v>
      </c>
      <c r="G127" s="87">
        <f t="shared" si="23"/>
        <v>6175</v>
      </c>
    </row>
    <row r="128" spans="1:7">
      <c r="A128" s="268" t="s">
        <v>419</v>
      </c>
      <c r="B128" s="269"/>
      <c r="C128" s="269"/>
      <c r="D128" s="269"/>
      <c r="E128" s="269"/>
      <c r="F128" s="270"/>
      <c r="G128" s="224">
        <f>SUM(G126:G127)</f>
        <v>16115</v>
      </c>
    </row>
    <row r="129" spans="1:7">
      <c r="A129" s="8" t="s">
        <v>38</v>
      </c>
      <c r="B129" s="271" t="s">
        <v>39</v>
      </c>
      <c r="C129" s="272"/>
      <c r="D129" s="272"/>
      <c r="E129" s="272"/>
      <c r="F129" s="273"/>
      <c r="G129" s="225">
        <f>SUM(G119:G128)/2</f>
        <v>134795</v>
      </c>
    </row>
    <row r="130" spans="1:7">
      <c r="A130" s="8" t="s">
        <v>40</v>
      </c>
      <c r="B130" s="271" t="s">
        <v>180</v>
      </c>
      <c r="C130" s="272"/>
      <c r="D130" s="272"/>
      <c r="E130" s="273"/>
      <c r="F130" s="226">
        <v>0.1</v>
      </c>
      <c r="G130" s="224">
        <f>G129*F130</f>
        <v>13479.5</v>
      </c>
    </row>
    <row r="131" spans="1:7">
      <c r="A131" s="100" t="s">
        <v>41</v>
      </c>
      <c r="B131" s="274" t="s">
        <v>42</v>
      </c>
      <c r="C131" s="275"/>
      <c r="D131" s="275"/>
      <c r="E131" s="275"/>
      <c r="F131" s="276"/>
      <c r="G131" s="232">
        <f>G129+G130</f>
        <v>148274.5</v>
      </c>
    </row>
    <row r="132" spans="1:7">
      <c r="A132" s="233"/>
      <c r="B132" s="234"/>
      <c r="C132" s="234"/>
      <c r="D132" s="234"/>
      <c r="E132" s="234"/>
      <c r="F132" s="234"/>
      <c r="G132" s="235"/>
    </row>
    <row r="133" spans="1:7">
      <c r="A133" s="11" t="s">
        <v>896</v>
      </c>
      <c r="B133" s="227"/>
      <c r="C133" s="227"/>
      <c r="D133" s="227"/>
      <c r="E133" s="227"/>
      <c r="F133" s="227"/>
      <c r="G133" s="228"/>
    </row>
    <row r="134" spans="1:7" ht="30">
      <c r="A134" s="79" t="s">
        <v>0</v>
      </c>
      <c r="B134" s="79" t="s">
        <v>1</v>
      </c>
      <c r="C134" s="79" t="s">
        <v>207</v>
      </c>
      <c r="D134" s="79" t="s">
        <v>3</v>
      </c>
      <c r="E134" s="79" t="s">
        <v>2</v>
      </c>
      <c r="F134" s="79" t="s">
        <v>417</v>
      </c>
      <c r="G134" s="79" t="s">
        <v>418</v>
      </c>
    </row>
    <row r="135" spans="1:7">
      <c r="A135" s="8" t="s">
        <v>4</v>
      </c>
      <c r="B135" s="222" t="s">
        <v>5</v>
      </c>
      <c r="C135" s="222"/>
      <c r="D135" s="8"/>
      <c r="E135" s="8"/>
      <c r="F135" s="222"/>
      <c r="G135" s="222"/>
    </row>
    <row r="136" spans="1:7">
      <c r="A136" s="8">
        <v>1</v>
      </c>
      <c r="B136" s="222" t="s">
        <v>48</v>
      </c>
      <c r="C136" s="222" t="s">
        <v>49</v>
      </c>
      <c r="D136" s="8" t="s">
        <v>685</v>
      </c>
      <c r="E136" s="8" t="s">
        <v>718</v>
      </c>
      <c r="F136" s="86">
        <f>VLOOKUP(B136,'HSD UPAH,BAHAN,ALAT'!$C$6:F614,4,FALSE)</f>
        <v>100000</v>
      </c>
      <c r="G136" s="87">
        <f t="shared" ref="G136:G137" si="24">E136*F136</f>
        <v>540</v>
      </c>
    </row>
    <row r="137" spans="1:7">
      <c r="A137" s="8">
        <v>2</v>
      </c>
      <c r="B137" s="222" t="s">
        <v>13</v>
      </c>
      <c r="C137" s="222" t="s">
        <v>14</v>
      </c>
      <c r="D137" s="8" t="s">
        <v>685</v>
      </c>
      <c r="E137" s="8" t="s">
        <v>98</v>
      </c>
      <c r="F137" s="86">
        <f>VLOOKUP(B137,'HSD UPAH,BAHAN,ALAT'!$C$6:F615,4,FALSE)</f>
        <v>100000</v>
      </c>
      <c r="G137" s="87">
        <f t="shared" si="24"/>
        <v>50</v>
      </c>
    </row>
    <row r="138" spans="1:7">
      <c r="A138" s="261" t="s">
        <v>420</v>
      </c>
      <c r="B138" s="261"/>
      <c r="C138" s="261"/>
      <c r="D138" s="261"/>
      <c r="E138" s="261"/>
      <c r="F138" s="261"/>
      <c r="G138" s="85">
        <f>SUM(G136:G137)</f>
        <v>590</v>
      </c>
    </row>
    <row r="139" spans="1:7">
      <c r="A139" s="8" t="s">
        <v>16</v>
      </c>
      <c r="B139" s="222" t="s">
        <v>17</v>
      </c>
      <c r="C139" s="222"/>
      <c r="D139" s="8"/>
      <c r="E139" s="8"/>
      <c r="F139" s="222"/>
      <c r="G139" s="222"/>
    </row>
    <row r="140" spans="1:7" ht="45">
      <c r="A140" s="8">
        <v>1</v>
      </c>
      <c r="B140" s="223" t="s">
        <v>879</v>
      </c>
      <c r="C140" s="222"/>
      <c r="D140" s="230" t="s">
        <v>715</v>
      </c>
      <c r="E140" s="8" t="s">
        <v>105</v>
      </c>
      <c r="F140" s="86">
        <f>VLOOKUP(B140,'HSD UPAH,BAHAN,ALAT'!$C$6:F618,4,FALSE)</f>
        <v>10000</v>
      </c>
      <c r="G140" s="87">
        <f t="shared" ref="G140" si="25">E140*F140</f>
        <v>10000</v>
      </c>
    </row>
    <row r="141" spans="1:7">
      <c r="A141" s="261" t="s">
        <v>421</v>
      </c>
      <c r="B141" s="261"/>
      <c r="C141" s="261"/>
      <c r="D141" s="261"/>
      <c r="E141" s="261"/>
      <c r="F141" s="261"/>
      <c r="G141" s="85">
        <f>SUM(G140)</f>
        <v>10000</v>
      </c>
    </row>
    <row r="142" spans="1:7">
      <c r="A142" s="8" t="s">
        <v>36</v>
      </c>
      <c r="B142" s="222" t="s">
        <v>37</v>
      </c>
      <c r="C142" s="222"/>
      <c r="D142" s="8"/>
      <c r="E142" s="8"/>
      <c r="F142" s="222"/>
      <c r="G142" s="222"/>
    </row>
    <row r="143" spans="1:7">
      <c r="A143" s="8">
        <v>1</v>
      </c>
      <c r="B143" s="222" t="s">
        <v>716</v>
      </c>
      <c r="C143" s="222"/>
      <c r="D143" s="8" t="s">
        <v>690</v>
      </c>
      <c r="E143" s="8" t="s">
        <v>719</v>
      </c>
      <c r="F143" s="86">
        <f>VLOOKUP(B143,'HSD UPAH,BAHAN,ALAT'!$C$6:F621,4,FALSE)</f>
        <v>25000</v>
      </c>
      <c r="G143" s="87">
        <f t="shared" ref="G143" si="26">E143*F143</f>
        <v>407.49999999999994</v>
      </c>
    </row>
    <row r="144" spans="1:7">
      <c r="A144" s="268" t="s">
        <v>419</v>
      </c>
      <c r="B144" s="269"/>
      <c r="C144" s="269"/>
      <c r="D144" s="269"/>
      <c r="E144" s="269"/>
      <c r="F144" s="270"/>
      <c r="G144" s="224">
        <f>SUM(G143)</f>
        <v>407.49999999999994</v>
      </c>
    </row>
    <row r="145" spans="1:7">
      <c r="A145" s="8" t="s">
        <v>38</v>
      </c>
      <c r="B145" s="271" t="s">
        <v>39</v>
      </c>
      <c r="C145" s="272"/>
      <c r="D145" s="272"/>
      <c r="E145" s="272"/>
      <c r="F145" s="273"/>
      <c r="G145" s="225">
        <f>SUM(G135:G144)/2</f>
        <v>10997.5</v>
      </c>
    </row>
    <row r="146" spans="1:7">
      <c r="A146" s="8" t="s">
        <v>40</v>
      </c>
      <c r="B146" s="271" t="s">
        <v>180</v>
      </c>
      <c r="C146" s="272"/>
      <c r="D146" s="272"/>
      <c r="E146" s="273"/>
      <c r="F146" s="226">
        <v>0.1</v>
      </c>
      <c r="G146" s="224">
        <f>G145*F146</f>
        <v>1099.75</v>
      </c>
    </row>
    <row r="147" spans="1:7">
      <c r="A147" s="100" t="s">
        <v>41</v>
      </c>
      <c r="B147" s="274" t="s">
        <v>42</v>
      </c>
      <c r="C147" s="275"/>
      <c r="D147" s="275"/>
      <c r="E147" s="275"/>
      <c r="F147" s="276"/>
      <c r="G147" s="232">
        <f>G145+G146</f>
        <v>12097.25</v>
      </c>
    </row>
    <row r="148" spans="1:7">
      <c r="A148" s="233"/>
      <c r="B148" s="234"/>
      <c r="C148" s="234"/>
      <c r="D148" s="234"/>
      <c r="E148" s="234"/>
      <c r="F148" s="234"/>
      <c r="G148" s="235"/>
    </row>
    <row r="149" spans="1:7">
      <c r="A149" s="11" t="s">
        <v>897</v>
      </c>
      <c r="B149" s="227"/>
      <c r="C149" s="227"/>
      <c r="D149" s="227"/>
      <c r="E149" s="227"/>
      <c r="F149" s="227"/>
      <c r="G149" s="228"/>
    </row>
    <row r="150" spans="1:7" ht="30">
      <c r="A150" s="79" t="s">
        <v>0</v>
      </c>
      <c r="B150" s="79" t="s">
        <v>1</v>
      </c>
      <c r="C150" s="79" t="s">
        <v>207</v>
      </c>
      <c r="D150" s="79" t="s">
        <v>3</v>
      </c>
      <c r="E150" s="79" t="s">
        <v>2</v>
      </c>
      <c r="F150" s="79" t="s">
        <v>417</v>
      </c>
      <c r="G150" s="79" t="s">
        <v>418</v>
      </c>
    </row>
    <row r="151" spans="1:7">
      <c r="A151" s="8" t="s">
        <v>4</v>
      </c>
      <c r="B151" s="222" t="s">
        <v>5</v>
      </c>
      <c r="C151" s="222"/>
      <c r="D151" s="8"/>
      <c r="E151" s="8"/>
      <c r="F151" s="222"/>
      <c r="G151" s="222"/>
    </row>
    <row r="152" spans="1:7">
      <c r="A152" s="8">
        <v>1</v>
      </c>
      <c r="B152" s="222" t="s">
        <v>48</v>
      </c>
      <c r="C152" s="222" t="s">
        <v>49</v>
      </c>
      <c r="D152" s="8" t="s">
        <v>685</v>
      </c>
      <c r="E152" s="8" t="s">
        <v>720</v>
      </c>
      <c r="F152" s="86">
        <f>VLOOKUP(B152,'HSD UPAH,BAHAN,ALAT'!$C$6:F166,4,FALSE)</f>
        <v>100000</v>
      </c>
      <c r="G152" s="87">
        <f t="shared" ref="G152:G153" si="27">E152*F152</f>
        <v>1720</v>
      </c>
    </row>
    <row r="153" spans="1:7">
      <c r="A153" s="8">
        <v>2</v>
      </c>
      <c r="B153" s="222" t="s">
        <v>13</v>
      </c>
      <c r="C153" s="222" t="s">
        <v>14</v>
      </c>
      <c r="D153" s="8" t="s">
        <v>685</v>
      </c>
      <c r="E153" s="8" t="s">
        <v>201</v>
      </c>
      <c r="F153" s="86">
        <f>VLOOKUP(B153,'HSD UPAH,BAHAN,ALAT'!$C$6:F167,4,FALSE)</f>
        <v>100000</v>
      </c>
      <c r="G153" s="87">
        <f t="shared" si="27"/>
        <v>170</v>
      </c>
    </row>
    <row r="154" spans="1:7">
      <c r="A154" s="261" t="s">
        <v>420</v>
      </c>
      <c r="B154" s="261"/>
      <c r="C154" s="261"/>
      <c r="D154" s="261"/>
      <c r="E154" s="261"/>
      <c r="F154" s="261"/>
      <c r="G154" s="85">
        <f>SUM(G152:G153)</f>
        <v>1890</v>
      </c>
    </row>
    <row r="155" spans="1:7">
      <c r="A155" s="8" t="s">
        <v>16</v>
      </c>
      <c r="B155" s="222" t="s">
        <v>17</v>
      </c>
      <c r="C155" s="222"/>
      <c r="D155" s="8"/>
      <c r="E155" s="8"/>
      <c r="F155" s="222"/>
      <c r="G155" s="222"/>
    </row>
    <row r="156" spans="1:7" ht="45">
      <c r="A156" s="8">
        <v>1</v>
      </c>
      <c r="B156" s="223" t="s">
        <v>880</v>
      </c>
      <c r="C156" s="222"/>
      <c r="D156" s="230" t="s">
        <v>715</v>
      </c>
      <c r="E156" s="8" t="s">
        <v>105</v>
      </c>
      <c r="F156" s="86">
        <f>VLOOKUP(B156,'HSD UPAH,BAHAN,ALAT'!$C$6:F634,4,FALSE)</f>
        <v>10000</v>
      </c>
      <c r="G156" s="87">
        <f t="shared" ref="G156" si="28">E156*F156</f>
        <v>10000</v>
      </c>
    </row>
    <row r="157" spans="1:7">
      <c r="A157" s="261" t="s">
        <v>421</v>
      </c>
      <c r="B157" s="261"/>
      <c r="C157" s="261"/>
      <c r="D157" s="261"/>
      <c r="E157" s="261"/>
      <c r="F157" s="261"/>
      <c r="G157" s="85">
        <f>SUM(G156)</f>
        <v>10000</v>
      </c>
    </row>
    <row r="158" spans="1:7">
      <c r="A158" s="8" t="s">
        <v>36</v>
      </c>
      <c r="B158" s="222" t="s">
        <v>37</v>
      </c>
      <c r="C158" s="222"/>
      <c r="D158" s="8"/>
      <c r="E158" s="8"/>
      <c r="F158" s="222"/>
      <c r="G158" s="222"/>
    </row>
    <row r="159" spans="1:7">
      <c r="A159" s="8">
        <v>1</v>
      </c>
      <c r="B159" s="222" t="s">
        <v>716</v>
      </c>
      <c r="C159" s="222"/>
      <c r="D159" s="8" t="s">
        <v>690</v>
      </c>
      <c r="E159" s="8" t="s">
        <v>721</v>
      </c>
      <c r="F159" s="86">
        <f>VLOOKUP(B159,'HSD UPAH,BAHAN,ALAT'!$C$6:F637,4,FALSE)</f>
        <v>25000</v>
      </c>
      <c r="G159" s="87">
        <f t="shared" ref="G159" si="29">E159*F159</f>
        <v>1162.5</v>
      </c>
    </row>
    <row r="160" spans="1:7">
      <c r="A160" s="268" t="s">
        <v>419</v>
      </c>
      <c r="B160" s="269"/>
      <c r="C160" s="269"/>
      <c r="D160" s="269"/>
      <c r="E160" s="269"/>
      <c r="F160" s="270"/>
      <c r="G160" s="224">
        <f>SUM(G159)</f>
        <v>1162.5</v>
      </c>
    </row>
    <row r="161" spans="1:7">
      <c r="A161" s="8" t="s">
        <v>38</v>
      </c>
      <c r="B161" s="271" t="s">
        <v>39</v>
      </c>
      <c r="C161" s="272"/>
      <c r="D161" s="272"/>
      <c r="E161" s="272"/>
      <c r="F161" s="273"/>
      <c r="G161" s="225">
        <f>SUM(G151:G160)/2</f>
        <v>13052.5</v>
      </c>
    </row>
    <row r="162" spans="1:7">
      <c r="A162" s="8" t="s">
        <v>40</v>
      </c>
      <c r="B162" s="271" t="s">
        <v>180</v>
      </c>
      <c r="C162" s="272"/>
      <c r="D162" s="272"/>
      <c r="E162" s="273"/>
      <c r="F162" s="226">
        <v>0.1</v>
      </c>
      <c r="G162" s="224">
        <f>G161*F162</f>
        <v>1305.25</v>
      </c>
    </row>
    <row r="163" spans="1:7">
      <c r="A163" s="100" t="s">
        <v>41</v>
      </c>
      <c r="B163" s="274" t="s">
        <v>42</v>
      </c>
      <c r="C163" s="275"/>
      <c r="D163" s="275"/>
      <c r="E163" s="275"/>
      <c r="F163" s="276"/>
      <c r="G163" s="232">
        <f>G161+G162</f>
        <v>14357.75</v>
      </c>
    </row>
    <row r="164" spans="1:7">
      <c r="A164" s="233"/>
      <c r="B164" s="234"/>
      <c r="C164" s="234"/>
      <c r="D164" s="234"/>
      <c r="E164" s="234"/>
      <c r="F164" s="234"/>
      <c r="G164" s="235"/>
    </row>
    <row r="165" spans="1:7">
      <c r="A165" s="11" t="s">
        <v>898</v>
      </c>
      <c r="B165" s="227"/>
      <c r="C165" s="227"/>
      <c r="D165" s="227"/>
      <c r="E165" s="227"/>
      <c r="F165" s="227"/>
      <c r="G165" s="228"/>
    </row>
    <row r="166" spans="1:7" ht="30">
      <c r="A166" s="79" t="s">
        <v>0</v>
      </c>
      <c r="B166" s="79" t="s">
        <v>1</v>
      </c>
      <c r="C166" s="79" t="s">
        <v>207</v>
      </c>
      <c r="D166" s="79" t="s">
        <v>3</v>
      </c>
      <c r="E166" s="79" t="s">
        <v>2</v>
      </c>
      <c r="F166" s="79" t="s">
        <v>417</v>
      </c>
      <c r="G166" s="79" t="s">
        <v>418</v>
      </c>
    </row>
    <row r="167" spans="1:7">
      <c r="A167" s="8" t="s">
        <v>4</v>
      </c>
      <c r="B167" s="222" t="s">
        <v>5</v>
      </c>
      <c r="C167" s="222"/>
      <c r="D167" s="8"/>
      <c r="E167" s="8"/>
      <c r="F167" s="222"/>
      <c r="G167" s="222"/>
    </row>
    <row r="168" spans="1:7">
      <c r="A168" s="8">
        <v>1</v>
      </c>
      <c r="B168" s="222" t="s">
        <v>48</v>
      </c>
      <c r="C168" s="222" t="s">
        <v>49</v>
      </c>
      <c r="D168" s="8" t="s">
        <v>685</v>
      </c>
      <c r="E168" s="8" t="s">
        <v>695</v>
      </c>
      <c r="F168" s="86">
        <f>VLOOKUP(B168,'HSD UPAH,BAHAN,ALAT'!$C$6:F646,4,FALSE)</f>
        <v>100000</v>
      </c>
      <c r="G168" s="87">
        <f t="shared" ref="G168:G169" si="30">E168*F168</f>
        <v>5630</v>
      </c>
    </row>
    <row r="169" spans="1:7">
      <c r="A169" s="8">
        <v>2</v>
      </c>
      <c r="B169" s="222" t="s">
        <v>13</v>
      </c>
      <c r="C169" s="222" t="s">
        <v>14</v>
      </c>
      <c r="D169" s="8" t="s">
        <v>685</v>
      </c>
      <c r="E169" s="8" t="s">
        <v>696</v>
      </c>
      <c r="F169" s="86">
        <f>VLOOKUP(B169,'HSD UPAH,BAHAN,ALAT'!$C$6:F647,4,FALSE)</f>
        <v>100000</v>
      </c>
      <c r="G169" s="87">
        <f t="shared" si="30"/>
        <v>560</v>
      </c>
    </row>
    <row r="170" spans="1:7">
      <c r="A170" s="261" t="s">
        <v>420</v>
      </c>
      <c r="B170" s="261"/>
      <c r="C170" s="261"/>
      <c r="D170" s="261"/>
      <c r="E170" s="261"/>
      <c r="F170" s="261"/>
      <c r="G170" s="85">
        <f>SUM(G168:G169)</f>
        <v>6190</v>
      </c>
    </row>
    <row r="171" spans="1:7">
      <c r="A171" s="8" t="s">
        <v>16</v>
      </c>
      <c r="B171" s="222" t="s">
        <v>17</v>
      </c>
      <c r="C171" s="222"/>
      <c r="D171" s="8"/>
      <c r="E171" s="8"/>
      <c r="F171" s="222"/>
      <c r="G171" s="222"/>
    </row>
    <row r="172" spans="1:7" ht="45">
      <c r="A172" s="8">
        <v>1</v>
      </c>
      <c r="B172" s="223" t="s">
        <v>881</v>
      </c>
      <c r="C172" s="222"/>
      <c r="D172" s="8" t="s">
        <v>688</v>
      </c>
      <c r="E172" s="8" t="s">
        <v>105</v>
      </c>
      <c r="F172" s="86">
        <f>VLOOKUP(B172,'HSD UPAH,BAHAN,ALAT'!$C$6:F650,4,FALSE)</f>
        <v>10000</v>
      </c>
      <c r="G172" s="87">
        <f t="shared" ref="G172" si="31">E172*F172</f>
        <v>10000</v>
      </c>
    </row>
    <row r="173" spans="1:7">
      <c r="A173" s="261" t="s">
        <v>421</v>
      </c>
      <c r="B173" s="261"/>
      <c r="C173" s="261"/>
      <c r="D173" s="261"/>
      <c r="E173" s="261"/>
      <c r="F173" s="261"/>
      <c r="G173" s="85">
        <f>SUM(G172)</f>
        <v>10000</v>
      </c>
    </row>
    <row r="174" spans="1:7">
      <c r="A174" s="8" t="s">
        <v>36</v>
      </c>
      <c r="B174" s="222" t="s">
        <v>37</v>
      </c>
      <c r="C174" s="222"/>
      <c r="D174" s="8"/>
      <c r="E174" s="8"/>
      <c r="F174" s="222"/>
      <c r="G174" s="222"/>
    </row>
    <row r="175" spans="1:7">
      <c r="A175" s="8">
        <v>1</v>
      </c>
      <c r="B175" s="222" t="s">
        <v>697</v>
      </c>
      <c r="C175" s="222"/>
      <c r="D175" s="8" t="s">
        <v>690</v>
      </c>
      <c r="E175" s="8" t="s">
        <v>876</v>
      </c>
      <c r="F175" s="86">
        <f>VLOOKUP(B175,'HSD UPAH,BAHAN,ALAT'!$C$6:F653,4,FALSE)</f>
        <v>25000</v>
      </c>
      <c r="G175" s="87">
        <f t="shared" ref="G175" si="32">E175*F175</f>
        <v>670</v>
      </c>
    </row>
    <row r="176" spans="1:7">
      <c r="A176" s="268" t="s">
        <v>419</v>
      </c>
      <c r="B176" s="269"/>
      <c r="C176" s="269"/>
      <c r="D176" s="269"/>
      <c r="E176" s="269"/>
      <c r="F176" s="270"/>
      <c r="G176" s="224">
        <f>SUM(G175)</f>
        <v>670</v>
      </c>
    </row>
    <row r="177" spans="1:7">
      <c r="A177" s="8" t="s">
        <v>38</v>
      </c>
      <c r="B177" s="271" t="s">
        <v>39</v>
      </c>
      <c r="C177" s="272"/>
      <c r="D177" s="272"/>
      <c r="E177" s="272"/>
      <c r="F177" s="273"/>
      <c r="G177" s="225">
        <f>SUM(G167:G176)/2</f>
        <v>16860</v>
      </c>
    </row>
    <row r="178" spans="1:7">
      <c r="A178" s="8" t="s">
        <v>40</v>
      </c>
      <c r="B178" s="271" t="s">
        <v>180</v>
      </c>
      <c r="C178" s="272"/>
      <c r="D178" s="272"/>
      <c r="E178" s="273"/>
      <c r="F178" s="226">
        <v>0.1</v>
      </c>
      <c r="G178" s="224">
        <f>G177*F178</f>
        <v>1686</v>
      </c>
    </row>
    <row r="179" spans="1:7">
      <c r="A179" s="100" t="s">
        <v>41</v>
      </c>
      <c r="B179" s="274" t="s">
        <v>42</v>
      </c>
      <c r="C179" s="275"/>
      <c r="D179" s="275"/>
      <c r="E179" s="275"/>
      <c r="F179" s="276"/>
      <c r="G179" s="232">
        <f>G177+G178</f>
        <v>18546</v>
      </c>
    </row>
    <row r="180" spans="1:7">
      <c r="A180" s="233"/>
      <c r="B180" s="234"/>
      <c r="C180" s="234"/>
      <c r="D180" s="234"/>
      <c r="E180" s="234"/>
      <c r="F180" s="234"/>
      <c r="G180" s="235"/>
    </row>
    <row r="181" spans="1:7">
      <c r="A181" s="11" t="s">
        <v>899</v>
      </c>
      <c r="B181" s="227"/>
      <c r="C181" s="227"/>
      <c r="D181" s="227"/>
      <c r="E181" s="227"/>
      <c r="F181" s="227"/>
      <c r="G181" s="228"/>
    </row>
    <row r="182" spans="1:7" ht="30">
      <c r="A182" s="79" t="s">
        <v>0</v>
      </c>
      <c r="B182" s="79" t="s">
        <v>1</v>
      </c>
      <c r="C182" s="79" t="s">
        <v>207</v>
      </c>
      <c r="D182" s="79" t="s">
        <v>3</v>
      </c>
      <c r="E182" s="79" t="s">
        <v>2</v>
      </c>
      <c r="F182" s="79" t="s">
        <v>417</v>
      </c>
      <c r="G182" s="79" t="s">
        <v>418</v>
      </c>
    </row>
    <row r="183" spans="1:7">
      <c r="A183" s="8" t="s">
        <v>4</v>
      </c>
      <c r="B183" s="222" t="s">
        <v>5</v>
      </c>
      <c r="C183" s="222"/>
      <c r="D183" s="8"/>
      <c r="E183" s="8"/>
      <c r="F183" s="222"/>
      <c r="G183" s="222"/>
    </row>
    <row r="184" spans="1:7">
      <c r="A184" s="8">
        <v>1</v>
      </c>
      <c r="B184" s="222" t="s">
        <v>48</v>
      </c>
      <c r="C184" s="222" t="s">
        <v>49</v>
      </c>
      <c r="D184" s="8" t="s">
        <v>685</v>
      </c>
      <c r="E184" s="8" t="s">
        <v>718</v>
      </c>
      <c r="F184" s="86">
        <f>VLOOKUP(B184,'HSD UPAH,BAHAN,ALAT'!$C$6:F662,4,FALSE)</f>
        <v>100000</v>
      </c>
      <c r="G184" s="87">
        <f t="shared" ref="G184:G185" si="33">E184*F184</f>
        <v>540</v>
      </c>
    </row>
    <row r="185" spans="1:7">
      <c r="A185" s="8">
        <v>2</v>
      </c>
      <c r="B185" s="222" t="s">
        <v>13</v>
      </c>
      <c r="C185" s="222" t="s">
        <v>14</v>
      </c>
      <c r="D185" s="8" t="s">
        <v>685</v>
      </c>
      <c r="E185" s="8" t="s">
        <v>98</v>
      </c>
      <c r="F185" s="86">
        <f>VLOOKUP(B185,'HSD UPAH,BAHAN,ALAT'!$C$6:F663,4,FALSE)</f>
        <v>100000</v>
      </c>
      <c r="G185" s="87">
        <f t="shared" si="33"/>
        <v>50</v>
      </c>
    </row>
    <row r="186" spans="1:7">
      <c r="A186" s="261" t="s">
        <v>420</v>
      </c>
      <c r="B186" s="261"/>
      <c r="C186" s="261"/>
      <c r="D186" s="261"/>
      <c r="E186" s="261"/>
      <c r="F186" s="261"/>
      <c r="G186" s="85">
        <f>SUM(G184:G185)</f>
        <v>590</v>
      </c>
    </row>
    <row r="187" spans="1:7">
      <c r="A187" s="8" t="s">
        <v>16</v>
      </c>
      <c r="B187" s="222" t="s">
        <v>17</v>
      </c>
      <c r="C187" s="222"/>
      <c r="D187" s="8"/>
      <c r="E187" s="8"/>
      <c r="F187" s="222"/>
      <c r="G187" s="222"/>
    </row>
    <row r="188" spans="1:7" ht="30">
      <c r="A188" s="8">
        <v>1</v>
      </c>
      <c r="B188" s="223" t="s">
        <v>882</v>
      </c>
      <c r="C188" s="222"/>
      <c r="D188" s="230" t="s">
        <v>715</v>
      </c>
      <c r="E188" s="8" t="s">
        <v>105</v>
      </c>
      <c r="F188" s="86">
        <f>VLOOKUP(B188,'HSD UPAH,BAHAN,ALAT'!$C$6:F666,4,FALSE)</f>
        <v>10000</v>
      </c>
      <c r="G188" s="87">
        <f t="shared" ref="G188" si="34">E188*F188</f>
        <v>10000</v>
      </c>
    </row>
    <row r="189" spans="1:7">
      <c r="A189" s="261" t="s">
        <v>421</v>
      </c>
      <c r="B189" s="261"/>
      <c r="C189" s="261"/>
      <c r="D189" s="261"/>
      <c r="E189" s="261"/>
      <c r="F189" s="261"/>
      <c r="G189" s="85">
        <f>SUM(G188)</f>
        <v>10000</v>
      </c>
    </row>
    <row r="190" spans="1:7">
      <c r="A190" s="8" t="s">
        <v>36</v>
      </c>
      <c r="B190" s="222" t="s">
        <v>37</v>
      </c>
      <c r="C190" s="222"/>
      <c r="D190" s="8"/>
      <c r="E190" s="8"/>
      <c r="F190" s="222"/>
      <c r="G190" s="222"/>
    </row>
    <row r="191" spans="1:7">
      <c r="A191" s="8">
        <v>1</v>
      </c>
      <c r="B191" s="222" t="s">
        <v>716</v>
      </c>
      <c r="C191" s="222"/>
      <c r="D191" s="8" t="s">
        <v>690</v>
      </c>
      <c r="E191" s="8" t="s">
        <v>719</v>
      </c>
      <c r="F191" s="86">
        <f>VLOOKUP(B191,'HSD UPAH,BAHAN,ALAT'!$C$6:F669,4,FALSE)</f>
        <v>25000</v>
      </c>
      <c r="G191" s="87">
        <f t="shared" ref="G191" si="35">E191*F191</f>
        <v>407.49999999999994</v>
      </c>
    </row>
    <row r="192" spans="1:7">
      <c r="A192" s="268" t="s">
        <v>419</v>
      </c>
      <c r="B192" s="269"/>
      <c r="C192" s="269"/>
      <c r="D192" s="269"/>
      <c r="E192" s="269"/>
      <c r="F192" s="270"/>
      <c r="G192" s="224">
        <f>SUM(G191)</f>
        <v>407.49999999999994</v>
      </c>
    </row>
    <row r="193" spans="1:7">
      <c r="A193" s="8" t="s">
        <v>38</v>
      </c>
      <c r="B193" s="271" t="s">
        <v>39</v>
      </c>
      <c r="C193" s="272"/>
      <c r="D193" s="272"/>
      <c r="E193" s="272"/>
      <c r="F193" s="273"/>
      <c r="G193" s="225">
        <f>SUM(G183:G192)/2</f>
        <v>10997.5</v>
      </c>
    </row>
    <row r="194" spans="1:7">
      <c r="A194" s="8" t="s">
        <v>40</v>
      </c>
      <c r="B194" s="271" t="s">
        <v>180</v>
      </c>
      <c r="C194" s="272"/>
      <c r="D194" s="272"/>
      <c r="E194" s="273"/>
      <c r="F194" s="226">
        <v>0.1</v>
      </c>
      <c r="G194" s="224">
        <f>G193*F194</f>
        <v>1099.75</v>
      </c>
    </row>
    <row r="195" spans="1:7">
      <c r="A195" s="100" t="s">
        <v>41</v>
      </c>
      <c r="B195" s="274" t="s">
        <v>42</v>
      </c>
      <c r="C195" s="275"/>
      <c r="D195" s="275"/>
      <c r="E195" s="275"/>
      <c r="F195" s="276"/>
      <c r="G195" s="232">
        <f>G193+G194</f>
        <v>12097.25</v>
      </c>
    </row>
    <row r="196" spans="1:7">
      <c r="A196" s="233"/>
      <c r="B196" s="234"/>
      <c r="C196" s="234"/>
      <c r="D196" s="234"/>
      <c r="E196" s="234"/>
      <c r="F196" s="234"/>
      <c r="G196" s="235"/>
    </row>
    <row r="197" spans="1:7">
      <c r="A197" s="11" t="s">
        <v>900</v>
      </c>
      <c r="B197" s="227"/>
      <c r="C197" s="227"/>
      <c r="D197" s="227"/>
      <c r="E197" s="227"/>
      <c r="F197" s="227"/>
      <c r="G197" s="228"/>
    </row>
    <row r="198" spans="1:7" ht="30">
      <c r="A198" s="79" t="s">
        <v>0</v>
      </c>
      <c r="B198" s="79" t="s">
        <v>1</v>
      </c>
      <c r="C198" s="79" t="s">
        <v>207</v>
      </c>
      <c r="D198" s="79" t="s">
        <v>3</v>
      </c>
      <c r="E198" s="79" t="s">
        <v>2</v>
      </c>
      <c r="F198" s="79" t="s">
        <v>417</v>
      </c>
      <c r="G198" s="79" t="s">
        <v>418</v>
      </c>
    </row>
    <row r="199" spans="1:7">
      <c r="A199" s="8" t="s">
        <v>4</v>
      </c>
      <c r="B199" s="222" t="s">
        <v>5</v>
      </c>
      <c r="C199" s="222"/>
      <c r="D199" s="8"/>
      <c r="E199" s="8"/>
      <c r="F199" s="222"/>
      <c r="G199" s="1"/>
    </row>
    <row r="200" spans="1:7">
      <c r="A200" s="8">
        <v>1</v>
      </c>
      <c r="B200" s="222" t="s">
        <v>48</v>
      </c>
      <c r="C200" s="222" t="s">
        <v>49</v>
      </c>
      <c r="D200" s="8" t="s">
        <v>685</v>
      </c>
      <c r="E200" s="8" t="s">
        <v>720</v>
      </c>
      <c r="F200" s="86">
        <f>VLOOKUP(B200,'HSD UPAH,BAHAN,ALAT'!$C$6:F678,4,FALSE)</f>
        <v>100000</v>
      </c>
      <c r="G200" s="87">
        <f t="shared" ref="G200:G201" si="36">E200*F200</f>
        <v>1720</v>
      </c>
    </row>
    <row r="201" spans="1:7">
      <c r="A201" s="8">
        <v>2</v>
      </c>
      <c r="B201" s="222" t="s">
        <v>13</v>
      </c>
      <c r="C201" s="222" t="s">
        <v>14</v>
      </c>
      <c r="D201" s="8" t="s">
        <v>685</v>
      </c>
      <c r="E201" s="8" t="s">
        <v>201</v>
      </c>
      <c r="F201" s="86">
        <f>VLOOKUP(B201,'HSD UPAH,BAHAN,ALAT'!$C$6:F679,4,FALSE)</f>
        <v>100000</v>
      </c>
      <c r="G201" s="87">
        <f t="shared" si="36"/>
        <v>170</v>
      </c>
    </row>
    <row r="202" spans="1:7">
      <c r="A202" s="261" t="s">
        <v>420</v>
      </c>
      <c r="B202" s="261"/>
      <c r="C202" s="261"/>
      <c r="D202" s="261"/>
      <c r="E202" s="261"/>
      <c r="F202" s="261"/>
      <c r="G202" s="85">
        <f>SUM(G200:G201)</f>
        <v>1890</v>
      </c>
    </row>
    <row r="203" spans="1:7">
      <c r="A203" s="8" t="s">
        <v>16</v>
      </c>
      <c r="B203" s="222" t="s">
        <v>17</v>
      </c>
      <c r="C203" s="222"/>
      <c r="D203" s="8"/>
      <c r="E203" s="8"/>
      <c r="F203" s="222"/>
      <c r="G203" s="1"/>
    </row>
    <row r="204" spans="1:7" ht="30">
      <c r="A204" s="8">
        <v>1</v>
      </c>
      <c r="B204" s="223" t="s">
        <v>883</v>
      </c>
      <c r="C204" s="222"/>
      <c r="D204" s="230" t="s">
        <v>715</v>
      </c>
      <c r="E204" s="8" t="s">
        <v>105</v>
      </c>
      <c r="F204" s="86">
        <f>VLOOKUP(B204,'HSD UPAH,BAHAN,ALAT'!$C$6:F682,4,FALSE)</f>
        <v>10000</v>
      </c>
      <c r="G204" s="87">
        <f t="shared" ref="G204" si="37">E204*F204</f>
        <v>10000</v>
      </c>
    </row>
    <row r="205" spans="1:7">
      <c r="A205" s="261" t="s">
        <v>421</v>
      </c>
      <c r="B205" s="261"/>
      <c r="C205" s="261"/>
      <c r="D205" s="261"/>
      <c r="E205" s="261"/>
      <c r="F205" s="261"/>
      <c r="G205" s="85">
        <f>SUM(G204)</f>
        <v>10000</v>
      </c>
    </row>
    <row r="206" spans="1:7">
      <c r="A206" s="8" t="s">
        <v>36</v>
      </c>
      <c r="B206" s="222" t="s">
        <v>37</v>
      </c>
      <c r="C206" s="222"/>
      <c r="D206" s="8"/>
      <c r="E206" s="8"/>
      <c r="F206" s="222"/>
      <c r="G206" s="1"/>
    </row>
    <row r="207" spans="1:7">
      <c r="A207" s="8">
        <v>1</v>
      </c>
      <c r="B207" s="222" t="s">
        <v>716</v>
      </c>
      <c r="C207" s="222"/>
      <c r="D207" s="8" t="s">
        <v>690</v>
      </c>
      <c r="E207" s="8" t="s">
        <v>721</v>
      </c>
      <c r="F207" s="86">
        <f>VLOOKUP(B207,'HSD UPAH,BAHAN,ALAT'!$C$6:F685,4,FALSE)</f>
        <v>25000</v>
      </c>
      <c r="G207" s="87">
        <f t="shared" ref="G207" si="38">E207*F207</f>
        <v>1162.5</v>
      </c>
    </row>
    <row r="208" spans="1:7">
      <c r="A208" s="268" t="s">
        <v>419</v>
      </c>
      <c r="B208" s="269"/>
      <c r="C208" s="269"/>
      <c r="D208" s="269"/>
      <c r="E208" s="269"/>
      <c r="F208" s="270"/>
      <c r="G208" s="224">
        <f>SUM(G207)</f>
        <v>1162.5</v>
      </c>
    </row>
    <row r="209" spans="1:7">
      <c r="A209" s="8" t="s">
        <v>38</v>
      </c>
      <c r="B209" s="271" t="s">
        <v>39</v>
      </c>
      <c r="C209" s="272"/>
      <c r="D209" s="272"/>
      <c r="E209" s="272"/>
      <c r="F209" s="273"/>
      <c r="G209" s="225">
        <f>SUM(G199:G208)/2</f>
        <v>13052.5</v>
      </c>
    </row>
    <row r="210" spans="1:7">
      <c r="A210" s="8" t="s">
        <v>40</v>
      </c>
      <c r="B210" s="271" t="s">
        <v>180</v>
      </c>
      <c r="C210" s="272"/>
      <c r="D210" s="272"/>
      <c r="E210" s="273"/>
      <c r="F210" s="226">
        <v>0.1</v>
      </c>
      <c r="G210" s="224">
        <f>G209*F210</f>
        <v>1305.25</v>
      </c>
    </row>
    <row r="211" spans="1:7">
      <c r="A211" s="100" t="s">
        <v>41</v>
      </c>
      <c r="B211" s="274" t="s">
        <v>42</v>
      </c>
      <c r="C211" s="275"/>
      <c r="D211" s="275"/>
      <c r="E211" s="275"/>
      <c r="F211" s="276"/>
      <c r="G211" s="232">
        <f>G209+G210</f>
        <v>14357.75</v>
      </c>
    </row>
    <row r="212" spans="1:7">
      <c r="A212" s="233"/>
      <c r="B212" s="234"/>
      <c r="C212" s="234"/>
      <c r="D212" s="234"/>
      <c r="E212" s="234"/>
      <c r="F212" s="234"/>
      <c r="G212" s="235"/>
    </row>
    <row r="213" spans="1:7">
      <c r="A213" s="11" t="s">
        <v>901</v>
      </c>
      <c r="B213" s="227"/>
      <c r="C213" s="227"/>
      <c r="D213" s="227"/>
      <c r="E213" s="227"/>
      <c r="F213" s="227"/>
      <c r="G213" s="228"/>
    </row>
    <row r="214" spans="1:7" ht="30">
      <c r="A214" s="79" t="s">
        <v>0</v>
      </c>
      <c r="B214" s="79" t="s">
        <v>1</v>
      </c>
      <c r="C214" s="79" t="s">
        <v>207</v>
      </c>
      <c r="D214" s="79" t="s">
        <v>3</v>
      </c>
      <c r="E214" s="79" t="s">
        <v>2</v>
      </c>
      <c r="F214" s="79" t="s">
        <v>417</v>
      </c>
      <c r="G214" s="79" t="s">
        <v>418</v>
      </c>
    </row>
    <row r="215" spans="1:7">
      <c r="A215" s="8" t="s">
        <v>4</v>
      </c>
      <c r="B215" s="222" t="s">
        <v>5</v>
      </c>
      <c r="C215" s="222"/>
      <c r="D215" s="8"/>
      <c r="E215" s="8"/>
      <c r="F215" s="222"/>
      <c r="G215" s="222"/>
    </row>
    <row r="216" spans="1:7">
      <c r="A216" s="8">
        <v>1</v>
      </c>
      <c r="B216" s="222" t="s">
        <v>48</v>
      </c>
      <c r="C216" s="222" t="s">
        <v>49</v>
      </c>
      <c r="D216" s="8" t="s">
        <v>685</v>
      </c>
      <c r="E216" s="8" t="s">
        <v>692</v>
      </c>
      <c r="F216" s="86">
        <f>VLOOKUP(B216,'HSD UPAH,BAHAN,ALAT'!$C$6:F694,4,FALSE)</f>
        <v>100000</v>
      </c>
      <c r="G216" s="87">
        <f t="shared" ref="G216:G217" si="39">E216*F216</f>
        <v>2990</v>
      </c>
    </row>
    <row r="217" spans="1:7">
      <c r="A217" s="8">
        <v>2</v>
      </c>
      <c r="B217" s="222" t="s">
        <v>13</v>
      </c>
      <c r="C217" s="222" t="s">
        <v>14</v>
      </c>
      <c r="D217" s="8" t="s">
        <v>685</v>
      </c>
      <c r="E217" s="8" t="s">
        <v>693</v>
      </c>
      <c r="F217" s="86">
        <f>VLOOKUP(B217,'HSD UPAH,BAHAN,ALAT'!$C$6:F695,4,FALSE)</f>
        <v>100000</v>
      </c>
      <c r="G217" s="87">
        <f t="shared" si="39"/>
        <v>300</v>
      </c>
    </row>
    <row r="218" spans="1:7">
      <c r="A218" s="261" t="s">
        <v>420</v>
      </c>
      <c r="B218" s="261"/>
      <c r="C218" s="261"/>
      <c r="D218" s="261"/>
      <c r="E218" s="261"/>
      <c r="F218" s="261"/>
      <c r="G218" s="85">
        <f>SUM(G216:G217)</f>
        <v>3290</v>
      </c>
    </row>
    <row r="219" spans="1:7">
      <c r="A219" s="8" t="s">
        <v>16</v>
      </c>
      <c r="B219" s="222" t="s">
        <v>17</v>
      </c>
      <c r="C219" s="222"/>
      <c r="D219" s="8"/>
      <c r="E219" s="8"/>
      <c r="F219" s="222"/>
      <c r="G219" s="222"/>
    </row>
    <row r="220" spans="1:7" ht="45">
      <c r="A220" s="8">
        <v>1</v>
      </c>
      <c r="B220" s="223" t="s">
        <v>884</v>
      </c>
      <c r="C220" s="222"/>
      <c r="D220" s="8" t="s">
        <v>688</v>
      </c>
      <c r="E220" s="8" t="s">
        <v>105</v>
      </c>
      <c r="F220" s="86">
        <f>VLOOKUP(B220,'HSD UPAH,BAHAN,ALAT'!$C$6:F698,4,FALSE)</f>
        <v>10000</v>
      </c>
      <c r="G220" s="87">
        <f t="shared" ref="G220" si="40">E220*F220</f>
        <v>10000</v>
      </c>
    </row>
    <row r="221" spans="1:7">
      <c r="A221" s="261" t="s">
        <v>421</v>
      </c>
      <c r="B221" s="261"/>
      <c r="C221" s="261"/>
      <c r="D221" s="261"/>
      <c r="E221" s="261"/>
      <c r="F221" s="261"/>
      <c r="G221" s="85">
        <f>SUM(G220)</f>
        <v>10000</v>
      </c>
    </row>
    <row r="222" spans="1:7">
      <c r="A222" s="8" t="s">
        <v>36</v>
      </c>
      <c r="B222" s="222" t="s">
        <v>37</v>
      </c>
      <c r="C222" s="222"/>
      <c r="D222" s="8"/>
      <c r="E222" s="8"/>
      <c r="F222" s="222"/>
      <c r="G222" s="222"/>
    </row>
    <row r="223" spans="1:7">
      <c r="A223" s="8">
        <v>1</v>
      </c>
      <c r="B223" s="145" t="s">
        <v>689</v>
      </c>
      <c r="C223" s="222"/>
      <c r="D223" s="8" t="s">
        <v>690</v>
      </c>
      <c r="E223" s="8" t="s">
        <v>694</v>
      </c>
      <c r="F223" s="86">
        <f>VLOOKUP(B223,'HSD UPAH,BAHAN,ALAT'!$C$6:F701,4,FALSE)</f>
        <v>25000</v>
      </c>
      <c r="G223" s="87">
        <f t="shared" ref="G223" si="41">E223*F223</f>
        <v>887.49999999999989</v>
      </c>
    </row>
    <row r="224" spans="1:7">
      <c r="A224" s="268" t="s">
        <v>419</v>
      </c>
      <c r="B224" s="269"/>
      <c r="C224" s="269"/>
      <c r="D224" s="269"/>
      <c r="E224" s="269"/>
      <c r="F224" s="270"/>
      <c r="G224" s="224">
        <f>SUM(G223)</f>
        <v>887.49999999999989</v>
      </c>
    </row>
    <row r="225" spans="1:7">
      <c r="A225" s="8" t="s">
        <v>38</v>
      </c>
      <c r="B225" s="271" t="s">
        <v>39</v>
      </c>
      <c r="C225" s="272"/>
      <c r="D225" s="272"/>
      <c r="E225" s="272"/>
      <c r="F225" s="273"/>
      <c r="G225" s="225">
        <f>SUM(G215:G224)/2</f>
        <v>14177.5</v>
      </c>
    </row>
    <row r="226" spans="1:7">
      <c r="A226" s="8" t="s">
        <v>40</v>
      </c>
      <c r="B226" s="271" t="s">
        <v>180</v>
      </c>
      <c r="C226" s="272"/>
      <c r="D226" s="272"/>
      <c r="E226" s="273"/>
      <c r="F226" s="226">
        <v>0.1</v>
      </c>
      <c r="G226" s="224">
        <f>G225*F226</f>
        <v>1417.75</v>
      </c>
    </row>
    <row r="227" spans="1:7">
      <c r="A227" s="100" t="s">
        <v>41</v>
      </c>
      <c r="B227" s="274" t="s">
        <v>42</v>
      </c>
      <c r="C227" s="275"/>
      <c r="D227" s="275"/>
      <c r="E227" s="275"/>
      <c r="F227" s="276"/>
      <c r="G227" s="232">
        <f>G225+G226</f>
        <v>15595.25</v>
      </c>
    </row>
    <row r="228" spans="1:7">
      <c r="A228" s="233"/>
      <c r="B228" s="234"/>
      <c r="C228" s="234"/>
      <c r="D228" s="234"/>
      <c r="E228" s="234"/>
      <c r="F228" s="234"/>
      <c r="G228" s="235"/>
    </row>
    <row r="229" spans="1:7">
      <c r="A229" s="11" t="s">
        <v>902</v>
      </c>
      <c r="B229" s="227"/>
      <c r="C229" s="227"/>
      <c r="D229" s="227"/>
      <c r="E229" s="227"/>
      <c r="F229" s="227"/>
      <c r="G229" s="228"/>
    </row>
    <row r="230" spans="1:7" ht="30">
      <c r="A230" s="79" t="s">
        <v>0</v>
      </c>
      <c r="B230" s="79" t="s">
        <v>1</v>
      </c>
      <c r="C230" s="79" t="s">
        <v>207</v>
      </c>
      <c r="D230" s="79" t="s">
        <v>3</v>
      </c>
      <c r="E230" s="79" t="s">
        <v>2</v>
      </c>
      <c r="F230" s="79" t="s">
        <v>417</v>
      </c>
      <c r="G230" s="79" t="s">
        <v>418</v>
      </c>
    </row>
    <row r="231" spans="1:7">
      <c r="A231" s="8" t="s">
        <v>4</v>
      </c>
      <c r="B231" s="222" t="s">
        <v>5</v>
      </c>
      <c r="C231" s="222"/>
      <c r="D231" s="8"/>
      <c r="E231" s="8"/>
      <c r="F231" s="222"/>
      <c r="G231" s="222"/>
    </row>
    <row r="232" spans="1:7">
      <c r="A232" s="8">
        <v>1</v>
      </c>
      <c r="B232" s="222" t="s">
        <v>48</v>
      </c>
      <c r="C232" s="222" t="s">
        <v>49</v>
      </c>
      <c r="D232" s="8" t="s">
        <v>685</v>
      </c>
      <c r="E232" s="8" t="s">
        <v>695</v>
      </c>
      <c r="F232" s="86">
        <f>VLOOKUP(B232,'HSD UPAH,BAHAN,ALAT'!$C$6:F710,4,FALSE)</f>
        <v>100000</v>
      </c>
      <c r="G232" s="87">
        <f t="shared" ref="G232:G233" si="42">E232*F232</f>
        <v>5630</v>
      </c>
    </row>
    <row r="233" spans="1:7">
      <c r="A233" s="8">
        <v>2</v>
      </c>
      <c r="B233" s="222" t="s">
        <v>13</v>
      </c>
      <c r="C233" s="222" t="s">
        <v>14</v>
      </c>
      <c r="D233" s="8" t="s">
        <v>685</v>
      </c>
      <c r="E233" s="8" t="s">
        <v>696</v>
      </c>
      <c r="F233" s="86">
        <f>VLOOKUP(B233,'HSD UPAH,BAHAN,ALAT'!$C$6:F711,4,FALSE)</f>
        <v>100000</v>
      </c>
      <c r="G233" s="87">
        <f t="shared" si="42"/>
        <v>560</v>
      </c>
    </row>
    <row r="234" spans="1:7">
      <c r="A234" s="261" t="s">
        <v>420</v>
      </c>
      <c r="B234" s="261"/>
      <c r="C234" s="261"/>
      <c r="D234" s="261"/>
      <c r="E234" s="261"/>
      <c r="F234" s="261"/>
      <c r="G234" s="85">
        <f>SUM(G232:G233)</f>
        <v>6190</v>
      </c>
    </row>
    <row r="235" spans="1:7">
      <c r="A235" s="8" t="s">
        <v>16</v>
      </c>
      <c r="B235" s="222" t="s">
        <v>17</v>
      </c>
      <c r="C235" s="222"/>
      <c r="D235" s="8"/>
      <c r="E235" s="8"/>
      <c r="F235" s="222"/>
      <c r="G235" s="222"/>
    </row>
    <row r="236" spans="1:7" ht="45">
      <c r="A236" s="8">
        <v>1</v>
      </c>
      <c r="B236" s="223" t="s">
        <v>885</v>
      </c>
      <c r="C236" s="222"/>
      <c r="D236" s="8" t="s">
        <v>688</v>
      </c>
      <c r="E236" s="8" t="s">
        <v>105</v>
      </c>
      <c r="F236" s="86">
        <f>VLOOKUP(B236,'HSD UPAH,BAHAN,ALAT'!$C$6:F714,4,FALSE)</f>
        <v>10000</v>
      </c>
      <c r="G236" s="87">
        <f t="shared" ref="G236" si="43">E236*F236</f>
        <v>10000</v>
      </c>
    </row>
    <row r="237" spans="1:7">
      <c r="A237" s="261" t="s">
        <v>421</v>
      </c>
      <c r="B237" s="261"/>
      <c r="C237" s="261"/>
      <c r="D237" s="261"/>
      <c r="E237" s="261"/>
      <c r="F237" s="261"/>
      <c r="G237" s="85">
        <f>SUM(G236)</f>
        <v>10000</v>
      </c>
    </row>
    <row r="238" spans="1:7">
      <c r="A238" s="8" t="s">
        <v>36</v>
      </c>
      <c r="B238" s="222" t="s">
        <v>37</v>
      </c>
      <c r="C238" s="222"/>
      <c r="D238" s="8"/>
      <c r="E238" s="8"/>
      <c r="F238" s="222"/>
      <c r="G238" s="222"/>
    </row>
    <row r="239" spans="1:7">
      <c r="A239" s="8">
        <v>1</v>
      </c>
      <c r="B239" s="222" t="s">
        <v>697</v>
      </c>
      <c r="C239" s="222"/>
      <c r="D239" s="8" t="s">
        <v>690</v>
      </c>
      <c r="E239" s="8" t="s">
        <v>876</v>
      </c>
      <c r="F239" s="86">
        <f>VLOOKUP(B239,'HSD UPAH,BAHAN,ALAT'!$C$6:F717,4,FALSE)</f>
        <v>25000</v>
      </c>
      <c r="G239" s="87">
        <f t="shared" ref="G239" si="44">E239*F239</f>
        <v>670</v>
      </c>
    </row>
    <row r="240" spans="1:7">
      <c r="A240" s="268" t="s">
        <v>419</v>
      </c>
      <c r="B240" s="269"/>
      <c r="C240" s="269"/>
      <c r="D240" s="269"/>
      <c r="E240" s="269"/>
      <c r="F240" s="270"/>
      <c r="G240" s="224">
        <f>SUM(G239)</f>
        <v>670</v>
      </c>
    </row>
    <row r="241" spans="1:7">
      <c r="A241" s="8" t="s">
        <v>38</v>
      </c>
      <c r="B241" s="271" t="s">
        <v>39</v>
      </c>
      <c r="C241" s="272"/>
      <c r="D241" s="272"/>
      <c r="E241" s="272"/>
      <c r="F241" s="273"/>
      <c r="G241" s="225">
        <f>SUM(G231:G240)/2</f>
        <v>16860</v>
      </c>
    </row>
    <row r="242" spans="1:7">
      <c r="A242" s="8" t="s">
        <v>40</v>
      </c>
      <c r="B242" s="271" t="s">
        <v>180</v>
      </c>
      <c r="C242" s="272"/>
      <c r="D242" s="272"/>
      <c r="E242" s="273"/>
      <c r="F242" s="226">
        <v>0.1</v>
      </c>
      <c r="G242" s="224">
        <f>G241*F242</f>
        <v>1686</v>
      </c>
    </row>
    <row r="243" spans="1:7">
      <c r="A243" s="100" t="s">
        <v>41</v>
      </c>
      <c r="B243" s="274" t="s">
        <v>42</v>
      </c>
      <c r="C243" s="275"/>
      <c r="D243" s="275"/>
      <c r="E243" s="275"/>
      <c r="F243" s="276"/>
      <c r="G243" s="232">
        <f>G241+G242</f>
        <v>18546</v>
      </c>
    </row>
    <row r="244" spans="1:7">
      <c r="A244" s="233"/>
      <c r="B244" s="234"/>
      <c r="C244" s="234"/>
      <c r="D244" s="234"/>
      <c r="E244" s="234"/>
      <c r="F244" s="234"/>
      <c r="G244" s="235"/>
    </row>
    <row r="245" spans="1:7">
      <c r="A245" s="11" t="s">
        <v>903</v>
      </c>
      <c r="B245" s="227"/>
      <c r="C245" s="227"/>
      <c r="D245" s="227"/>
      <c r="E245" s="227"/>
      <c r="F245" s="227"/>
      <c r="G245" s="228"/>
    </row>
    <row r="246" spans="1:7" ht="30">
      <c r="A246" s="79" t="s">
        <v>0</v>
      </c>
      <c r="B246" s="79" t="s">
        <v>1</v>
      </c>
      <c r="C246" s="79" t="s">
        <v>207</v>
      </c>
      <c r="D246" s="79" t="s">
        <v>3</v>
      </c>
      <c r="E246" s="79" t="s">
        <v>2</v>
      </c>
      <c r="F246" s="79" t="s">
        <v>417</v>
      </c>
      <c r="G246" s="79" t="s">
        <v>418</v>
      </c>
    </row>
    <row r="247" spans="1:7">
      <c r="A247" s="8" t="s">
        <v>4</v>
      </c>
      <c r="B247" s="222" t="s">
        <v>5</v>
      </c>
      <c r="C247" s="222"/>
      <c r="D247" s="8"/>
      <c r="E247" s="8"/>
      <c r="F247" s="222"/>
      <c r="G247" s="222"/>
    </row>
    <row r="248" spans="1:7">
      <c r="A248" s="8">
        <v>1</v>
      </c>
      <c r="B248" s="222" t="s">
        <v>48</v>
      </c>
      <c r="C248" s="222" t="s">
        <v>49</v>
      </c>
      <c r="D248" s="8" t="s">
        <v>685</v>
      </c>
      <c r="E248" s="8" t="s">
        <v>700</v>
      </c>
      <c r="F248" s="86">
        <f>VLOOKUP(B248,'HSD UPAH,BAHAN,ALAT'!$C$6:F726,4,FALSE)</f>
        <v>100000</v>
      </c>
      <c r="G248" s="87">
        <f t="shared" ref="G248:G249" si="45">E248*F248</f>
        <v>52690</v>
      </c>
    </row>
    <row r="249" spans="1:7">
      <c r="A249" s="8">
        <v>2</v>
      </c>
      <c r="B249" s="222" t="s">
        <v>13</v>
      </c>
      <c r="C249" s="222" t="s">
        <v>14</v>
      </c>
      <c r="D249" s="8" t="s">
        <v>685</v>
      </c>
      <c r="E249" s="8" t="s">
        <v>701</v>
      </c>
      <c r="F249" s="86">
        <f>VLOOKUP(B249,'HSD UPAH,BAHAN,ALAT'!$C$6:F727,4,FALSE)</f>
        <v>100000</v>
      </c>
      <c r="G249" s="87">
        <f t="shared" si="45"/>
        <v>5270</v>
      </c>
    </row>
    <row r="250" spans="1:7">
      <c r="A250" s="261" t="s">
        <v>420</v>
      </c>
      <c r="B250" s="261"/>
      <c r="C250" s="261"/>
      <c r="D250" s="261"/>
      <c r="E250" s="261"/>
      <c r="F250" s="261"/>
      <c r="G250" s="85">
        <f>SUM(G248:G249)</f>
        <v>57960</v>
      </c>
    </row>
    <row r="251" spans="1:7">
      <c r="A251" s="8" t="s">
        <v>16</v>
      </c>
      <c r="B251" s="222" t="s">
        <v>17</v>
      </c>
      <c r="C251" s="222"/>
      <c r="D251" s="8"/>
      <c r="E251" s="8"/>
      <c r="F251" s="222"/>
      <c r="G251" s="222"/>
    </row>
    <row r="252" spans="1:7" ht="45">
      <c r="A252" s="8">
        <v>1</v>
      </c>
      <c r="B252" s="223" t="s">
        <v>886</v>
      </c>
      <c r="C252" s="222"/>
      <c r="D252" s="8" t="s">
        <v>688</v>
      </c>
      <c r="E252" s="8" t="s">
        <v>105</v>
      </c>
      <c r="F252" s="86">
        <f>VLOOKUP(B252,'HSD UPAH,BAHAN,ALAT'!$C$6:F730,4,FALSE)</f>
        <v>10000</v>
      </c>
      <c r="G252" s="87">
        <f t="shared" ref="G252" si="46">E252*F252</f>
        <v>10000</v>
      </c>
    </row>
    <row r="253" spans="1:7">
      <c r="A253" s="261" t="s">
        <v>421</v>
      </c>
      <c r="B253" s="261"/>
      <c r="C253" s="261"/>
      <c r="D253" s="261"/>
      <c r="E253" s="261"/>
      <c r="F253" s="261"/>
      <c r="G253" s="85">
        <f>SUM(G252)</f>
        <v>10000</v>
      </c>
    </row>
    <row r="254" spans="1:7">
      <c r="A254" s="8" t="s">
        <v>36</v>
      </c>
      <c r="B254" s="222" t="s">
        <v>37</v>
      </c>
      <c r="C254" s="222"/>
      <c r="D254" s="8"/>
      <c r="E254" s="8"/>
      <c r="F254" s="222"/>
      <c r="G254" s="222"/>
    </row>
    <row r="255" spans="1:7">
      <c r="A255" s="8">
        <v>1</v>
      </c>
      <c r="B255" s="222" t="s">
        <v>697</v>
      </c>
      <c r="C255" s="222"/>
      <c r="D255" s="8" t="s">
        <v>690</v>
      </c>
      <c r="E255" s="8" t="s">
        <v>702</v>
      </c>
      <c r="F255" s="86">
        <f>VLOOKUP(B255,'HSD UPAH,BAHAN,ALAT'!$C$6:F733,4,FALSE)</f>
        <v>25000</v>
      </c>
      <c r="G255" s="87">
        <f t="shared" ref="G255:G256" si="47">E255*F255</f>
        <v>4547.5</v>
      </c>
    </row>
    <row r="256" spans="1:7">
      <c r="A256" s="8">
        <v>2</v>
      </c>
      <c r="B256" s="222" t="s">
        <v>703</v>
      </c>
      <c r="C256" s="222"/>
      <c r="D256" s="8" t="s">
        <v>690</v>
      </c>
      <c r="E256" s="8" t="s">
        <v>704</v>
      </c>
      <c r="F256" s="86">
        <f>VLOOKUP(B256,'HSD UPAH,BAHAN,ALAT'!$C$6:F734,4,FALSE)</f>
        <v>25000</v>
      </c>
      <c r="G256" s="87">
        <f t="shared" si="47"/>
        <v>3295</v>
      </c>
    </row>
    <row r="257" spans="1:7">
      <c r="A257" s="268" t="s">
        <v>419</v>
      </c>
      <c r="B257" s="269"/>
      <c r="C257" s="269"/>
      <c r="D257" s="269"/>
      <c r="E257" s="269"/>
      <c r="F257" s="270"/>
      <c r="G257" s="224">
        <f>SUM(G255:G256)</f>
        <v>7842.5</v>
      </c>
    </row>
    <row r="258" spans="1:7">
      <c r="A258" s="8" t="s">
        <v>38</v>
      </c>
      <c r="B258" s="271" t="s">
        <v>39</v>
      </c>
      <c r="C258" s="272"/>
      <c r="D258" s="272"/>
      <c r="E258" s="272"/>
      <c r="F258" s="273"/>
      <c r="G258" s="225">
        <f>SUM(G248:G257)/2</f>
        <v>75802.5</v>
      </c>
    </row>
    <row r="259" spans="1:7">
      <c r="A259" s="8" t="s">
        <v>40</v>
      </c>
      <c r="B259" s="271" t="s">
        <v>180</v>
      </c>
      <c r="C259" s="272"/>
      <c r="D259" s="272"/>
      <c r="E259" s="273"/>
      <c r="F259" s="226">
        <v>0.1</v>
      </c>
      <c r="G259" s="224">
        <f>G258*F259</f>
        <v>7580.25</v>
      </c>
    </row>
    <row r="260" spans="1:7">
      <c r="A260" s="100" t="s">
        <v>41</v>
      </c>
      <c r="B260" s="274" t="s">
        <v>42</v>
      </c>
      <c r="C260" s="275"/>
      <c r="D260" s="275"/>
      <c r="E260" s="275"/>
      <c r="F260" s="276"/>
      <c r="G260" s="232">
        <f>G258+G259</f>
        <v>83382.75</v>
      </c>
    </row>
    <row r="261" spans="1:7">
      <c r="A261" s="233"/>
      <c r="B261" s="234"/>
      <c r="C261" s="234"/>
      <c r="D261" s="234"/>
      <c r="E261" s="234"/>
      <c r="F261" s="234"/>
      <c r="G261" s="235"/>
    </row>
    <row r="262" spans="1:7">
      <c r="A262" s="11" t="s">
        <v>904</v>
      </c>
      <c r="B262" s="227"/>
      <c r="C262" s="227"/>
      <c r="D262" s="227"/>
      <c r="E262" s="227"/>
      <c r="F262" s="227"/>
      <c r="G262" s="228"/>
    </row>
    <row r="263" spans="1:7" ht="30">
      <c r="A263" s="79" t="s">
        <v>0</v>
      </c>
      <c r="B263" s="79" t="s">
        <v>1</v>
      </c>
      <c r="C263" s="79" t="s">
        <v>207</v>
      </c>
      <c r="D263" s="79" t="s">
        <v>3</v>
      </c>
      <c r="E263" s="79" t="s">
        <v>2</v>
      </c>
      <c r="F263" s="79" t="s">
        <v>417</v>
      </c>
      <c r="G263" s="79" t="s">
        <v>418</v>
      </c>
    </row>
    <row r="264" spans="1:7">
      <c r="A264" s="8" t="s">
        <v>4</v>
      </c>
      <c r="B264" s="1" t="s">
        <v>5</v>
      </c>
      <c r="C264" s="231"/>
      <c r="D264" s="9"/>
      <c r="E264" s="8"/>
      <c r="F264" s="1"/>
      <c r="G264" s="229"/>
    </row>
    <row r="265" spans="1:7">
      <c r="A265" s="8">
        <v>1</v>
      </c>
      <c r="B265" s="1" t="s">
        <v>48</v>
      </c>
      <c r="C265" s="231"/>
      <c r="D265" s="9" t="s">
        <v>685</v>
      </c>
      <c r="E265" s="8" t="s">
        <v>705</v>
      </c>
      <c r="F265" s="86">
        <f>VLOOKUP(B265,'HSD UPAH,BAHAN,ALAT'!$C$6:F743,4,FALSE)</f>
        <v>100000</v>
      </c>
      <c r="G265" s="87">
        <f t="shared" ref="G265:G266" si="48">E265*F265</f>
        <v>54340</v>
      </c>
    </row>
    <row r="266" spans="1:7">
      <c r="A266" s="8">
        <v>2</v>
      </c>
      <c r="B266" s="1" t="s">
        <v>13</v>
      </c>
      <c r="C266" s="231"/>
      <c r="D266" s="9" t="s">
        <v>685</v>
      </c>
      <c r="E266" s="8" t="s">
        <v>706</v>
      </c>
      <c r="F266" s="86">
        <f>VLOOKUP(B266,'HSD UPAH,BAHAN,ALAT'!$C$6:F744,4,FALSE)</f>
        <v>100000</v>
      </c>
      <c r="G266" s="87">
        <f t="shared" si="48"/>
        <v>5430</v>
      </c>
    </row>
    <row r="267" spans="1:7">
      <c r="A267" s="261" t="s">
        <v>420</v>
      </c>
      <c r="B267" s="261"/>
      <c r="C267" s="261"/>
      <c r="D267" s="261"/>
      <c r="E267" s="261"/>
      <c r="F267" s="261"/>
      <c r="G267" s="85">
        <f>SUM(G265:G266)</f>
        <v>59770</v>
      </c>
    </row>
    <row r="268" spans="1:7">
      <c r="A268" s="8" t="s">
        <v>16</v>
      </c>
      <c r="B268" s="1" t="s">
        <v>17</v>
      </c>
      <c r="C268" s="231"/>
      <c r="D268" s="9"/>
      <c r="E268" s="8"/>
      <c r="F268" s="1"/>
      <c r="G268" s="229"/>
    </row>
    <row r="269" spans="1:7" ht="45">
      <c r="A269" s="8">
        <v>1</v>
      </c>
      <c r="B269" s="5" t="s">
        <v>887</v>
      </c>
      <c r="C269" s="231"/>
      <c r="D269" s="9" t="s">
        <v>688</v>
      </c>
      <c r="E269" s="8" t="s">
        <v>105</v>
      </c>
      <c r="F269" s="86">
        <f>VLOOKUP(B269,'HSD UPAH,BAHAN,ALAT'!$C$6:F747,4,FALSE)</f>
        <v>10000</v>
      </c>
      <c r="G269" s="87">
        <f t="shared" ref="G269" si="49">E269*F269</f>
        <v>10000</v>
      </c>
    </row>
    <row r="270" spans="1:7">
      <c r="A270" s="261" t="s">
        <v>421</v>
      </c>
      <c r="B270" s="261"/>
      <c r="C270" s="261"/>
      <c r="D270" s="261"/>
      <c r="E270" s="261"/>
      <c r="F270" s="261"/>
      <c r="G270" s="85">
        <f>SUM(G269)</f>
        <v>10000</v>
      </c>
    </row>
    <row r="271" spans="1:7">
      <c r="A271" s="8" t="s">
        <v>36</v>
      </c>
      <c r="B271" s="1" t="s">
        <v>37</v>
      </c>
      <c r="C271" s="231"/>
      <c r="D271" s="9"/>
      <c r="E271" s="8"/>
      <c r="F271" s="1"/>
      <c r="G271" s="229"/>
    </row>
    <row r="272" spans="1:7">
      <c r="A272" s="8">
        <v>1</v>
      </c>
      <c r="B272" s="1" t="s">
        <v>697</v>
      </c>
      <c r="C272" s="231"/>
      <c r="D272" s="9" t="s">
        <v>690</v>
      </c>
      <c r="E272" s="8" t="s">
        <v>877</v>
      </c>
      <c r="F272" s="86">
        <f>VLOOKUP(B272,'HSD UPAH,BAHAN,ALAT'!$C$6:F750,4,FALSE)</f>
        <v>25000</v>
      </c>
      <c r="G272" s="87">
        <f t="shared" ref="G272:G273" si="50">E272*F272</f>
        <v>4900</v>
      </c>
    </row>
    <row r="273" spans="1:7">
      <c r="A273" s="8">
        <v>2</v>
      </c>
      <c r="B273" s="1" t="s">
        <v>703</v>
      </c>
      <c r="C273" s="231"/>
      <c r="D273" s="9" t="s">
        <v>690</v>
      </c>
      <c r="E273" s="8" t="s">
        <v>878</v>
      </c>
      <c r="F273" s="86">
        <f>VLOOKUP(B273,'HSD UPAH,BAHAN,ALAT'!$C$6:F751,4,FALSE)</f>
        <v>25000</v>
      </c>
      <c r="G273" s="87">
        <f t="shared" si="50"/>
        <v>3400.0000000000005</v>
      </c>
    </row>
    <row r="274" spans="1:7">
      <c r="A274" s="268" t="s">
        <v>419</v>
      </c>
      <c r="B274" s="269"/>
      <c r="C274" s="269"/>
      <c r="D274" s="269"/>
      <c r="E274" s="269"/>
      <c r="F274" s="270"/>
      <c r="G274" s="224">
        <f>SUM(G272:G273)</f>
        <v>8300</v>
      </c>
    </row>
    <row r="275" spans="1:7">
      <c r="A275" s="8" t="s">
        <v>38</v>
      </c>
      <c r="B275" s="271" t="s">
        <v>39</v>
      </c>
      <c r="C275" s="272"/>
      <c r="D275" s="272"/>
      <c r="E275" s="272"/>
      <c r="F275" s="273"/>
      <c r="G275" s="225">
        <f>SUM(G265:G274)/2</f>
        <v>78070</v>
      </c>
    </row>
    <row r="276" spans="1:7">
      <c r="A276" s="8" t="s">
        <v>40</v>
      </c>
      <c r="B276" s="271" t="s">
        <v>180</v>
      </c>
      <c r="C276" s="272"/>
      <c r="D276" s="272"/>
      <c r="E276" s="273"/>
      <c r="F276" s="226">
        <v>0.1</v>
      </c>
      <c r="G276" s="224">
        <f>G275*F276</f>
        <v>7807</v>
      </c>
    </row>
    <row r="277" spans="1:7">
      <c r="A277" s="100" t="s">
        <v>41</v>
      </c>
      <c r="B277" s="274" t="s">
        <v>42</v>
      </c>
      <c r="C277" s="275"/>
      <c r="D277" s="275"/>
      <c r="E277" s="275"/>
      <c r="F277" s="276"/>
      <c r="G277" s="232">
        <f>G275+G276</f>
        <v>85877</v>
      </c>
    </row>
    <row r="278" spans="1:7">
      <c r="A278" s="233"/>
      <c r="B278" s="234"/>
      <c r="C278" s="234"/>
      <c r="D278" s="234"/>
      <c r="E278" s="234"/>
      <c r="F278" s="234"/>
      <c r="G278" s="235"/>
    </row>
    <row r="279" spans="1:7">
      <c r="A279" s="11" t="s">
        <v>905</v>
      </c>
      <c r="B279" s="227"/>
      <c r="C279" s="227"/>
      <c r="D279" s="227"/>
      <c r="E279" s="227"/>
      <c r="F279" s="227"/>
      <c r="G279" s="228"/>
    </row>
    <row r="280" spans="1:7" ht="30">
      <c r="A280" s="79" t="s">
        <v>0</v>
      </c>
      <c r="B280" s="79" t="s">
        <v>1</v>
      </c>
      <c r="C280" s="79" t="s">
        <v>207</v>
      </c>
      <c r="D280" s="79" t="s">
        <v>3</v>
      </c>
      <c r="E280" s="79" t="s">
        <v>2</v>
      </c>
      <c r="F280" s="79" t="s">
        <v>417</v>
      </c>
      <c r="G280" s="79" t="s">
        <v>418</v>
      </c>
    </row>
    <row r="281" spans="1:7">
      <c r="A281" s="8" t="s">
        <v>4</v>
      </c>
      <c r="B281" s="222" t="s">
        <v>5</v>
      </c>
      <c r="C281" s="222"/>
      <c r="D281" s="8"/>
      <c r="E281" s="8"/>
      <c r="F281" s="222"/>
      <c r="G281" s="222"/>
    </row>
    <row r="282" spans="1:7">
      <c r="A282" s="8">
        <v>1</v>
      </c>
      <c r="B282" s="222" t="s">
        <v>48</v>
      </c>
      <c r="C282" s="222" t="s">
        <v>49</v>
      </c>
      <c r="D282" s="8" t="s">
        <v>685</v>
      </c>
      <c r="E282" s="8" t="s">
        <v>32</v>
      </c>
      <c r="F282" s="86">
        <f>VLOOKUP(B282,'HSD UPAH,BAHAN,ALAT'!$C$6:F311,4,FALSE)</f>
        <v>100000</v>
      </c>
      <c r="G282" s="87">
        <f t="shared" ref="G282:G283" si="51">E282*F282</f>
        <v>390</v>
      </c>
    </row>
    <row r="283" spans="1:7">
      <c r="A283" s="8">
        <v>2</v>
      </c>
      <c r="B283" s="222" t="s">
        <v>13</v>
      </c>
      <c r="C283" s="222" t="s">
        <v>14</v>
      </c>
      <c r="D283" s="8" t="s">
        <v>685</v>
      </c>
      <c r="E283" s="8" t="s">
        <v>129</v>
      </c>
      <c r="F283" s="86">
        <f>VLOOKUP(B283,'HSD UPAH,BAHAN,ALAT'!$C$6:F312,4,FALSE)</f>
        <v>100000</v>
      </c>
      <c r="G283" s="87">
        <f t="shared" si="51"/>
        <v>40</v>
      </c>
    </row>
    <row r="284" spans="1:7">
      <c r="A284" s="261" t="s">
        <v>420</v>
      </c>
      <c r="B284" s="261"/>
      <c r="C284" s="261"/>
      <c r="D284" s="261"/>
      <c r="E284" s="261"/>
      <c r="F284" s="261"/>
      <c r="G284" s="85">
        <f>SUM(G282:G283)</f>
        <v>430</v>
      </c>
    </row>
    <row r="285" spans="1:7">
      <c r="A285" s="8" t="s">
        <v>16</v>
      </c>
      <c r="B285" s="222" t="s">
        <v>17</v>
      </c>
      <c r="C285" s="222"/>
      <c r="D285" s="8"/>
      <c r="E285" s="8"/>
      <c r="F285" s="222"/>
      <c r="G285" s="222"/>
    </row>
    <row r="286" spans="1:7" ht="45">
      <c r="A286" s="8">
        <v>1</v>
      </c>
      <c r="B286" s="223" t="s">
        <v>735</v>
      </c>
      <c r="C286" s="222"/>
      <c r="D286" s="230" t="s">
        <v>715</v>
      </c>
      <c r="E286" s="8" t="s">
        <v>105</v>
      </c>
      <c r="F286" s="86">
        <f>VLOOKUP(B286,'HSD UPAH,BAHAN,ALAT'!$C$6:F764,4,FALSE)</f>
        <v>10000</v>
      </c>
      <c r="G286" s="87">
        <f t="shared" ref="G286" si="52">E286*F286</f>
        <v>10000</v>
      </c>
    </row>
    <row r="287" spans="1:7">
      <c r="A287" s="261" t="s">
        <v>421</v>
      </c>
      <c r="B287" s="261"/>
      <c r="C287" s="261"/>
      <c r="D287" s="261"/>
      <c r="E287" s="261"/>
      <c r="F287" s="261"/>
      <c r="G287" s="85">
        <f>SUM(G286)</f>
        <v>10000</v>
      </c>
    </row>
    <row r="288" spans="1:7">
      <c r="A288" s="8" t="s">
        <v>36</v>
      </c>
      <c r="B288" s="222" t="s">
        <v>37</v>
      </c>
      <c r="C288" s="222"/>
      <c r="D288" s="8"/>
      <c r="E288" s="8"/>
      <c r="F288" s="222"/>
      <c r="G288" s="222"/>
    </row>
    <row r="289" spans="1:7">
      <c r="A289" s="8">
        <v>1</v>
      </c>
      <c r="B289" s="222" t="s">
        <v>716</v>
      </c>
      <c r="C289" s="222"/>
      <c r="D289" s="8" t="s">
        <v>690</v>
      </c>
      <c r="E289" s="8" t="s">
        <v>717</v>
      </c>
      <c r="F289" s="86">
        <f>VLOOKUP(B289,'HSD UPAH,BAHAN,ALAT'!$C$6:F767,4,FALSE)</f>
        <v>25000</v>
      </c>
      <c r="G289" s="87">
        <f t="shared" ref="G289" si="53">E289*F289</f>
        <v>300</v>
      </c>
    </row>
    <row r="290" spans="1:7">
      <c r="A290" s="268" t="s">
        <v>419</v>
      </c>
      <c r="B290" s="269"/>
      <c r="C290" s="269"/>
      <c r="D290" s="269"/>
      <c r="E290" s="269"/>
      <c r="F290" s="270"/>
      <c r="G290" s="224">
        <f>SUM(G289)</f>
        <v>300</v>
      </c>
    </row>
    <row r="291" spans="1:7">
      <c r="A291" s="8" t="s">
        <v>38</v>
      </c>
      <c r="B291" s="271" t="s">
        <v>39</v>
      </c>
      <c r="C291" s="272"/>
      <c r="D291" s="272"/>
      <c r="E291" s="272"/>
      <c r="F291" s="273"/>
      <c r="G291" s="225">
        <f>SUM(G281:G290)/2</f>
        <v>10730</v>
      </c>
    </row>
    <row r="292" spans="1:7">
      <c r="A292" s="8" t="s">
        <v>40</v>
      </c>
      <c r="B292" s="271" t="s">
        <v>180</v>
      </c>
      <c r="C292" s="272"/>
      <c r="D292" s="272"/>
      <c r="E292" s="273"/>
      <c r="F292" s="226">
        <v>0.1</v>
      </c>
      <c r="G292" s="224">
        <f>G291*F292</f>
        <v>1073</v>
      </c>
    </row>
    <row r="293" spans="1:7">
      <c r="A293" s="100" t="s">
        <v>41</v>
      </c>
      <c r="B293" s="274" t="s">
        <v>42</v>
      </c>
      <c r="C293" s="275"/>
      <c r="D293" s="275"/>
      <c r="E293" s="275"/>
      <c r="F293" s="276"/>
      <c r="G293" s="232">
        <f>G291+G292</f>
        <v>11803</v>
      </c>
    </row>
    <row r="294" spans="1:7">
      <c r="A294" s="233"/>
      <c r="B294" s="234"/>
      <c r="C294" s="234"/>
      <c r="D294" s="234"/>
      <c r="E294" s="234"/>
      <c r="F294" s="234"/>
      <c r="G294" s="235"/>
    </row>
    <row r="295" spans="1:7">
      <c r="A295" s="11" t="s">
        <v>906</v>
      </c>
      <c r="B295" s="227"/>
      <c r="C295" s="227"/>
      <c r="D295" s="227"/>
      <c r="E295" s="227"/>
      <c r="F295" s="227"/>
      <c r="G295" s="228"/>
    </row>
    <row r="296" spans="1:7" ht="30">
      <c r="A296" s="79" t="s">
        <v>0</v>
      </c>
      <c r="B296" s="79" t="s">
        <v>1</v>
      </c>
      <c r="C296" s="79" t="s">
        <v>207</v>
      </c>
      <c r="D296" s="79" t="s">
        <v>3</v>
      </c>
      <c r="E296" s="79" t="s">
        <v>2</v>
      </c>
      <c r="F296" s="79" t="s">
        <v>417</v>
      </c>
      <c r="G296" s="79" t="s">
        <v>418</v>
      </c>
    </row>
    <row r="297" spans="1:7">
      <c r="A297" s="8" t="s">
        <v>4</v>
      </c>
      <c r="B297" s="222" t="s">
        <v>5</v>
      </c>
      <c r="C297" s="222"/>
      <c r="D297" s="8"/>
      <c r="E297" s="8"/>
      <c r="F297" s="222"/>
      <c r="G297" s="222"/>
    </row>
    <row r="298" spans="1:7">
      <c r="A298" s="8">
        <v>1</v>
      </c>
      <c r="B298" s="222" t="s">
        <v>48</v>
      </c>
      <c r="C298" s="222" t="s">
        <v>49</v>
      </c>
      <c r="D298" s="8" t="s">
        <v>685</v>
      </c>
      <c r="E298" s="8" t="s">
        <v>718</v>
      </c>
      <c r="F298" s="86">
        <f>VLOOKUP(B298,'HSD UPAH,BAHAN,ALAT'!$C$6:F776,4,FALSE)</f>
        <v>100000</v>
      </c>
      <c r="G298" s="87">
        <f t="shared" ref="G298:G299" si="54">E298*F298</f>
        <v>540</v>
      </c>
    </row>
    <row r="299" spans="1:7">
      <c r="A299" s="8">
        <v>2</v>
      </c>
      <c r="B299" s="222" t="s">
        <v>13</v>
      </c>
      <c r="C299" s="222" t="s">
        <v>14</v>
      </c>
      <c r="D299" s="8" t="s">
        <v>685</v>
      </c>
      <c r="E299" s="8" t="s">
        <v>98</v>
      </c>
      <c r="F299" s="86">
        <f>VLOOKUP(B299,'HSD UPAH,BAHAN,ALAT'!$C$6:F777,4,FALSE)</f>
        <v>100000</v>
      </c>
      <c r="G299" s="87">
        <f t="shared" si="54"/>
        <v>50</v>
      </c>
    </row>
    <row r="300" spans="1:7">
      <c r="A300" s="261" t="s">
        <v>420</v>
      </c>
      <c r="B300" s="261"/>
      <c r="C300" s="261"/>
      <c r="D300" s="261"/>
      <c r="E300" s="261"/>
      <c r="F300" s="261"/>
      <c r="G300" s="85">
        <f>SUM(G298:G299)</f>
        <v>590</v>
      </c>
    </row>
    <row r="301" spans="1:7">
      <c r="A301" s="8" t="s">
        <v>16</v>
      </c>
      <c r="B301" s="222" t="s">
        <v>17</v>
      </c>
      <c r="C301" s="222"/>
      <c r="D301" s="8"/>
      <c r="E301" s="8"/>
      <c r="F301" s="222"/>
      <c r="G301" s="222"/>
    </row>
    <row r="302" spans="1:7" ht="60">
      <c r="A302" s="8">
        <v>1</v>
      </c>
      <c r="B302" s="223" t="s">
        <v>736</v>
      </c>
      <c r="C302" s="222"/>
      <c r="D302" s="230" t="s">
        <v>715</v>
      </c>
      <c r="E302" s="8" t="s">
        <v>105</v>
      </c>
      <c r="F302" s="86">
        <f>VLOOKUP(B302,'HSD UPAH,BAHAN,ALAT'!$C$6:F780,4,FALSE)</f>
        <v>10000</v>
      </c>
      <c r="G302" s="87">
        <f t="shared" ref="G302" si="55">E302*F302</f>
        <v>10000</v>
      </c>
    </row>
    <row r="303" spans="1:7">
      <c r="A303" s="261" t="s">
        <v>421</v>
      </c>
      <c r="B303" s="261"/>
      <c r="C303" s="261"/>
      <c r="D303" s="261"/>
      <c r="E303" s="261"/>
      <c r="F303" s="261"/>
      <c r="G303" s="85">
        <f>SUM(G302)</f>
        <v>10000</v>
      </c>
    </row>
    <row r="304" spans="1:7">
      <c r="A304" s="8" t="s">
        <v>36</v>
      </c>
      <c r="B304" s="222" t="s">
        <v>37</v>
      </c>
      <c r="C304" s="222"/>
      <c r="D304" s="8"/>
      <c r="E304" s="8"/>
      <c r="F304" s="222"/>
      <c r="G304" s="222"/>
    </row>
    <row r="305" spans="1:7">
      <c r="A305" s="8">
        <v>1</v>
      </c>
      <c r="B305" s="222" t="s">
        <v>716</v>
      </c>
      <c r="C305" s="222"/>
      <c r="D305" s="8" t="s">
        <v>690</v>
      </c>
      <c r="E305" s="8" t="s">
        <v>719</v>
      </c>
      <c r="F305" s="86">
        <f>VLOOKUP(B305,'HSD UPAH,BAHAN,ALAT'!$C$6:F783,4,FALSE)</f>
        <v>25000</v>
      </c>
      <c r="G305" s="87">
        <f t="shared" ref="G305" si="56">E305*F305</f>
        <v>407.49999999999994</v>
      </c>
    </row>
    <row r="306" spans="1:7">
      <c r="A306" s="268" t="s">
        <v>419</v>
      </c>
      <c r="B306" s="269"/>
      <c r="C306" s="269"/>
      <c r="D306" s="269"/>
      <c r="E306" s="269"/>
      <c r="F306" s="270"/>
      <c r="G306" s="224">
        <f>SUM(G305)</f>
        <v>407.49999999999994</v>
      </c>
    </row>
    <row r="307" spans="1:7">
      <c r="A307" s="8" t="s">
        <v>38</v>
      </c>
      <c r="B307" s="271" t="s">
        <v>39</v>
      </c>
      <c r="C307" s="272"/>
      <c r="D307" s="272"/>
      <c r="E307" s="272"/>
      <c r="F307" s="273"/>
      <c r="G307" s="225">
        <f>SUM(G297:G306)/2</f>
        <v>10997.5</v>
      </c>
    </row>
    <row r="308" spans="1:7">
      <c r="A308" s="8" t="s">
        <v>40</v>
      </c>
      <c r="B308" s="271" t="s">
        <v>180</v>
      </c>
      <c r="C308" s="272"/>
      <c r="D308" s="272"/>
      <c r="E308" s="273"/>
      <c r="F308" s="226">
        <v>0.1</v>
      </c>
      <c r="G308" s="224">
        <f>G307*F308</f>
        <v>1099.75</v>
      </c>
    </row>
    <row r="309" spans="1:7">
      <c r="A309" s="100" t="s">
        <v>41</v>
      </c>
      <c r="B309" s="274" t="s">
        <v>42</v>
      </c>
      <c r="C309" s="275"/>
      <c r="D309" s="275"/>
      <c r="E309" s="275"/>
      <c r="F309" s="276"/>
      <c r="G309" s="232">
        <f>G307+G308</f>
        <v>12097.25</v>
      </c>
    </row>
    <row r="310" spans="1:7">
      <c r="A310" s="233"/>
      <c r="B310" s="234"/>
      <c r="C310" s="234"/>
      <c r="D310" s="234"/>
      <c r="E310" s="234"/>
      <c r="F310" s="234"/>
      <c r="G310" s="235"/>
    </row>
    <row r="311" spans="1:7">
      <c r="A311" s="11" t="s">
        <v>907</v>
      </c>
      <c r="B311" s="227"/>
      <c r="C311" s="227"/>
      <c r="D311" s="227"/>
      <c r="E311" s="227"/>
      <c r="F311" s="227"/>
      <c r="G311" s="228"/>
    </row>
    <row r="312" spans="1:7" ht="30">
      <c r="A312" s="79" t="s">
        <v>0</v>
      </c>
      <c r="B312" s="79" t="s">
        <v>1</v>
      </c>
      <c r="C312" s="79" t="s">
        <v>207</v>
      </c>
      <c r="D312" s="79" t="s">
        <v>3</v>
      </c>
      <c r="E312" s="79" t="s">
        <v>2</v>
      </c>
      <c r="F312" s="79" t="s">
        <v>417</v>
      </c>
      <c r="G312" s="79" t="s">
        <v>418</v>
      </c>
    </row>
    <row r="313" spans="1:7">
      <c r="A313" s="8" t="s">
        <v>4</v>
      </c>
      <c r="B313" s="222" t="s">
        <v>5</v>
      </c>
      <c r="C313" s="222"/>
      <c r="D313" s="8"/>
      <c r="E313" s="8"/>
      <c r="F313" s="222"/>
      <c r="G313" s="222"/>
    </row>
    <row r="314" spans="1:7">
      <c r="A314" s="8">
        <v>1</v>
      </c>
      <c r="B314" s="222" t="s">
        <v>48</v>
      </c>
      <c r="C314" s="222" t="s">
        <v>49</v>
      </c>
      <c r="D314" s="8" t="s">
        <v>685</v>
      </c>
      <c r="E314" s="8" t="s">
        <v>720</v>
      </c>
      <c r="F314" s="86">
        <f>VLOOKUP(B314,'HSD UPAH,BAHAN,ALAT'!$C$6:F792,4,FALSE)</f>
        <v>100000</v>
      </c>
      <c r="G314" s="87">
        <f t="shared" ref="G314:G315" si="57">E314*F314</f>
        <v>1720</v>
      </c>
    </row>
    <row r="315" spans="1:7">
      <c r="A315" s="8">
        <v>2</v>
      </c>
      <c r="B315" s="222" t="s">
        <v>13</v>
      </c>
      <c r="C315" s="222" t="s">
        <v>14</v>
      </c>
      <c r="D315" s="8" t="s">
        <v>685</v>
      </c>
      <c r="E315" s="8" t="s">
        <v>201</v>
      </c>
      <c r="F315" s="86">
        <f>VLOOKUP(B315,'HSD UPAH,BAHAN,ALAT'!$C$6:F793,4,FALSE)</f>
        <v>100000</v>
      </c>
      <c r="G315" s="87">
        <f t="shared" si="57"/>
        <v>170</v>
      </c>
    </row>
    <row r="316" spans="1:7">
      <c r="A316" s="261" t="s">
        <v>420</v>
      </c>
      <c r="B316" s="261"/>
      <c r="C316" s="261"/>
      <c r="D316" s="261"/>
      <c r="E316" s="261"/>
      <c r="F316" s="261"/>
      <c r="G316" s="85">
        <f>SUM(G314:G315)</f>
        <v>1890</v>
      </c>
    </row>
    <row r="317" spans="1:7">
      <c r="A317" s="8" t="s">
        <v>16</v>
      </c>
      <c r="B317" s="222" t="s">
        <v>17</v>
      </c>
      <c r="C317" s="222"/>
      <c r="D317" s="8"/>
      <c r="E317" s="8"/>
      <c r="F317" s="222"/>
      <c r="G317" s="222"/>
    </row>
    <row r="318" spans="1:7" ht="60">
      <c r="A318" s="8">
        <v>1</v>
      </c>
      <c r="B318" s="223" t="s">
        <v>737</v>
      </c>
      <c r="C318" s="222"/>
      <c r="D318" s="230" t="s">
        <v>715</v>
      </c>
      <c r="E318" s="8" t="s">
        <v>105</v>
      </c>
      <c r="F318" s="86">
        <f>VLOOKUP(B318,'HSD UPAH,BAHAN,ALAT'!$C$6:F796,4,FALSE)</f>
        <v>10000</v>
      </c>
      <c r="G318" s="87">
        <f t="shared" ref="G318" si="58">E318*F318</f>
        <v>10000</v>
      </c>
    </row>
    <row r="319" spans="1:7">
      <c r="A319" s="261" t="s">
        <v>421</v>
      </c>
      <c r="B319" s="261"/>
      <c r="C319" s="261"/>
      <c r="D319" s="261"/>
      <c r="E319" s="261"/>
      <c r="F319" s="261"/>
      <c r="G319" s="85">
        <f>SUM(G318)</f>
        <v>10000</v>
      </c>
    </row>
    <row r="320" spans="1:7">
      <c r="A320" s="8" t="s">
        <v>36</v>
      </c>
      <c r="B320" s="222" t="s">
        <v>37</v>
      </c>
      <c r="C320" s="222"/>
      <c r="D320" s="8"/>
      <c r="E320" s="8"/>
      <c r="F320" s="222"/>
      <c r="G320" s="222"/>
    </row>
    <row r="321" spans="1:7">
      <c r="A321" s="8">
        <v>1</v>
      </c>
      <c r="B321" s="222" t="s">
        <v>716</v>
      </c>
      <c r="C321" s="222"/>
      <c r="D321" s="8" t="s">
        <v>690</v>
      </c>
      <c r="E321" s="8" t="s">
        <v>721</v>
      </c>
      <c r="F321" s="86">
        <f>VLOOKUP(B321,'HSD UPAH,BAHAN,ALAT'!$C$6:F799,4,FALSE)</f>
        <v>25000</v>
      </c>
      <c r="G321" s="87">
        <f t="shared" ref="G321" si="59">E321*F321</f>
        <v>1162.5</v>
      </c>
    </row>
    <row r="322" spans="1:7">
      <c r="A322" s="268" t="s">
        <v>419</v>
      </c>
      <c r="B322" s="269"/>
      <c r="C322" s="269"/>
      <c r="D322" s="269"/>
      <c r="E322" s="269"/>
      <c r="F322" s="270"/>
      <c r="G322" s="224">
        <f>SUM(G321)</f>
        <v>1162.5</v>
      </c>
    </row>
    <row r="323" spans="1:7">
      <c r="A323" s="8" t="s">
        <v>38</v>
      </c>
      <c r="B323" s="271" t="s">
        <v>39</v>
      </c>
      <c r="C323" s="272"/>
      <c r="D323" s="272"/>
      <c r="E323" s="272"/>
      <c r="F323" s="273"/>
      <c r="G323" s="225">
        <f>SUM(G313:G322)/2</f>
        <v>13052.5</v>
      </c>
    </row>
    <row r="324" spans="1:7">
      <c r="A324" s="8" t="s">
        <v>40</v>
      </c>
      <c r="B324" s="271" t="s">
        <v>180</v>
      </c>
      <c r="C324" s="272"/>
      <c r="D324" s="272"/>
      <c r="E324" s="273"/>
      <c r="F324" s="226">
        <v>0.1</v>
      </c>
      <c r="G324" s="224">
        <f>G323*F324</f>
        <v>1305.25</v>
      </c>
    </row>
    <row r="325" spans="1:7">
      <c r="A325" s="100" t="s">
        <v>41</v>
      </c>
      <c r="B325" s="274" t="s">
        <v>42</v>
      </c>
      <c r="C325" s="275"/>
      <c r="D325" s="275"/>
      <c r="E325" s="275"/>
      <c r="F325" s="276"/>
      <c r="G325" s="232">
        <f>G323+G324</f>
        <v>14357.75</v>
      </c>
    </row>
    <row r="326" spans="1:7">
      <c r="A326" s="233"/>
      <c r="B326" s="234"/>
      <c r="C326" s="234"/>
      <c r="D326" s="234"/>
      <c r="E326" s="234"/>
      <c r="F326" s="234"/>
      <c r="G326" s="235"/>
    </row>
    <row r="327" spans="1:7">
      <c r="A327" s="11" t="s">
        <v>738</v>
      </c>
      <c r="B327" s="227"/>
      <c r="C327" s="227"/>
      <c r="D327" s="227"/>
      <c r="E327" s="227"/>
      <c r="F327" s="227"/>
      <c r="G327" s="228"/>
    </row>
    <row r="328" spans="1:7" ht="30">
      <c r="A328" s="79" t="s">
        <v>0</v>
      </c>
      <c r="B328" s="79" t="s">
        <v>1</v>
      </c>
      <c r="C328" s="79" t="s">
        <v>207</v>
      </c>
      <c r="D328" s="79" t="s">
        <v>3</v>
      </c>
      <c r="E328" s="79" t="s">
        <v>2</v>
      </c>
      <c r="F328" s="79" t="s">
        <v>417</v>
      </c>
      <c r="G328" s="79" t="s">
        <v>418</v>
      </c>
    </row>
    <row r="329" spans="1:7">
      <c r="A329" s="8" t="s">
        <v>4</v>
      </c>
      <c r="B329" s="222" t="s">
        <v>5</v>
      </c>
      <c r="C329" s="222"/>
      <c r="D329" s="8"/>
      <c r="E329" s="8"/>
      <c r="F329" s="222"/>
      <c r="G329" s="222"/>
    </row>
    <row r="330" spans="1:7">
      <c r="A330" s="8">
        <v>1</v>
      </c>
      <c r="B330" s="222" t="s">
        <v>48</v>
      </c>
      <c r="C330" s="222" t="s">
        <v>49</v>
      </c>
      <c r="D330" s="8" t="s">
        <v>685</v>
      </c>
      <c r="E330" s="8" t="s">
        <v>722</v>
      </c>
      <c r="F330" s="86">
        <f>VLOOKUP(B330,'HSD UPAH,BAHAN,ALAT'!$C$6:F808,4,FALSE)</f>
        <v>100000</v>
      </c>
      <c r="G330" s="87">
        <f t="shared" ref="G330:G331" si="60">E330*F330</f>
        <v>940</v>
      </c>
    </row>
    <row r="331" spans="1:7">
      <c r="A331" s="8">
        <v>2</v>
      </c>
      <c r="B331" s="222" t="s">
        <v>13</v>
      </c>
      <c r="C331" s="222" t="s">
        <v>14</v>
      </c>
      <c r="D331" s="8" t="s">
        <v>685</v>
      </c>
      <c r="E331" s="8" t="s">
        <v>196</v>
      </c>
      <c r="F331" s="86">
        <f>VLOOKUP(B331,'HSD UPAH,BAHAN,ALAT'!$C$6:F809,4,FALSE)</f>
        <v>100000</v>
      </c>
      <c r="G331" s="87">
        <f t="shared" si="60"/>
        <v>90</v>
      </c>
    </row>
    <row r="332" spans="1:7">
      <c r="A332" s="261" t="s">
        <v>420</v>
      </c>
      <c r="B332" s="261"/>
      <c r="C332" s="261"/>
      <c r="D332" s="261"/>
      <c r="E332" s="261"/>
      <c r="F332" s="261"/>
      <c r="G332" s="85">
        <f>SUM(G330:G331)</f>
        <v>1030</v>
      </c>
    </row>
    <row r="333" spans="1:7">
      <c r="A333" s="8" t="s">
        <v>16</v>
      </c>
      <c r="B333" s="222" t="s">
        <v>17</v>
      </c>
      <c r="C333" s="222"/>
      <c r="D333" s="8"/>
      <c r="E333" s="8"/>
      <c r="F333" s="222"/>
      <c r="G333" s="222"/>
    </row>
    <row r="334" spans="1:7">
      <c r="A334" s="8">
        <v>1</v>
      </c>
      <c r="B334" s="222" t="s">
        <v>723</v>
      </c>
      <c r="C334" s="222"/>
      <c r="D334" s="8" t="s">
        <v>104</v>
      </c>
      <c r="E334" s="8" t="s">
        <v>105</v>
      </c>
      <c r="F334" s="86">
        <f>VLOOKUP(B334,'HSD UPAH,BAHAN,ALAT'!$C$6:F812,4,FALSE)</f>
        <v>10000</v>
      </c>
      <c r="G334" s="87">
        <f t="shared" ref="G334" si="61">E334*F334</f>
        <v>10000</v>
      </c>
    </row>
    <row r="335" spans="1:7">
      <c r="A335" s="261" t="s">
        <v>421</v>
      </c>
      <c r="B335" s="261"/>
      <c r="C335" s="261"/>
      <c r="D335" s="261"/>
      <c r="E335" s="261"/>
      <c r="F335" s="261"/>
      <c r="G335" s="85">
        <f>SUM(G334)</f>
        <v>10000</v>
      </c>
    </row>
    <row r="336" spans="1:7">
      <c r="A336" s="8" t="s">
        <v>36</v>
      </c>
      <c r="B336" s="222" t="s">
        <v>37</v>
      </c>
      <c r="C336" s="222"/>
      <c r="D336" s="8"/>
      <c r="E336" s="8"/>
      <c r="F336" s="222"/>
      <c r="G336" s="222"/>
    </row>
    <row r="337" spans="1:7">
      <c r="A337" s="8">
        <v>1</v>
      </c>
      <c r="B337" s="222" t="s">
        <v>716</v>
      </c>
      <c r="C337" s="222"/>
      <c r="D337" s="8" t="s">
        <v>690</v>
      </c>
      <c r="E337" s="8" t="s">
        <v>724</v>
      </c>
      <c r="F337" s="86">
        <f>VLOOKUP(B337,'HSD UPAH,BAHAN,ALAT'!$C$6:F815,4,FALSE)</f>
        <v>25000</v>
      </c>
      <c r="G337" s="87">
        <f t="shared" ref="G337" si="62">E337*F337</f>
        <v>497.5</v>
      </c>
    </row>
    <row r="338" spans="1:7">
      <c r="A338" s="268" t="s">
        <v>419</v>
      </c>
      <c r="B338" s="269"/>
      <c r="C338" s="269"/>
      <c r="D338" s="269"/>
      <c r="E338" s="269"/>
      <c r="F338" s="270"/>
      <c r="G338" s="224">
        <f>SUM(G337)</f>
        <v>497.5</v>
      </c>
    </row>
    <row r="339" spans="1:7">
      <c r="A339" s="8" t="s">
        <v>38</v>
      </c>
      <c r="B339" s="271" t="s">
        <v>39</v>
      </c>
      <c r="C339" s="272"/>
      <c r="D339" s="272"/>
      <c r="E339" s="272"/>
      <c r="F339" s="273"/>
      <c r="G339" s="225">
        <f>SUM(G329:G338)/2</f>
        <v>11527.5</v>
      </c>
    </row>
    <row r="340" spans="1:7">
      <c r="A340" s="8" t="s">
        <v>40</v>
      </c>
      <c r="B340" s="271" t="s">
        <v>180</v>
      </c>
      <c r="C340" s="272"/>
      <c r="D340" s="272"/>
      <c r="E340" s="273"/>
      <c r="F340" s="226">
        <v>0.1</v>
      </c>
      <c r="G340" s="224">
        <f>G339*F340</f>
        <v>1152.75</v>
      </c>
    </row>
    <row r="341" spans="1:7">
      <c r="A341" s="100" t="s">
        <v>41</v>
      </c>
      <c r="B341" s="274" t="s">
        <v>42</v>
      </c>
      <c r="C341" s="275"/>
      <c r="D341" s="275"/>
      <c r="E341" s="275"/>
      <c r="F341" s="276"/>
      <c r="G341" s="232">
        <f>G339+G340</f>
        <v>12680.25</v>
      </c>
    </row>
    <row r="342" spans="1:7">
      <c r="A342" s="233"/>
      <c r="B342" s="234"/>
      <c r="C342" s="234"/>
      <c r="D342" s="234"/>
      <c r="E342" s="234"/>
      <c r="F342" s="234"/>
      <c r="G342" s="235"/>
    </row>
    <row r="343" spans="1:7">
      <c r="A343" s="11" t="s">
        <v>739</v>
      </c>
      <c r="B343" s="227"/>
      <c r="C343" s="227"/>
      <c r="D343" s="227"/>
      <c r="E343" s="227"/>
      <c r="F343" s="227"/>
      <c r="G343" s="228"/>
    </row>
    <row r="344" spans="1:7" ht="30">
      <c r="A344" s="79" t="s">
        <v>0</v>
      </c>
      <c r="B344" s="79" t="s">
        <v>1</v>
      </c>
      <c r="C344" s="79" t="s">
        <v>207</v>
      </c>
      <c r="D344" s="79" t="s">
        <v>3</v>
      </c>
      <c r="E344" s="79" t="s">
        <v>2</v>
      </c>
      <c r="F344" s="79" t="s">
        <v>417</v>
      </c>
      <c r="G344" s="79" t="s">
        <v>418</v>
      </c>
    </row>
    <row r="345" spans="1:7">
      <c r="A345" s="8" t="s">
        <v>4</v>
      </c>
      <c r="B345" s="222" t="s">
        <v>5</v>
      </c>
      <c r="C345" s="222"/>
      <c r="D345" s="8"/>
      <c r="E345" s="8"/>
      <c r="F345" s="222"/>
      <c r="G345" s="222"/>
    </row>
    <row r="346" spans="1:7">
      <c r="A346" s="8">
        <v>1</v>
      </c>
      <c r="B346" s="222" t="s">
        <v>48</v>
      </c>
      <c r="C346" s="222" t="s">
        <v>49</v>
      </c>
      <c r="D346" s="8" t="s">
        <v>685</v>
      </c>
      <c r="E346" s="8" t="s">
        <v>725</v>
      </c>
      <c r="F346" s="86">
        <f>VLOOKUP(B346,'HSD UPAH,BAHAN,ALAT'!$C$6:F824,4,FALSE)</f>
        <v>100000</v>
      </c>
      <c r="G346" s="87">
        <f t="shared" ref="G346:G347" si="63">E346*F346</f>
        <v>1880</v>
      </c>
    </row>
    <row r="347" spans="1:7">
      <c r="A347" s="8">
        <v>2</v>
      </c>
      <c r="B347" s="222" t="s">
        <v>13</v>
      </c>
      <c r="C347" s="222" t="s">
        <v>14</v>
      </c>
      <c r="D347" s="8" t="s">
        <v>685</v>
      </c>
      <c r="E347" s="8" t="s">
        <v>726</v>
      </c>
      <c r="F347" s="86">
        <f>VLOOKUP(B347,'HSD UPAH,BAHAN,ALAT'!$C$6:F825,4,FALSE)</f>
        <v>100000</v>
      </c>
      <c r="G347" s="87">
        <f t="shared" si="63"/>
        <v>190</v>
      </c>
    </row>
    <row r="348" spans="1:7">
      <c r="A348" s="261" t="s">
        <v>420</v>
      </c>
      <c r="B348" s="261"/>
      <c r="C348" s="261"/>
      <c r="D348" s="261"/>
      <c r="E348" s="261"/>
      <c r="F348" s="261"/>
      <c r="G348" s="85">
        <f>SUM(G346:G347)</f>
        <v>2070</v>
      </c>
    </row>
    <row r="349" spans="1:7">
      <c r="A349" s="8" t="s">
        <v>16</v>
      </c>
      <c r="B349" s="222" t="s">
        <v>17</v>
      </c>
      <c r="C349" s="222"/>
      <c r="D349" s="8"/>
      <c r="E349" s="8"/>
      <c r="F349" s="222"/>
      <c r="G349" s="222"/>
    </row>
    <row r="350" spans="1:7">
      <c r="A350" s="8">
        <v>1</v>
      </c>
      <c r="B350" s="222" t="s">
        <v>109</v>
      </c>
      <c r="C350" s="222"/>
      <c r="D350" s="8" t="s">
        <v>104</v>
      </c>
      <c r="E350" s="8" t="s">
        <v>105</v>
      </c>
      <c r="F350" s="86">
        <f>VLOOKUP(B350,'HSD UPAH,BAHAN,ALAT'!$C$6:F828,4,FALSE)</f>
        <v>10000</v>
      </c>
      <c r="G350" s="87">
        <f t="shared" ref="G350" si="64">E350*F350</f>
        <v>10000</v>
      </c>
    </row>
    <row r="351" spans="1:7">
      <c r="A351" s="261" t="s">
        <v>421</v>
      </c>
      <c r="B351" s="261"/>
      <c r="C351" s="261"/>
      <c r="D351" s="261"/>
      <c r="E351" s="261"/>
      <c r="F351" s="261"/>
      <c r="G351" s="85">
        <f>SUM(G350)</f>
        <v>10000</v>
      </c>
    </row>
    <row r="352" spans="1:7">
      <c r="A352" s="8" t="s">
        <v>36</v>
      </c>
      <c r="B352" s="222" t="s">
        <v>37</v>
      </c>
      <c r="C352" s="222"/>
      <c r="D352" s="8"/>
      <c r="E352" s="8"/>
      <c r="F352" s="222"/>
      <c r="G352" s="222"/>
    </row>
    <row r="353" spans="1:7">
      <c r="A353" s="8">
        <v>1</v>
      </c>
      <c r="B353" s="222" t="s">
        <v>716</v>
      </c>
      <c r="C353" s="222"/>
      <c r="D353" s="8" t="s">
        <v>690</v>
      </c>
      <c r="E353" s="8" t="s">
        <v>727</v>
      </c>
      <c r="F353" s="86">
        <f>VLOOKUP(B353,'HSD UPAH,BAHAN,ALAT'!$C$6:F831,4,FALSE)</f>
        <v>25000</v>
      </c>
      <c r="G353" s="87">
        <f t="shared" ref="G353" si="65">E353*F353</f>
        <v>995</v>
      </c>
    </row>
    <row r="354" spans="1:7">
      <c r="A354" s="268" t="s">
        <v>419</v>
      </c>
      <c r="B354" s="269"/>
      <c r="C354" s="269"/>
      <c r="D354" s="269"/>
      <c r="E354" s="269"/>
      <c r="F354" s="270"/>
      <c r="G354" s="224">
        <f>SUM(G353)</f>
        <v>995</v>
      </c>
    </row>
    <row r="355" spans="1:7">
      <c r="A355" s="8" t="s">
        <v>38</v>
      </c>
      <c r="B355" s="271" t="s">
        <v>39</v>
      </c>
      <c r="C355" s="272"/>
      <c r="D355" s="272"/>
      <c r="E355" s="272"/>
      <c r="F355" s="273"/>
      <c r="G355" s="225">
        <f>SUM(G345:G354)/2</f>
        <v>13065</v>
      </c>
    </row>
    <row r="356" spans="1:7">
      <c r="A356" s="8" t="s">
        <v>40</v>
      </c>
      <c r="B356" s="271" t="s">
        <v>180</v>
      </c>
      <c r="C356" s="272"/>
      <c r="D356" s="272"/>
      <c r="E356" s="273"/>
      <c r="F356" s="226">
        <v>0.1</v>
      </c>
      <c r="G356" s="224">
        <f>G355*F356</f>
        <v>1306.5</v>
      </c>
    </row>
    <row r="357" spans="1:7">
      <c r="A357" s="8" t="s">
        <v>41</v>
      </c>
      <c r="B357" s="271" t="s">
        <v>42</v>
      </c>
      <c r="C357" s="272"/>
      <c r="D357" s="272"/>
      <c r="E357" s="272"/>
      <c r="F357" s="273"/>
      <c r="G357" s="224">
        <f>G355+G356</f>
        <v>14371.5</v>
      </c>
    </row>
  </sheetData>
  <mergeCells count="132">
    <mergeCell ref="A22:F22"/>
    <mergeCell ref="A25:F25"/>
    <mergeCell ref="A28:F28"/>
    <mergeCell ref="B29:F29"/>
    <mergeCell ref="B30:E30"/>
    <mergeCell ref="B31:F31"/>
    <mergeCell ref="A6:F6"/>
    <mergeCell ref="A9:F9"/>
    <mergeCell ref="A12:F12"/>
    <mergeCell ref="B13:F13"/>
    <mergeCell ref="B14:E14"/>
    <mergeCell ref="B15:F15"/>
    <mergeCell ref="A54:F54"/>
    <mergeCell ref="A57:F57"/>
    <mergeCell ref="A60:F60"/>
    <mergeCell ref="B61:F61"/>
    <mergeCell ref="B62:E62"/>
    <mergeCell ref="B63:F63"/>
    <mergeCell ref="A38:F38"/>
    <mergeCell ref="A41:F41"/>
    <mergeCell ref="A44:F44"/>
    <mergeCell ref="B45:F45"/>
    <mergeCell ref="B46:E46"/>
    <mergeCell ref="B47:F47"/>
    <mergeCell ref="A87:F87"/>
    <mergeCell ref="A90:F90"/>
    <mergeCell ref="A94:F94"/>
    <mergeCell ref="B95:F95"/>
    <mergeCell ref="B96:E96"/>
    <mergeCell ref="B97:F97"/>
    <mergeCell ref="A70:F70"/>
    <mergeCell ref="A73:F73"/>
    <mergeCell ref="A77:F77"/>
    <mergeCell ref="B78:F78"/>
    <mergeCell ref="B79:E79"/>
    <mergeCell ref="B80:F80"/>
    <mergeCell ref="A121:F121"/>
    <mergeCell ref="A124:F124"/>
    <mergeCell ref="A128:F128"/>
    <mergeCell ref="B129:F129"/>
    <mergeCell ref="B130:E130"/>
    <mergeCell ref="B131:F131"/>
    <mergeCell ref="A104:F104"/>
    <mergeCell ref="A107:F107"/>
    <mergeCell ref="A111:F111"/>
    <mergeCell ref="B112:F112"/>
    <mergeCell ref="B113:E113"/>
    <mergeCell ref="B114:F114"/>
    <mergeCell ref="A154:F154"/>
    <mergeCell ref="A157:F157"/>
    <mergeCell ref="A160:F160"/>
    <mergeCell ref="B161:F161"/>
    <mergeCell ref="B162:E162"/>
    <mergeCell ref="B163:F163"/>
    <mergeCell ref="A138:F138"/>
    <mergeCell ref="A141:F141"/>
    <mergeCell ref="A144:F144"/>
    <mergeCell ref="B145:F145"/>
    <mergeCell ref="B146:E146"/>
    <mergeCell ref="B147:F147"/>
    <mergeCell ref="A186:F186"/>
    <mergeCell ref="A189:F189"/>
    <mergeCell ref="A192:F192"/>
    <mergeCell ref="B193:F193"/>
    <mergeCell ref="B194:E194"/>
    <mergeCell ref="B195:F195"/>
    <mergeCell ref="A170:F170"/>
    <mergeCell ref="A173:F173"/>
    <mergeCell ref="A176:F176"/>
    <mergeCell ref="B177:F177"/>
    <mergeCell ref="B178:E178"/>
    <mergeCell ref="B179:F179"/>
    <mergeCell ref="A218:F218"/>
    <mergeCell ref="A221:F221"/>
    <mergeCell ref="A224:F224"/>
    <mergeCell ref="B225:F225"/>
    <mergeCell ref="B226:E226"/>
    <mergeCell ref="B227:F227"/>
    <mergeCell ref="A202:F202"/>
    <mergeCell ref="A205:F205"/>
    <mergeCell ref="A208:F208"/>
    <mergeCell ref="B209:F209"/>
    <mergeCell ref="B210:E210"/>
    <mergeCell ref="B211:F211"/>
    <mergeCell ref="A250:F250"/>
    <mergeCell ref="A253:F253"/>
    <mergeCell ref="A257:F257"/>
    <mergeCell ref="B258:F258"/>
    <mergeCell ref="B259:E259"/>
    <mergeCell ref="B260:F260"/>
    <mergeCell ref="A234:F234"/>
    <mergeCell ref="A237:F237"/>
    <mergeCell ref="A240:F240"/>
    <mergeCell ref="B241:F241"/>
    <mergeCell ref="B242:E242"/>
    <mergeCell ref="B243:F243"/>
    <mergeCell ref="A284:F284"/>
    <mergeCell ref="A287:F287"/>
    <mergeCell ref="A290:F290"/>
    <mergeCell ref="B291:F291"/>
    <mergeCell ref="B292:E292"/>
    <mergeCell ref="B293:F293"/>
    <mergeCell ref="A267:F267"/>
    <mergeCell ref="A270:F270"/>
    <mergeCell ref="A274:F274"/>
    <mergeCell ref="B275:F275"/>
    <mergeCell ref="B276:E276"/>
    <mergeCell ref="B277:F277"/>
    <mergeCell ref="A316:F316"/>
    <mergeCell ref="A319:F319"/>
    <mergeCell ref="A322:F322"/>
    <mergeCell ref="B323:F323"/>
    <mergeCell ref="B324:E324"/>
    <mergeCell ref="B325:F325"/>
    <mergeCell ref="A300:F300"/>
    <mergeCell ref="A303:F303"/>
    <mergeCell ref="A306:F306"/>
    <mergeCell ref="B307:F307"/>
    <mergeCell ref="B308:E308"/>
    <mergeCell ref="B309:F309"/>
    <mergeCell ref="A348:F348"/>
    <mergeCell ref="A351:F351"/>
    <mergeCell ref="A354:F354"/>
    <mergeCell ref="B355:F355"/>
    <mergeCell ref="B356:E356"/>
    <mergeCell ref="B357:F357"/>
    <mergeCell ref="A332:F332"/>
    <mergeCell ref="A335:F335"/>
    <mergeCell ref="A338:F338"/>
    <mergeCell ref="B339:F339"/>
    <mergeCell ref="B340:E340"/>
    <mergeCell ref="B341:F341"/>
  </mergeCells>
  <pageMargins left="0.7" right="0.7" top="0.75" bottom="0.75" header="0.3" footer="0.3"/>
  <pageSetup paperSize="9" scale="92" orientation="portrait" r:id="rId1"/>
</worksheet>
</file>

<file path=xl/worksheets/sheet5.xml><?xml version="1.0" encoding="utf-8"?>
<worksheet xmlns="http://schemas.openxmlformats.org/spreadsheetml/2006/main" xmlns:r="http://schemas.openxmlformats.org/officeDocument/2006/relationships">
  <sheetPr codeName="Sheet5"/>
  <dimension ref="A1:H324"/>
  <sheetViews>
    <sheetView tabSelected="1" view="pageBreakPreview" topLeftCell="A301" zoomScale="60" workbookViewId="0">
      <selection activeCell="J4" sqref="J4"/>
    </sheetView>
  </sheetViews>
  <sheetFormatPr defaultRowHeight="15"/>
  <cols>
    <col min="1" max="1" width="9.140625" style="75"/>
    <col min="2" max="2" width="6.42578125" style="22" customWidth="1"/>
    <col min="3" max="3" width="59.42578125" style="25" customWidth="1"/>
    <col min="4" max="4" width="12.28515625" style="25" customWidth="1"/>
    <col min="5" max="5" width="16.85546875" style="22" customWidth="1"/>
    <col min="6" max="6" width="20.140625" style="25" customWidth="1"/>
    <col min="7" max="7" width="15" style="25" customWidth="1"/>
    <col min="8" max="8" width="9.140625" style="21"/>
  </cols>
  <sheetData>
    <row r="1" spans="1:8" ht="21">
      <c r="A1" s="20"/>
      <c r="B1" s="277" t="s">
        <v>1601</v>
      </c>
      <c r="C1" s="277"/>
      <c r="D1" s="277"/>
      <c r="E1" s="277"/>
      <c r="F1" s="277"/>
      <c r="G1" s="277"/>
    </row>
    <row r="2" spans="1:8" ht="18.75">
      <c r="A2" s="20"/>
      <c r="B2" s="278" t="s">
        <v>387</v>
      </c>
      <c r="C2" s="278"/>
      <c r="D2" s="278"/>
      <c r="E2" s="278"/>
      <c r="F2" s="278"/>
      <c r="G2" s="278"/>
    </row>
    <row r="3" spans="1:8" ht="15.75" thickBot="1">
      <c r="A3" s="20"/>
      <c r="C3" s="23"/>
      <c r="D3" s="23"/>
      <c r="E3" s="24"/>
    </row>
    <row r="4" spans="1:8" ht="15.75" thickBot="1">
      <c r="A4" s="26"/>
      <c r="B4" s="27" t="s">
        <v>388</v>
      </c>
      <c r="C4" s="28" t="s">
        <v>389</v>
      </c>
      <c r="D4" s="28" t="s">
        <v>390</v>
      </c>
      <c r="E4" s="28" t="s">
        <v>391</v>
      </c>
      <c r="F4" s="28" t="s">
        <v>392</v>
      </c>
      <c r="G4" s="29" t="s">
        <v>393</v>
      </c>
      <c r="H4" s="30"/>
    </row>
    <row r="5" spans="1:8" ht="15.75" thickBot="1">
      <c r="A5" s="20"/>
      <c r="B5" s="31" t="s">
        <v>394</v>
      </c>
      <c r="C5" s="32" t="s">
        <v>395</v>
      </c>
      <c r="D5" s="33"/>
      <c r="E5" s="34"/>
      <c r="F5" s="35"/>
      <c r="G5" s="36"/>
    </row>
    <row r="6" spans="1:8">
      <c r="A6" s="20"/>
      <c r="B6" s="37">
        <v>1</v>
      </c>
      <c r="C6" s="38" t="s">
        <v>199</v>
      </c>
      <c r="D6" s="39"/>
      <c r="E6" s="40" t="s">
        <v>8</v>
      </c>
      <c r="F6" s="41">
        <v>120000</v>
      </c>
      <c r="G6" s="42"/>
    </row>
    <row r="7" spans="1:8">
      <c r="A7" s="20"/>
      <c r="B7" s="43">
        <v>2</v>
      </c>
      <c r="C7" s="44" t="s">
        <v>396</v>
      </c>
      <c r="D7" s="45"/>
      <c r="E7" s="46" t="s">
        <v>8</v>
      </c>
      <c r="F7" s="47">
        <v>100000</v>
      </c>
      <c r="G7" s="48"/>
    </row>
    <row r="8" spans="1:8">
      <c r="A8" s="20"/>
      <c r="B8" s="43">
        <v>3</v>
      </c>
      <c r="C8" s="49" t="s">
        <v>198</v>
      </c>
      <c r="D8" s="45"/>
      <c r="E8" s="46" t="s">
        <v>8</v>
      </c>
      <c r="F8" s="47">
        <f>+$F$7</f>
        <v>100000</v>
      </c>
      <c r="G8" s="48"/>
    </row>
    <row r="9" spans="1:8" ht="30">
      <c r="A9" s="20"/>
      <c r="B9" s="43">
        <v>4</v>
      </c>
      <c r="C9" s="146" t="s">
        <v>222</v>
      </c>
      <c r="D9" s="45"/>
      <c r="E9" s="50" t="s">
        <v>8</v>
      </c>
      <c r="F9" s="47">
        <f>+$F$7</f>
        <v>100000</v>
      </c>
      <c r="G9" s="48"/>
    </row>
    <row r="10" spans="1:8" ht="30">
      <c r="A10" s="20"/>
      <c r="B10" s="43">
        <v>5</v>
      </c>
      <c r="C10" s="146" t="s">
        <v>226</v>
      </c>
      <c r="D10" s="45"/>
      <c r="E10" s="46" t="s">
        <v>8</v>
      </c>
      <c r="F10" s="47">
        <f>+$F$7</f>
        <v>100000</v>
      </c>
      <c r="G10" s="48"/>
    </row>
    <row r="11" spans="1:8">
      <c r="A11" s="20"/>
      <c r="B11" s="43">
        <v>6</v>
      </c>
      <c r="C11" s="145" t="s">
        <v>6</v>
      </c>
      <c r="D11" s="45"/>
      <c r="E11" s="46" t="s">
        <v>8</v>
      </c>
      <c r="F11" s="47">
        <f>+$F$7</f>
        <v>100000</v>
      </c>
      <c r="G11" s="48"/>
    </row>
    <row r="12" spans="1:8">
      <c r="A12" s="20"/>
      <c r="B12" s="43">
        <v>7</v>
      </c>
      <c r="C12" s="49" t="s">
        <v>397</v>
      </c>
      <c r="D12" s="45"/>
      <c r="E12" s="46" t="s">
        <v>8</v>
      </c>
      <c r="F12" s="47">
        <v>100000</v>
      </c>
      <c r="G12" s="48"/>
    </row>
    <row r="13" spans="1:8">
      <c r="A13" s="20"/>
      <c r="B13" s="43">
        <v>8</v>
      </c>
      <c r="C13" s="49" t="s">
        <v>398</v>
      </c>
      <c r="D13" s="45"/>
      <c r="E13" s="46" t="s">
        <v>8</v>
      </c>
      <c r="F13" s="47">
        <f t="shared" ref="F13:F22" si="0">+$F$7</f>
        <v>100000</v>
      </c>
      <c r="G13" s="48"/>
    </row>
    <row r="14" spans="1:8">
      <c r="A14" s="20"/>
      <c r="B14" s="43">
        <v>9</v>
      </c>
      <c r="C14" s="49" t="s">
        <v>399</v>
      </c>
      <c r="D14" s="45"/>
      <c r="E14" s="46" t="s">
        <v>8</v>
      </c>
      <c r="F14" s="47">
        <f t="shared" si="0"/>
        <v>100000</v>
      </c>
      <c r="G14" s="48"/>
    </row>
    <row r="15" spans="1:8">
      <c r="A15" s="20"/>
      <c r="B15" s="43">
        <v>10</v>
      </c>
      <c r="C15" s="51" t="s">
        <v>400</v>
      </c>
      <c r="D15" s="45"/>
      <c r="E15" s="46" t="s">
        <v>8</v>
      </c>
      <c r="F15" s="47">
        <f t="shared" si="0"/>
        <v>100000</v>
      </c>
      <c r="G15" s="48"/>
    </row>
    <row r="16" spans="1:8">
      <c r="A16" s="20"/>
      <c r="B16" s="43">
        <v>11</v>
      </c>
      <c r="C16" s="44" t="s">
        <v>401</v>
      </c>
      <c r="D16" s="45"/>
      <c r="E16" s="46" t="s">
        <v>8</v>
      </c>
      <c r="F16" s="47">
        <f t="shared" si="0"/>
        <v>100000</v>
      </c>
      <c r="G16" s="48"/>
    </row>
    <row r="17" spans="1:7">
      <c r="A17" s="20"/>
      <c r="B17" s="43">
        <v>12</v>
      </c>
      <c r="C17" s="49" t="s">
        <v>402</v>
      </c>
      <c r="D17" s="45"/>
      <c r="E17" s="46" t="s">
        <v>8</v>
      </c>
      <c r="F17" s="47">
        <f t="shared" si="0"/>
        <v>100000</v>
      </c>
      <c r="G17" s="48"/>
    </row>
    <row r="18" spans="1:7">
      <c r="A18" s="20"/>
      <c r="B18" s="43">
        <v>13</v>
      </c>
      <c r="C18" s="44" t="s">
        <v>403</v>
      </c>
      <c r="D18" s="45"/>
      <c r="E18" s="46" t="s">
        <v>8</v>
      </c>
      <c r="F18" s="47">
        <f t="shared" si="0"/>
        <v>100000</v>
      </c>
      <c r="G18" s="48"/>
    </row>
    <row r="19" spans="1:7">
      <c r="A19" s="20"/>
      <c r="B19" s="43">
        <v>14</v>
      </c>
      <c r="C19" s="44" t="s">
        <v>404</v>
      </c>
      <c r="D19" s="45"/>
      <c r="E19" s="50" t="s">
        <v>8</v>
      </c>
      <c r="F19" s="47">
        <f t="shared" si="0"/>
        <v>100000</v>
      </c>
      <c r="G19" s="48"/>
    </row>
    <row r="20" spans="1:7">
      <c r="A20" s="20"/>
      <c r="B20" s="43">
        <v>15</v>
      </c>
      <c r="C20" s="44" t="s">
        <v>405</v>
      </c>
      <c r="D20" s="45"/>
      <c r="E20" s="46" t="s">
        <v>8</v>
      </c>
      <c r="F20" s="47">
        <f t="shared" si="0"/>
        <v>100000</v>
      </c>
      <c r="G20" s="48"/>
    </row>
    <row r="21" spans="1:7">
      <c r="A21" s="20"/>
      <c r="B21" s="43">
        <v>16</v>
      </c>
      <c r="C21" s="49" t="s">
        <v>406</v>
      </c>
      <c r="D21" s="45"/>
      <c r="E21" s="46" t="s">
        <v>8</v>
      </c>
      <c r="F21" s="47">
        <f t="shared" si="0"/>
        <v>100000</v>
      </c>
      <c r="G21" s="48"/>
    </row>
    <row r="22" spans="1:7">
      <c r="A22" s="20"/>
      <c r="B22" s="43">
        <v>17</v>
      </c>
      <c r="C22" s="44" t="s">
        <v>407</v>
      </c>
      <c r="D22" s="45"/>
      <c r="E22" s="46" t="s">
        <v>8</v>
      </c>
      <c r="F22" s="47">
        <f t="shared" si="0"/>
        <v>100000</v>
      </c>
      <c r="G22" s="48"/>
    </row>
    <row r="23" spans="1:7">
      <c r="A23" s="20"/>
      <c r="B23" s="43">
        <v>18</v>
      </c>
      <c r="C23" s="49" t="s">
        <v>408</v>
      </c>
      <c r="D23" s="45"/>
      <c r="E23" s="46" t="s">
        <v>8</v>
      </c>
      <c r="F23" s="47">
        <v>100000</v>
      </c>
      <c r="G23" s="48"/>
    </row>
    <row r="24" spans="1:7">
      <c r="A24" s="20"/>
      <c r="B24" s="43">
        <v>19</v>
      </c>
      <c r="C24" s="44" t="s">
        <v>48</v>
      </c>
      <c r="D24" s="45"/>
      <c r="E24" s="46" t="s">
        <v>8</v>
      </c>
      <c r="F24" s="47">
        <v>100000</v>
      </c>
      <c r="G24" s="48"/>
    </row>
    <row r="25" spans="1:7">
      <c r="A25" s="20"/>
      <c r="B25" s="43">
        <v>20</v>
      </c>
      <c r="C25" s="44" t="s">
        <v>13</v>
      </c>
      <c r="D25" s="45"/>
      <c r="E25" s="46" t="s">
        <v>8</v>
      </c>
      <c r="F25" s="47">
        <v>100000</v>
      </c>
      <c r="G25" s="48"/>
    </row>
    <row r="26" spans="1:7">
      <c r="A26" s="20"/>
      <c r="B26" s="43">
        <v>21</v>
      </c>
      <c r="C26" s="49" t="s">
        <v>10</v>
      </c>
      <c r="D26" s="45"/>
      <c r="E26" s="46" t="s">
        <v>8</v>
      </c>
      <c r="F26" s="47">
        <v>120000</v>
      </c>
      <c r="G26" s="48"/>
    </row>
    <row r="27" spans="1:7" ht="15.75" thickBot="1">
      <c r="A27" s="20"/>
      <c r="B27" s="148"/>
      <c r="C27" s="121"/>
      <c r="D27" s="154"/>
      <c r="E27" s="154"/>
      <c r="F27" s="154"/>
      <c r="G27" s="153"/>
    </row>
    <row r="28" spans="1:7" ht="15.75" thickBot="1">
      <c r="A28" s="20"/>
      <c r="B28" s="31" t="s">
        <v>409</v>
      </c>
      <c r="C28" s="57" t="s">
        <v>17</v>
      </c>
      <c r="D28" s="58"/>
      <c r="E28" s="59"/>
      <c r="F28" s="58"/>
      <c r="G28" s="60"/>
    </row>
    <row r="29" spans="1:7">
      <c r="A29" s="20"/>
      <c r="B29" s="140"/>
      <c r="C29" s="141"/>
      <c r="D29" s="142"/>
      <c r="E29" s="143"/>
      <c r="F29" s="142"/>
      <c r="G29" s="144"/>
    </row>
    <row r="30" spans="1:7">
      <c r="A30" s="20"/>
      <c r="B30" s="43">
        <v>1</v>
      </c>
      <c r="C30" s="317" t="s">
        <v>119</v>
      </c>
      <c r="D30" s="318"/>
      <c r="E30" s="318" t="s">
        <v>120</v>
      </c>
      <c r="F30" s="47">
        <v>10000</v>
      </c>
      <c r="G30" s="61"/>
    </row>
    <row r="31" spans="1:7">
      <c r="A31" s="20"/>
      <c r="B31" s="43">
        <v>2</v>
      </c>
      <c r="C31" s="317" t="s">
        <v>154</v>
      </c>
      <c r="D31" s="318"/>
      <c r="E31" s="318" t="s">
        <v>120</v>
      </c>
      <c r="F31" s="47">
        <v>10000</v>
      </c>
      <c r="G31" s="61"/>
    </row>
    <row r="32" spans="1:7">
      <c r="A32" s="20"/>
      <c r="B32" s="43">
        <v>3</v>
      </c>
      <c r="C32" s="317" t="s">
        <v>18</v>
      </c>
      <c r="D32" s="318"/>
      <c r="E32" s="318" t="s">
        <v>19</v>
      </c>
      <c r="F32" s="47">
        <v>10000</v>
      </c>
      <c r="G32" s="61"/>
    </row>
    <row r="33" spans="1:7">
      <c r="A33" s="20"/>
      <c r="B33" s="43">
        <v>4</v>
      </c>
      <c r="C33" s="317" t="s">
        <v>82</v>
      </c>
      <c r="D33" s="318"/>
      <c r="E33" s="318" t="s">
        <v>24</v>
      </c>
      <c r="F33" s="47">
        <v>10000</v>
      </c>
      <c r="G33" s="61"/>
    </row>
    <row r="34" spans="1:7">
      <c r="A34" s="20"/>
      <c r="B34" s="43">
        <v>5</v>
      </c>
      <c r="C34" s="317" t="s">
        <v>23</v>
      </c>
      <c r="D34" s="318"/>
      <c r="E34" s="318" t="s">
        <v>24</v>
      </c>
      <c r="F34" s="47">
        <v>10000</v>
      </c>
      <c r="G34" s="61"/>
    </row>
    <row r="35" spans="1:7">
      <c r="A35" s="20"/>
      <c r="B35" s="43">
        <v>6</v>
      </c>
      <c r="C35" s="317" t="s">
        <v>54</v>
      </c>
      <c r="D35" s="318"/>
      <c r="E35" s="318" t="s">
        <v>24</v>
      </c>
      <c r="F35" s="47">
        <v>10000</v>
      </c>
      <c r="G35" s="61"/>
    </row>
    <row r="36" spans="1:7">
      <c r="A36" s="20"/>
      <c r="B36" s="43">
        <v>7</v>
      </c>
      <c r="C36" s="317" t="s">
        <v>66</v>
      </c>
      <c r="D36" s="318"/>
      <c r="E36" s="318" t="s">
        <v>24</v>
      </c>
      <c r="F36" s="47">
        <v>10000</v>
      </c>
      <c r="G36" s="61"/>
    </row>
    <row r="37" spans="1:7">
      <c r="A37" s="20"/>
      <c r="B37" s="43">
        <v>8</v>
      </c>
      <c r="C37" s="317" t="s">
        <v>386</v>
      </c>
      <c r="D37" s="318"/>
      <c r="E37" s="318" t="s">
        <v>202</v>
      </c>
      <c r="F37" s="47">
        <v>10000</v>
      </c>
      <c r="G37" s="61"/>
    </row>
    <row r="38" spans="1:7">
      <c r="A38" s="20"/>
      <c r="B38" s="43">
        <v>9</v>
      </c>
      <c r="C38" s="317" t="s">
        <v>384</v>
      </c>
      <c r="D38" s="318"/>
      <c r="E38" s="319" t="s">
        <v>19</v>
      </c>
      <c r="F38" s="47">
        <v>10000</v>
      </c>
      <c r="G38" s="61"/>
    </row>
    <row r="39" spans="1:7" ht="30">
      <c r="A39" s="20"/>
      <c r="B39" s="43">
        <v>10</v>
      </c>
      <c r="C39" s="320" t="s">
        <v>215</v>
      </c>
      <c r="D39" s="318"/>
      <c r="E39" s="319" t="s">
        <v>19</v>
      </c>
      <c r="F39" s="47">
        <v>10000</v>
      </c>
      <c r="G39" s="61"/>
    </row>
    <row r="40" spans="1:7">
      <c r="A40" s="20"/>
      <c r="B40" s="43">
        <v>11</v>
      </c>
      <c r="C40" s="317" t="s">
        <v>205</v>
      </c>
      <c r="D40" s="318"/>
      <c r="E40" s="318" t="s">
        <v>120</v>
      </c>
      <c r="F40" s="47">
        <v>10000</v>
      </c>
      <c r="G40" s="61"/>
    </row>
    <row r="41" spans="1:7">
      <c r="A41" s="20"/>
      <c r="B41" s="43">
        <v>12</v>
      </c>
      <c r="C41" s="317" t="s">
        <v>194</v>
      </c>
      <c r="D41" s="318"/>
      <c r="E41" s="318" t="s">
        <v>19</v>
      </c>
      <c r="F41" s="47">
        <v>10000</v>
      </c>
      <c r="G41" s="61"/>
    </row>
    <row r="42" spans="1:7">
      <c r="A42" s="20"/>
      <c r="B42" s="43">
        <v>13</v>
      </c>
      <c r="C42" s="317" t="s">
        <v>139</v>
      </c>
      <c r="D42" s="318"/>
      <c r="E42" s="318" t="s">
        <v>19</v>
      </c>
      <c r="F42" s="47">
        <v>10000</v>
      </c>
      <c r="G42" s="61"/>
    </row>
    <row r="43" spans="1:7">
      <c r="A43" s="20"/>
      <c r="B43" s="43">
        <v>14</v>
      </c>
      <c r="C43" s="317" t="s">
        <v>203</v>
      </c>
      <c r="D43" s="318"/>
      <c r="E43" s="318" t="s">
        <v>19</v>
      </c>
      <c r="F43" s="47">
        <v>10000</v>
      </c>
      <c r="G43" s="61"/>
    </row>
    <row r="44" spans="1:7">
      <c r="A44" s="20"/>
      <c r="B44" s="43">
        <v>15</v>
      </c>
      <c r="C44" s="317" t="s">
        <v>137</v>
      </c>
      <c r="D44" s="318"/>
      <c r="E44" s="318" t="s">
        <v>28</v>
      </c>
      <c r="F44" s="47">
        <v>10000</v>
      </c>
      <c r="G44" s="61"/>
    </row>
    <row r="45" spans="1:7" ht="30">
      <c r="A45" s="20"/>
      <c r="B45" s="43">
        <v>16</v>
      </c>
      <c r="C45" s="320" t="s">
        <v>213</v>
      </c>
      <c r="D45" s="318"/>
      <c r="E45" s="319" t="s">
        <v>104</v>
      </c>
      <c r="F45" s="47">
        <v>10000</v>
      </c>
      <c r="G45" s="61"/>
    </row>
    <row r="46" spans="1:7" ht="30">
      <c r="A46" s="20"/>
      <c r="B46" s="43">
        <v>17</v>
      </c>
      <c r="C46" s="320" t="s">
        <v>218</v>
      </c>
      <c r="D46" s="318"/>
      <c r="E46" s="319" t="s">
        <v>104</v>
      </c>
      <c r="F46" s="47">
        <v>10000</v>
      </c>
      <c r="G46" s="61"/>
    </row>
    <row r="47" spans="1:7" ht="30">
      <c r="A47" s="20"/>
      <c r="B47" s="43">
        <v>18</v>
      </c>
      <c r="C47" s="320" t="s">
        <v>220</v>
      </c>
      <c r="D47" s="318"/>
      <c r="E47" s="319" t="s">
        <v>104</v>
      </c>
      <c r="F47" s="47">
        <v>10000</v>
      </c>
      <c r="G47" s="61"/>
    </row>
    <row r="48" spans="1:7">
      <c r="A48" s="20"/>
      <c r="B48" s="43">
        <v>19</v>
      </c>
      <c r="C48" s="317" t="s">
        <v>221</v>
      </c>
      <c r="D48" s="318"/>
      <c r="E48" s="319" t="s">
        <v>104</v>
      </c>
      <c r="F48" s="47">
        <v>10000</v>
      </c>
      <c r="G48" s="61"/>
    </row>
    <row r="49" spans="1:7">
      <c r="A49" s="20"/>
      <c r="B49" s="43">
        <v>20</v>
      </c>
      <c r="C49" s="317" t="s">
        <v>115</v>
      </c>
      <c r="D49" s="318"/>
      <c r="E49" s="318" t="s">
        <v>19</v>
      </c>
      <c r="F49" s="47">
        <v>10000</v>
      </c>
      <c r="G49" s="61"/>
    </row>
    <row r="50" spans="1:7" ht="30">
      <c r="A50" s="20"/>
      <c r="B50" s="43">
        <v>21</v>
      </c>
      <c r="C50" s="320" t="s">
        <v>763</v>
      </c>
      <c r="D50" s="318"/>
      <c r="E50" s="318" t="s">
        <v>86</v>
      </c>
      <c r="F50" s="47">
        <v>10000</v>
      </c>
      <c r="G50" s="61"/>
    </row>
    <row r="51" spans="1:7" ht="30">
      <c r="A51" s="20"/>
      <c r="B51" s="43">
        <v>22</v>
      </c>
      <c r="C51" s="320" t="s">
        <v>770</v>
      </c>
      <c r="D51" s="318"/>
      <c r="E51" s="318" t="s">
        <v>86</v>
      </c>
      <c r="F51" s="47">
        <v>10000</v>
      </c>
      <c r="G51" s="61"/>
    </row>
    <row r="52" spans="1:7">
      <c r="A52" s="20"/>
      <c r="B52" s="43">
        <v>23</v>
      </c>
      <c r="C52" s="320" t="s">
        <v>800</v>
      </c>
      <c r="D52" s="319"/>
      <c r="E52" s="319" t="s">
        <v>86</v>
      </c>
      <c r="F52" s="47">
        <v>10000</v>
      </c>
      <c r="G52" s="61"/>
    </row>
    <row r="53" spans="1:7">
      <c r="A53" s="20"/>
      <c r="B53" s="43">
        <v>24</v>
      </c>
      <c r="C53" s="320" t="s">
        <v>816</v>
      </c>
      <c r="D53" s="319"/>
      <c r="E53" s="319" t="s">
        <v>86</v>
      </c>
      <c r="F53" s="47">
        <v>10000</v>
      </c>
      <c r="G53" s="61"/>
    </row>
    <row r="54" spans="1:7" ht="30">
      <c r="A54" s="20"/>
      <c r="B54" s="43">
        <v>25</v>
      </c>
      <c r="C54" s="320" t="s">
        <v>776</v>
      </c>
      <c r="D54" s="319"/>
      <c r="E54" s="319" t="s">
        <v>86</v>
      </c>
      <c r="F54" s="47">
        <v>10000</v>
      </c>
      <c r="G54" s="61"/>
    </row>
    <row r="55" spans="1:7" ht="30">
      <c r="A55" s="20"/>
      <c r="B55" s="43">
        <v>26</v>
      </c>
      <c r="C55" s="320" t="s">
        <v>867</v>
      </c>
      <c r="D55" s="319"/>
      <c r="E55" s="319" t="s">
        <v>86</v>
      </c>
      <c r="F55" s="47">
        <v>10000</v>
      </c>
      <c r="G55" s="61"/>
    </row>
    <row r="56" spans="1:7" ht="30">
      <c r="A56" s="20"/>
      <c r="B56" s="43">
        <v>27</v>
      </c>
      <c r="C56" s="320" t="s">
        <v>868</v>
      </c>
      <c r="D56" s="319"/>
      <c r="E56" s="319" t="s">
        <v>86</v>
      </c>
      <c r="F56" s="47">
        <v>10000</v>
      </c>
      <c r="G56" s="61"/>
    </row>
    <row r="57" spans="1:7" ht="30">
      <c r="A57" s="20"/>
      <c r="B57" s="43">
        <v>28</v>
      </c>
      <c r="C57" s="320" t="s">
        <v>789</v>
      </c>
      <c r="D57" s="319"/>
      <c r="E57" s="319" t="s">
        <v>86</v>
      </c>
      <c r="F57" s="47">
        <v>10000</v>
      </c>
      <c r="G57" s="61"/>
    </row>
    <row r="58" spans="1:7" ht="30">
      <c r="A58" s="20"/>
      <c r="B58" s="43">
        <v>29</v>
      </c>
      <c r="C58" s="320" t="s">
        <v>805</v>
      </c>
      <c r="D58" s="319"/>
      <c r="E58" s="319" t="s">
        <v>86</v>
      </c>
      <c r="F58" s="47">
        <v>10000</v>
      </c>
      <c r="G58" s="61"/>
    </row>
    <row r="59" spans="1:7" ht="30">
      <c r="A59" s="20"/>
      <c r="B59" s="43">
        <v>30</v>
      </c>
      <c r="C59" s="320" t="s">
        <v>773</v>
      </c>
      <c r="D59" s="319"/>
      <c r="E59" s="319" t="s">
        <v>86</v>
      </c>
      <c r="F59" s="47">
        <v>10000</v>
      </c>
      <c r="G59" s="61"/>
    </row>
    <row r="60" spans="1:7" ht="30">
      <c r="A60" s="20"/>
      <c r="B60" s="43">
        <v>31</v>
      </c>
      <c r="C60" s="320" t="s">
        <v>869</v>
      </c>
      <c r="D60" s="319"/>
      <c r="E60" s="319" t="s">
        <v>86</v>
      </c>
      <c r="F60" s="47">
        <v>10000</v>
      </c>
      <c r="G60" s="61"/>
    </row>
    <row r="61" spans="1:7" ht="30">
      <c r="A61" s="20"/>
      <c r="B61" s="43">
        <v>32</v>
      </c>
      <c r="C61" s="320" t="s">
        <v>870</v>
      </c>
      <c r="D61" s="319"/>
      <c r="E61" s="319" t="s">
        <v>86</v>
      </c>
      <c r="F61" s="47">
        <v>10000</v>
      </c>
      <c r="G61" s="61"/>
    </row>
    <row r="62" spans="1:7">
      <c r="A62" s="20"/>
      <c r="B62" s="43">
        <v>33</v>
      </c>
      <c r="C62" s="317" t="s">
        <v>761</v>
      </c>
      <c r="D62" s="318"/>
      <c r="E62" s="318" t="s">
        <v>86</v>
      </c>
      <c r="F62" s="47">
        <v>10000</v>
      </c>
      <c r="G62" s="61"/>
    </row>
    <row r="63" spans="1:7">
      <c r="A63" s="20"/>
      <c r="B63" s="43">
        <v>34</v>
      </c>
      <c r="C63" s="317" t="s">
        <v>766</v>
      </c>
      <c r="D63" s="318"/>
      <c r="E63" s="318" t="s">
        <v>86</v>
      </c>
      <c r="F63" s="47">
        <v>10000</v>
      </c>
      <c r="G63" s="61"/>
    </row>
    <row r="64" spans="1:7" ht="30">
      <c r="A64" s="20"/>
      <c r="B64" s="43">
        <v>35</v>
      </c>
      <c r="C64" s="320" t="s">
        <v>775</v>
      </c>
      <c r="D64" s="319"/>
      <c r="E64" s="319" t="s">
        <v>86</v>
      </c>
      <c r="F64" s="47">
        <v>10000</v>
      </c>
      <c r="G64" s="61"/>
    </row>
    <row r="65" spans="1:7" ht="30">
      <c r="A65" s="20"/>
      <c r="B65" s="43">
        <v>36</v>
      </c>
      <c r="C65" s="320" t="s">
        <v>871</v>
      </c>
      <c r="D65" s="319"/>
      <c r="E65" s="319" t="s">
        <v>86</v>
      </c>
      <c r="F65" s="47">
        <v>10000</v>
      </c>
      <c r="G65" s="61"/>
    </row>
    <row r="66" spans="1:7" ht="30">
      <c r="A66" s="20"/>
      <c r="B66" s="43">
        <v>37</v>
      </c>
      <c r="C66" s="320" t="s">
        <v>872</v>
      </c>
      <c r="D66" s="319"/>
      <c r="E66" s="319" t="s">
        <v>86</v>
      </c>
      <c r="F66" s="47">
        <v>10000</v>
      </c>
      <c r="G66" s="61"/>
    </row>
    <row r="67" spans="1:7" ht="30">
      <c r="A67" s="20"/>
      <c r="B67" s="43">
        <v>38</v>
      </c>
      <c r="C67" s="320" t="s">
        <v>791</v>
      </c>
      <c r="D67" s="319"/>
      <c r="E67" s="319" t="s">
        <v>86</v>
      </c>
      <c r="F67" s="47">
        <v>10000</v>
      </c>
      <c r="G67" s="61"/>
    </row>
    <row r="68" spans="1:7" ht="30">
      <c r="A68" s="20"/>
      <c r="B68" s="43">
        <v>39</v>
      </c>
      <c r="C68" s="320" t="s">
        <v>807</v>
      </c>
      <c r="D68" s="319"/>
      <c r="E68" s="319" t="s">
        <v>86</v>
      </c>
      <c r="F68" s="47">
        <v>10000</v>
      </c>
      <c r="G68" s="61"/>
    </row>
    <row r="69" spans="1:7" ht="30">
      <c r="A69" s="20"/>
      <c r="B69" s="43">
        <v>40</v>
      </c>
      <c r="C69" s="320" t="s">
        <v>793</v>
      </c>
      <c r="D69" s="319"/>
      <c r="E69" s="319" t="s">
        <v>86</v>
      </c>
      <c r="F69" s="47">
        <v>10000</v>
      </c>
      <c r="G69" s="61"/>
    </row>
    <row r="70" spans="1:7" ht="30">
      <c r="A70" s="20"/>
      <c r="B70" s="43">
        <v>41</v>
      </c>
      <c r="C70" s="320" t="s">
        <v>809</v>
      </c>
      <c r="D70" s="319"/>
      <c r="E70" s="319" t="s">
        <v>86</v>
      </c>
      <c r="F70" s="47">
        <v>10000</v>
      </c>
      <c r="G70" s="61"/>
    </row>
    <row r="71" spans="1:7">
      <c r="A71" s="20"/>
      <c r="B71" s="43">
        <v>42</v>
      </c>
      <c r="C71" s="320" t="s">
        <v>798</v>
      </c>
      <c r="D71" s="319"/>
      <c r="E71" s="319" t="s">
        <v>86</v>
      </c>
      <c r="F71" s="47">
        <v>10000</v>
      </c>
      <c r="G71" s="61"/>
    </row>
    <row r="72" spans="1:7">
      <c r="A72" s="20"/>
      <c r="B72" s="43">
        <v>43</v>
      </c>
      <c r="C72" s="320" t="s">
        <v>814</v>
      </c>
      <c r="D72" s="319"/>
      <c r="E72" s="319" t="s">
        <v>86</v>
      </c>
      <c r="F72" s="47">
        <v>10000</v>
      </c>
      <c r="G72" s="61"/>
    </row>
    <row r="73" spans="1:7">
      <c r="A73" s="20"/>
      <c r="B73" s="43">
        <v>44</v>
      </c>
      <c r="C73" s="317" t="s">
        <v>759</v>
      </c>
      <c r="D73" s="318"/>
      <c r="E73" s="318" t="s">
        <v>86</v>
      </c>
      <c r="F73" s="47">
        <v>10000</v>
      </c>
      <c r="G73" s="61"/>
    </row>
    <row r="74" spans="1:7">
      <c r="A74" s="20"/>
      <c r="B74" s="43">
        <v>45</v>
      </c>
      <c r="C74" s="317" t="s">
        <v>765</v>
      </c>
      <c r="D74" s="318"/>
      <c r="E74" s="318" t="s">
        <v>86</v>
      </c>
      <c r="F74" s="47">
        <v>10000</v>
      </c>
      <c r="G74" s="61"/>
    </row>
    <row r="75" spans="1:7">
      <c r="A75" s="20"/>
      <c r="B75" s="43">
        <v>46</v>
      </c>
      <c r="C75" s="320" t="s">
        <v>795</v>
      </c>
      <c r="D75" s="319"/>
      <c r="E75" s="319" t="s">
        <v>86</v>
      </c>
      <c r="F75" s="47">
        <v>10000</v>
      </c>
      <c r="G75" s="61"/>
    </row>
    <row r="76" spans="1:7">
      <c r="A76" s="20"/>
      <c r="B76" s="43">
        <v>47</v>
      </c>
      <c r="C76" s="320" t="s">
        <v>811</v>
      </c>
      <c r="D76" s="319"/>
      <c r="E76" s="319" t="s">
        <v>86</v>
      </c>
      <c r="F76" s="47">
        <v>10000</v>
      </c>
      <c r="G76" s="61"/>
    </row>
    <row r="77" spans="1:7">
      <c r="A77" s="20"/>
      <c r="B77" s="43">
        <v>48</v>
      </c>
      <c r="C77" s="317" t="s">
        <v>144</v>
      </c>
      <c r="D77" s="318"/>
      <c r="E77" s="318" t="s">
        <v>28</v>
      </c>
      <c r="F77" s="47">
        <v>10000</v>
      </c>
      <c r="G77" s="61"/>
    </row>
    <row r="78" spans="1:7">
      <c r="A78" s="20"/>
      <c r="B78" s="43">
        <v>49</v>
      </c>
      <c r="C78" s="317" t="s">
        <v>108</v>
      </c>
      <c r="D78" s="318"/>
      <c r="E78" s="318" t="s">
        <v>28</v>
      </c>
      <c r="F78" s="47">
        <v>10000</v>
      </c>
      <c r="G78" s="61"/>
    </row>
    <row r="79" spans="1:7">
      <c r="A79" s="20"/>
      <c r="B79" s="43">
        <v>50</v>
      </c>
      <c r="C79" s="317" t="s">
        <v>34</v>
      </c>
      <c r="D79" s="318"/>
      <c r="E79" s="318" t="s">
        <v>28</v>
      </c>
      <c r="F79" s="47">
        <v>10000</v>
      </c>
      <c r="G79" s="61"/>
    </row>
    <row r="80" spans="1:7" ht="30">
      <c r="A80" s="20"/>
      <c r="B80" s="43">
        <v>51</v>
      </c>
      <c r="C80" s="320" t="s">
        <v>379</v>
      </c>
      <c r="D80" s="318"/>
      <c r="E80" s="319" t="s">
        <v>104</v>
      </c>
      <c r="F80" s="47">
        <v>10000</v>
      </c>
      <c r="G80" s="61"/>
    </row>
    <row r="81" spans="1:7" ht="30">
      <c r="A81" s="20"/>
      <c r="B81" s="43">
        <v>52</v>
      </c>
      <c r="C81" s="320" t="s">
        <v>383</v>
      </c>
      <c r="D81" s="318"/>
      <c r="E81" s="319" t="s">
        <v>104</v>
      </c>
      <c r="F81" s="47">
        <v>10000</v>
      </c>
      <c r="G81" s="61"/>
    </row>
    <row r="82" spans="1:7" ht="30">
      <c r="A82" s="20"/>
      <c r="B82" s="43">
        <v>53</v>
      </c>
      <c r="C82" s="320" t="s">
        <v>382</v>
      </c>
      <c r="D82" s="318"/>
      <c r="E82" s="319" t="s">
        <v>104</v>
      </c>
      <c r="F82" s="47">
        <v>10000</v>
      </c>
      <c r="G82" s="61"/>
    </row>
    <row r="83" spans="1:7" ht="30">
      <c r="A83" s="20"/>
      <c r="B83" s="43">
        <v>54</v>
      </c>
      <c r="C83" s="320" t="s">
        <v>381</v>
      </c>
      <c r="D83" s="318"/>
      <c r="E83" s="319" t="s">
        <v>104</v>
      </c>
      <c r="F83" s="47">
        <v>10000</v>
      </c>
      <c r="G83" s="61"/>
    </row>
    <row r="84" spans="1:7" ht="30">
      <c r="A84" s="20"/>
      <c r="B84" s="43">
        <v>55</v>
      </c>
      <c r="C84" s="320" t="s">
        <v>380</v>
      </c>
      <c r="D84" s="318"/>
      <c r="E84" s="319" t="s">
        <v>104</v>
      </c>
      <c r="F84" s="47">
        <v>10000</v>
      </c>
      <c r="G84" s="61"/>
    </row>
    <row r="85" spans="1:7" ht="30">
      <c r="A85" s="20"/>
      <c r="B85" s="43">
        <v>56</v>
      </c>
      <c r="C85" s="320" t="s">
        <v>214</v>
      </c>
      <c r="D85" s="318"/>
      <c r="E85" s="319" t="s">
        <v>19</v>
      </c>
      <c r="F85" s="47">
        <v>10000</v>
      </c>
      <c r="G85" s="61"/>
    </row>
    <row r="86" spans="1:7" ht="30">
      <c r="A86" s="20"/>
      <c r="B86" s="43">
        <v>57</v>
      </c>
      <c r="C86" s="320" t="s">
        <v>219</v>
      </c>
      <c r="D86" s="318"/>
      <c r="E86" s="319" t="s">
        <v>19</v>
      </c>
      <c r="F86" s="47">
        <v>10000</v>
      </c>
      <c r="G86" s="61"/>
    </row>
    <row r="87" spans="1:7">
      <c r="A87" s="20"/>
      <c r="B87" s="43">
        <v>58</v>
      </c>
      <c r="C87" s="320" t="s">
        <v>802</v>
      </c>
      <c r="D87" s="319"/>
      <c r="E87" s="319" t="s">
        <v>86</v>
      </c>
      <c r="F87" s="47">
        <v>10000</v>
      </c>
      <c r="G87" s="61"/>
    </row>
    <row r="88" spans="1:7">
      <c r="A88" s="20"/>
      <c r="B88" s="43">
        <v>59</v>
      </c>
      <c r="C88" s="320" t="s">
        <v>818</v>
      </c>
      <c r="D88" s="319"/>
      <c r="E88" s="319" t="s">
        <v>86</v>
      </c>
      <c r="F88" s="47">
        <v>10000</v>
      </c>
      <c r="G88" s="61"/>
    </row>
    <row r="89" spans="1:7" ht="30">
      <c r="A89" s="20"/>
      <c r="B89" s="43">
        <v>60</v>
      </c>
      <c r="C89" s="320" t="s">
        <v>313</v>
      </c>
      <c r="D89" s="318"/>
      <c r="E89" s="319" t="s">
        <v>86</v>
      </c>
      <c r="F89" s="47">
        <v>10000</v>
      </c>
      <c r="G89" s="61"/>
    </row>
    <row r="90" spans="1:7" ht="30">
      <c r="A90" s="20"/>
      <c r="B90" s="43">
        <v>61</v>
      </c>
      <c r="C90" s="320" t="s">
        <v>306</v>
      </c>
      <c r="D90" s="319"/>
      <c r="E90" s="319" t="s">
        <v>86</v>
      </c>
      <c r="F90" s="47">
        <v>10000</v>
      </c>
      <c r="G90" s="61"/>
    </row>
    <row r="91" spans="1:7" ht="30">
      <c r="A91" s="20"/>
      <c r="B91" s="43">
        <v>62</v>
      </c>
      <c r="C91" s="320" t="s">
        <v>285</v>
      </c>
      <c r="D91" s="319"/>
      <c r="E91" s="319" t="s">
        <v>86</v>
      </c>
      <c r="F91" s="47">
        <v>10000</v>
      </c>
      <c r="G91" s="61"/>
    </row>
    <row r="92" spans="1:7" ht="30">
      <c r="A92" s="20"/>
      <c r="B92" s="43">
        <v>63</v>
      </c>
      <c r="C92" s="320" t="s">
        <v>300</v>
      </c>
      <c r="D92" s="319"/>
      <c r="E92" s="319" t="s">
        <v>86</v>
      </c>
      <c r="F92" s="47">
        <v>10000</v>
      </c>
      <c r="G92" s="61"/>
    </row>
    <row r="93" spans="1:7" ht="30">
      <c r="A93" s="20"/>
      <c r="B93" s="43">
        <v>64</v>
      </c>
      <c r="C93" s="320" t="s">
        <v>314</v>
      </c>
      <c r="D93" s="318"/>
      <c r="E93" s="319" t="s">
        <v>86</v>
      </c>
      <c r="F93" s="47">
        <v>10000</v>
      </c>
      <c r="G93" s="61"/>
    </row>
    <row r="94" spans="1:7" ht="30">
      <c r="A94" s="20"/>
      <c r="B94" s="43">
        <v>65</v>
      </c>
      <c r="C94" s="320" t="s">
        <v>257</v>
      </c>
      <c r="D94" s="319"/>
      <c r="E94" s="319" t="s">
        <v>86</v>
      </c>
      <c r="F94" s="47">
        <v>10000</v>
      </c>
      <c r="G94" s="61"/>
    </row>
    <row r="95" spans="1:7" ht="30">
      <c r="A95" s="20"/>
      <c r="B95" s="43">
        <v>66</v>
      </c>
      <c r="C95" s="320" t="s">
        <v>267</v>
      </c>
      <c r="D95" s="318"/>
      <c r="E95" s="319" t="s">
        <v>86</v>
      </c>
      <c r="F95" s="47">
        <v>10000</v>
      </c>
      <c r="G95" s="61"/>
    </row>
    <row r="96" spans="1:7" ht="30">
      <c r="A96" s="20"/>
      <c r="B96" s="43">
        <v>67</v>
      </c>
      <c r="C96" s="320" t="s">
        <v>286</v>
      </c>
      <c r="D96" s="319"/>
      <c r="E96" s="319" t="s">
        <v>86</v>
      </c>
      <c r="F96" s="47">
        <v>10000</v>
      </c>
      <c r="G96" s="61"/>
    </row>
    <row r="97" spans="1:8" ht="30">
      <c r="A97" s="20"/>
      <c r="B97" s="43">
        <v>68</v>
      </c>
      <c r="C97" s="320" t="s">
        <v>268</v>
      </c>
      <c r="D97" s="318"/>
      <c r="E97" s="319" t="s">
        <v>86</v>
      </c>
      <c r="F97" s="47">
        <v>10000</v>
      </c>
      <c r="G97" s="61"/>
    </row>
    <row r="98" spans="1:8" ht="30">
      <c r="A98" s="20"/>
      <c r="B98" s="43">
        <v>69</v>
      </c>
      <c r="C98" s="320" t="s">
        <v>287</v>
      </c>
      <c r="D98" s="319"/>
      <c r="E98" s="319" t="s">
        <v>86</v>
      </c>
      <c r="F98" s="47">
        <v>10000</v>
      </c>
      <c r="G98" s="61"/>
    </row>
    <row r="99" spans="1:8" ht="30">
      <c r="A99" s="20"/>
      <c r="B99" s="43">
        <v>70</v>
      </c>
      <c r="C99" s="320" t="s">
        <v>299</v>
      </c>
      <c r="D99" s="319"/>
      <c r="E99" s="319" t="s">
        <v>86</v>
      </c>
      <c r="F99" s="47">
        <v>10000</v>
      </c>
      <c r="G99" s="61"/>
    </row>
    <row r="100" spans="1:8" ht="30">
      <c r="A100" s="20"/>
      <c r="B100" s="43">
        <v>71</v>
      </c>
      <c r="C100" s="320" t="s">
        <v>307</v>
      </c>
      <c r="D100" s="319"/>
      <c r="E100" s="319" t="s">
        <v>86</v>
      </c>
      <c r="F100" s="47">
        <v>10000</v>
      </c>
      <c r="G100" s="61"/>
    </row>
    <row r="101" spans="1:8" ht="30">
      <c r="A101" s="20"/>
      <c r="B101" s="43">
        <v>72</v>
      </c>
      <c r="C101" s="320" t="s">
        <v>315</v>
      </c>
      <c r="D101" s="318"/>
      <c r="E101" s="319" t="s">
        <v>86</v>
      </c>
      <c r="F101" s="47">
        <v>10000</v>
      </c>
      <c r="G101" s="61"/>
    </row>
    <row r="102" spans="1:8" ht="30">
      <c r="A102" s="20"/>
      <c r="B102" s="43">
        <v>73</v>
      </c>
      <c r="C102" s="320" t="s">
        <v>236</v>
      </c>
      <c r="D102" s="318"/>
      <c r="E102" s="319" t="s">
        <v>86</v>
      </c>
      <c r="F102" s="47">
        <v>10000</v>
      </c>
      <c r="G102" s="61"/>
    </row>
    <row r="103" spans="1:8">
      <c r="A103" s="20"/>
      <c r="B103" s="43">
        <v>74</v>
      </c>
      <c r="C103" s="317" t="s">
        <v>258</v>
      </c>
      <c r="D103" s="318"/>
      <c r="E103" s="319" t="s">
        <v>86</v>
      </c>
      <c r="F103" s="47">
        <v>10000</v>
      </c>
      <c r="G103" s="61"/>
    </row>
    <row r="104" spans="1:8" ht="30">
      <c r="A104" s="20"/>
      <c r="B104" s="43">
        <v>75</v>
      </c>
      <c r="C104" s="320" t="s">
        <v>269</v>
      </c>
      <c r="D104" s="318"/>
      <c r="E104" s="319" t="s">
        <v>86</v>
      </c>
      <c r="F104" s="47">
        <v>10000</v>
      </c>
      <c r="G104" s="61"/>
    </row>
    <row r="105" spans="1:8" ht="30">
      <c r="A105" s="20"/>
      <c r="B105" s="43">
        <v>76</v>
      </c>
      <c r="C105" s="320" t="s">
        <v>228</v>
      </c>
      <c r="D105" s="318"/>
      <c r="E105" s="319" t="s">
        <v>86</v>
      </c>
      <c r="F105" s="47">
        <v>10000</v>
      </c>
      <c r="G105" s="61"/>
    </row>
    <row r="106" spans="1:8" ht="30">
      <c r="A106" s="20"/>
      <c r="B106" s="43">
        <v>77</v>
      </c>
      <c r="C106" s="320" t="s">
        <v>245</v>
      </c>
      <c r="D106" s="319"/>
      <c r="E106" s="319" t="s">
        <v>86</v>
      </c>
      <c r="F106" s="47">
        <v>10000</v>
      </c>
      <c r="G106" s="61"/>
    </row>
    <row r="107" spans="1:8" ht="45">
      <c r="A107" s="20"/>
      <c r="B107" s="43">
        <v>78</v>
      </c>
      <c r="C107" s="320" t="s">
        <v>229</v>
      </c>
      <c r="D107" s="318"/>
      <c r="E107" s="319" t="s">
        <v>86</v>
      </c>
      <c r="F107" s="47">
        <v>10000</v>
      </c>
      <c r="G107" s="61"/>
    </row>
    <row r="108" spans="1:8" ht="30">
      <c r="A108" s="20"/>
      <c r="B108" s="43">
        <v>79</v>
      </c>
      <c r="C108" s="320" t="s">
        <v>246</v>
      </c>
      <c r="D108" s="319"/>
      <c r="E108" s="319" t="s">
        <v>86</v>
      </c>
      <c r="F108" s="47">
        <v>10000</v>
      </c>
      <c r="G108" s="61"/>
    </row>
    <row r="109" spans="1:8" ht="30">
      <c r="A109" s="20"/>
      <c r="B109" s="43">
        <v>80</v>
      </c>
      <c r="C109" s="320" t="s">
        <v>259</v>
      </c>
      <c r="D109" s="319"/>
      <c r="E109" s="319" t="s">
        <v>86</v>
      </c>
      <c r="F109" s="47">
        <v>10000</v>
      </c>
      <c r="G109" s="61"/>
    </row>
    <row r="110" spans="1:8" ht="30">
      <c r="A110" s="63"/>
      <c r="B110" s="43">
        <v>81</v>
      </c>
      <c r="C110" s="320" t="s">
        <v>270</v>
      </c>
      <c r="D110" s="318"/>
      <c r="E110" s="319" t="s">
        <v>86</v>
      </c>
      <c r="F110" s="47">
        <v>10000</v>
      </c>
      <c r="G110" s="64"/>
      <c r="H110" s="65"/>
    </row>
    <row r="111" spans="1:8" ht="30">
      <c r="A111" s="20"/>
      <c r="B111" s="43">
        <v>82</v>
      </c>
      <c r="C111" s="320" t="s">
        <v>288</v>
      </c>
      <c r="D111" s="319"/>
      <c r="E111" s="319" t="s">
        <v>86</v>
      </c>
      <c r="F111" s="47">
        <v>10000</v>
      </c>
      <c r="G111" s="61"/>
    </row>
    <row r="112" spans="1:8" ht="45">
      <c r="A112" s="20"/>
      <c r="B112" s="43">
        <v>83</v>
      </c>
      <c r="C112" s="320" t="s">
        <v>247</v>
      </c>
      <c r="D112" s="319"/>
      <c r="E112" s="319" t="s">
        <v>86</v>
      </c>
      <c r="F112" s="47">
        <v>10000</v>
      </c>
      <c r="G112" s="61"/>
    </row>
    <row r="113" spans="1:8" ht="45">
      <c r="A113" s="20"/>
      <c r="B113" s="43">
        <v>84</v>
      </c>
      <c r="C113" s="320" t="s">
        <v>230</v>
      </c>
      <c r="D113" s="318"/>
      <c r="E113" s="319" t="s">
        <v>86</v>
      </c>
      <c r="F113" s="47">
        <v>10000</v>
      </c>
      <c r="G113" s="61"/>
    </row>
    <row r="114" spans="1:8" ht="30">
      <c r="A114" s="20"/>
      <c r="B114" s="43">
        <v>85</v>
      </c>
      <c r="C114" s="320" t="s">
        <v>248</v>
      </c>
      <c r="D114" s="319"/>
      <c r="E114" s="319" t="s">
        <v>86</v>
      </c>
      <c r="F114" s="47">
        <v>10000</v>
      </c>
      <c r="G114" s="61"/>
    </row>
    <row r="115" spans="1:8" ht="30">
      <c r="A115" s="20"/>
      <c r="B115" s="43">
        <v>86</v>
      </c>
      <c r="C115" s="320" t="s">
        <v>231</v>
      </c>
      <c r="D115" s="318"/>
      <c r="E115" s="319" t="s">
        <v>86</v>
      </c>
      <c r="F115" s="47">
        <v>10000</v>
      </c>
      <c r="G115" s="48"/>
    </row>
    <row r="116" spans="1:8" ht="30">
      <c r="A116" s="20"/>
      <c r="B116" s="43">
        <v>87</v>
      </c>
      <c r="C116" s="320" t="s">
        <v>232</v>
      </c>
      <c r="D116" s="318"/>
      <c r="E116" s="319" t="s">
        <v>86</v>
      </c>
      <c r="F116" s="47">
        <v>10000</v>
      </c>
      <c r="G116" s="48"/>
    </row>
    <row r="117" spans="1:8" ht="30">
      <c r="A117" s="20"/>
      <c r="B117" s="43">
        <v>88</v>
      </c>
      <c r="C117" s="320" t="s">
        <v>249</v>
      </c>
      <c r="D117" s="318"/>
      <c r="E117" s="319" t="s">
        <v>86</v>
      </c>
      <c r="F117" s="47">
        <v>10000</v>
      </c>
      <c r="G117" s="48"/>
    </row>
    <row r="118" spans="1:8" ht="45">
      <c r="A118" s="20"/>
      <c r="B118" s="43">
        <v>89</v>
      </c>
      <c r="C118" s="320" t="s">
        <v>233</v>
      </c>
      <c r="D118" s="318"/>
      <c r="E118" s="319" t="s">
        <v>86</v>
      </c>
      <c r="F118" s="47">
        <v>10000</v>
      </c>
      <c r="G118" s="48"/>
    </row>
    <row r="119" spans="1:8" ht="45">
      <c r="A119" s="20"/>
      <c r="B119" s="43">
        <v>90</v>
      </c>
      <c r="C119" s="320" t="s">
        <v>250</v>
      </c>
      <c r="D119" s="318"/>
      <c r="E119" s="319" t="s">
        <v>86</v>
      </c>
      <c r="F119" s="47">
        <v>10000</v>
      </c>
      <c r="G119" s="48"/>
    </row>
    <row r="120" spans="1:8" ht="30">
      <c r="A120" s="20"/>
      <c r="B120" s="43">
        <v>91</v>
      </c>
      <c r="C120" s="320" t="s">
        <v>301</v>
      </c>
      <c r="D120" s="319"/>
      <c r="E120" s="319" t="s">
        <v>86</v>
      </c>
      <c r="F120" s="47">
        <v>10000</v>
      </c>
      <c r="G120" s="48"/>
    </row>
    <row r="121" spans="1:8" ht="30">
      <c r="A121" s="20"/>
      <c r="B121" s="43">
        <v>92</v>
      </c>
      <c r="C121" s="320" t="s">
        <v>308</v>
      </c>
      <c r="D121" s="319"/>
      <c r="E121" s="319" t="s">
        <v>86</v>
      </c>
      <c r="F121" s="47">
        <v>10000</v>
      </c>
      <c r="G121" s="48"/>
    </row>
    <row r="122" spans="1:8" ht="30">
      <c r="A122" s="20"/>
      <c r="B122" s="43">
        <v>93</v>
      </c>
      <c r="C122" s="320" t="s">
        <v>289</v>
      </c>
      <c r="D122" s="319"/>
      <c r="E122" s="319" t="s">
        <v>86</v>
      </c>
      <c r="F122" s="47">
        <v>10000</v>
      </c>
      <c r="G122" s="48"/>
    </row>
    <row r="123" spans="1:8" ht="30">
      <c r="A123" s="20"/>
      <c r="B123" s="43">
        <v>94</v>
      </c>
      <c r="C123" s="320" t="s">
        <v>260</v>
      </c>
      <c r="D123" s="319"/>
      <c r="E123" s="319" t="s">
        <v>86</v>
      </c>
      <c r="F123" s="47">
        <v>10000</v>
      </c>
      <c r="G123" s="48"/>
    </row>
    <row r="124" spans="1:8" ht="30">
      <c r="A124" s="63"/>
      <c r="B124" s="43">
        <v>95</v>
      </c>
      <c r="C124" s="320" t="s">
        <v>271</v>
      </c>
      <c r="D124" s="318"/>
      <c r="E124" s="319" t="s">
        <v>86</v>
      </c>
      <c r="F124" s="47">
        <v>10000</v>
      </c>
      <c r="G124" s="66"/>
      <c r="H124" s="65"/>
    </row>
    <row r="125" spans="1:8">
      <c r="A125" s="20"/>
      <c r="B125" s="43">
        <v>96</v>
      </c>
      <c r="C125" s="317" t="s">
        <v>261</v>
      </c>
      <c r="D125" s="318"/>
      <c r="E125" s="319" t="s">
        <v>86</v>
      </c>
      <c r="F125" s="47">
        <v>10000</v>
      </c>
      <c r="G125" s="48"/>
    </row>
    <row r="126" spans="1:8" ht="30">
      <c r="A126" s="20"/>
      <c r="B126" s="43">
        <v>97</v>
      </c>
      <c r="C126" s="320" t="s">
        <v>272</v>
      </c>
      <c r="D126" s="318"/>
      <c r="E126" s="319" t="s">
        <v>86</v>
      </c>
      <c r="F126" s="47">
        <v>10000</v>
      </c>
      <c r="G126" s="48"/>
    </row>
    <row r="127" spans="1:8" ht="30">
      <c r="A127" s="20"/>
      <c r="B127" s="43">
        <v>98</v>
      </c>
      <c r="C127" s="320" t="s">
        <v>262</v>
      </c>
      <c r="D127" s="319"/>
      <c r="E127" s="319" t="s">
        <v>86</v>
      </c>
      <c r="F127" s="47">
        <v>10000</v>
      </c>
      <c r="G127" s="48"/>
    </row>
    <row r="128" spans="1:8" ht="30">
      <c r="A128" s="20"/>
      <c r="B128" s="43">
        <v>99</v>
      </c>
      <c r="C128" s="320" t="s">
        <v>273</v>
      </c>
      <c r="D128" s="318"/>
      <c r="E128" s="319" t="s">
        <v>86</v>
      </c>
      <c r="F128" s="47">
        <v>10000</v>
      </c>
      <c r="G128" s="48"/>
    </row>
    <row r="129" spans="1:7" ht="30">
      <c r="A129" s="20"/>
      <c r="B129" s="43">
        <v>100</v>
      </c>
      <c r="C129" s="320" t="s">
        <v>234</v>
      </c>
      <c r="D129" s="318"/>
      <c r="E129" s="319" t="s">
        <v>86</v>
      </c>
      <c r="F129" s="47">
        <v>10000</v>
      </c>
      <c r="G129" s="48"/>
    </row>
    <row r="130" spans="1:7" ht="30">
      <c r="A130" s="20"/>
      <c r="B130" s="43">
        <v>101</v>
      </c>
      <c r="C130" s="320" t="s">
        <v>251</v>
      </c>
      <c r="D130" s="318"/>
      <c r="E130" s="319" t="s">
        <v>86</v>
      </c>
      <c r="F130" s="47">
        <v>10000</v>
      </c>
      <c r="G130" s="48"/>
    </row>
    <row r="131" spans="1:7" ht="30">
      <c r="A131" s="20"/>
      <c r="B131" s="43">
        <v>102</v>
      </c>
      <c r="C131" s="320" t="s">
        <v>274</v>
      </c>
      <c r="D131" s="318"/>
      <c r="E131" s="319" t="s">
        <v>86</v>
      </c>
      <c r="F131" s="47">
        <v>10000</v>
      </c>
      <c r="G131" s="48"/>
    </row>
    <row r="132" spans="1:7" ht="30">
      <c r="A132" s="20"/>
      <c r="B132" s="43">
        <v>103</v>
      </c>
      <c r="C132" s="320" t="s">
        <v>290</v>
      </c>
      <c r="D132" s="319"/>
      <c r="E132" s="319" t="s">
        <v>86</v>
      </c>
      <c r="F132" s="47">
        <v>10000</v>
      </c>
      <c r="G132" s="48"/>
    </row>
    <row r="133" spans="1:7" ht="30">
      <c r="A133" s="20"/>
      <c r="B133" s="43">
        <v>104</v>
      </c>
      <c r="C133" s="320" t="s">
        <v>302</v>
      </c>
      <c r="D133" s="319"/>
      <c r="E133" s="319" t="s">
        <v>86</v>
      </c>
      <c r="F133" s="47">
        <v>10000</v>
      </c>
      <c r="G133" s="48"/>
    </row>
    <row r="134" spans="1:7" ht="30">
      <c r="A134" s="20"/>
      <c r="B134" s="43">
        <v>105</v>
      </c>
      <c r="C134" s="320" t="s">
        <v>309</v>
      </c>
      <c r="D134" s="319"/>
      <c r="E134" s="319" t="s">
        <v>86</v>
      </c>
      <c r="F134" s="47">
        <v>10000</v>
      </c>
      <c r="G134" s="48"/>
    </row>
    <row r="135" spans="1:7" ht="30">
      <c r="A135" s="20"/>
      <c r="B135" s="43">
        <v>106</v>
      </c>
      <c r="C135" s="320" t="s">
        <v>316</v>
      </c>
      <c r="D135" s="318"/>
      <c r="E135" s="319" t="s">
        <v>86</v>
      </c>
      <c r="F135" s="47">
        <v>10000</v>
      </c>
      <c r="G135" s="48"/>
    </row>
    <row r="136" spans="1:7">
      <c r="A136" s="20"/>
      <c r="B136" s="43">
        <v>107</v>
      </c>
      <c r="C136" s="317" t="s">
        <v>252</v>
      </c>
      <c r="D136" s="318"/>
      <c r="E136" s="319" t="s">
        <v>86</v>
      </c>
      <c r="F136" s="47">
        <v>10000</v>
      </c>
      <c r="G136" s="48"/>
    </row>
    <row r="137" spans="1:7" ht="45">
      <c r="A137" s="20"/>
      <c r="B137" s="43">
        <v>108</v>
      </c>
      <c r="C137" s="320" t="s">
        <v>235</v>
      </c>
      <c r="D137" s="318"/>
      <c r="E137" s="319" t="s">
        <v>86</v>
      </c>
      <c r="F137" s="47">
        <v>10000</v>
      </c>
      <c r="G137" s="48"/>
    </row>
    <row r="138" spans="1:7" ht="30">
      <c r="A138" s="20"/>
      <c r="B138" s="43">
        <v>109</v>
      </c>
      <c r="C138" s="320" t="s">
        <v>275</v>
      </c>
      <c r="D138" s="318"/>
      <c r="E138" s="319" t="s">
        <v>86</v>
      </c>
      <c r="F138" s="47">
        <v>10000</v>
      </c>
      <c r="G138" s="48"/>
    </row>
    <row r="139" spans="1:7" ht="30">
      <c r="A139" s="20"/>
      <c r="B139" s="43">
        <v>110</v>
      </c>
      <c r="C139" s="320" t="s">
        <v>291</v>
      </c>
      <c r="D139" s="319"/>
      <c r="E139" s="319" t="s">
        <v>86</v>
      </c>
      <c r="F139" s="47">
        <v>10000</v>
      </c>
      <c r="G139" s="48"/>
    </row>
    <row r="140" spans="1:7" ht="30">
      <c r="A140" s="20"/>
      <c r="B140" s="43">
        <v>111</v>
      </c>
      <c r="C140" s="320" t="s">
        <v>292</v>
      </c>
      <c r="D140" s="319"/>
      <c r="E140" s="319" t="s">
        <v>86</v>
      </c>
      <c r="F140" s="47">
        <v>10000</v>
      </c>
      <c r="G140" s="48"/>
    </row>
    <row r="141" spans="1:7" ht="30">
      <c r="A141" s="20"/>
      <c r="B141" s="43">
        <v>112</v>
      </c>
      <c r="C141" s="320" t="s">
        <v>276</v>
      </c>
      <c r="D141" s="318"/>
      <c r="E141" s="319" t="s">
        <v>86</v>
      </c>
      <c r="F141" s="47">
        <v>10000</v>
      </c>
      <c r="G141" s="48"/>
    </row>
    <row r="142" spans="1:7" ht="30">
      <c r="A142" s="20"/>
      <c r="B142" s="43">
        <v>113</v>
      </c>
      <c r="C142" s="320" t="s">
        <v>242</v>
      </c>
      <c r="D142" s="318"/>
      <c r="E142" s="319" t="s">
        <v>86</v>
      </c>
      <c r="F142" s="47">
        <v>10000</v>
      </c>
      <c r="G142" s="48"/>
    </row>
    <row r="143" spans="1:7">
      <c r="A143" s="20"/>
      <c r="B143" s="43">
        <v>114</v>
      </c>
      <c r="C143" s="317" t="s">
        <v>293</v>
      </c>
      <c r="D143" s="318"/>
      <c r="E143" s="319" t="s">
        <v>86</v>
      </c>
      <c r="F143" s="47">
        <v>10000</v>
      </c>
      <c r="G143" s="48"/>
    </row>
    <row r="144" spans="1:7">
      <c r="A144" s="20"/>
      <c r="B144" s="43">
        <v>115</v>
      </c>
      <c r="C144" s="317" t="s">
        <v>263</v>
      </c>
      <c r="D144" s="318"/>
      <c r="E144" s="319" t="s">
        <v>86</v>
      </c>
      <c r="F144" s="47">
        <v>10000</v>
      </c>
      <c r="G144" s="48"/>
    </row>
    <row r="145" spans="1:7" ht="30">
      <c r="A145" s="20"/>
      <c r="B145" s="43">
        <v>116</v>
      </c>
      <c r="C145" s="320" t="s">
        <v>277</v>
      </c>
      <c r="D145" s="318"/>
      <c r="E145" s="319" t="s">
        <v>86</v>
      </c>
      <c r="F145" s="47">
        <v>10000</v>
      </c>
      <c r="G145" s="48"/>
    </row>
    <row r="146" spans="1:7" ht="30">
      <c r="A146" s="20"/>
      <c r="B146" s="43">
        <v>117</v>
      </c>
      <c r="C146" s="320" t="s">
        <v>756</v>
      </c>
      <c r="D146" s="318"/>
      <c r="E146" s="319" t="s">
        <v>86</v>
      </c>
      <c r="F146" s="47">
        <v>10000</v>
      </c>
      <c r="G146" s="48"/>
    </row>
    <row r="147" spans="1:7" ht="30">
      <c r="A147" s="20"/>
      <c r="B147" s="43">
        <v>118</v>
      </c>
      <c r="C147" s="320" t="s">
        <v>744</v>
      </c>
      <c r="D147" s="319"/>
      <c r="E147" s="319" t="s">
        <v>86</v>
      </c>
      <c r="F147" s="47">
        <v>10000</v>
      </c>
      <c r="G147" s="48"/>
    </row>
    <row r="148" spans="1:7" ht="30">
      <c r="A148" s="20"/>
      <c r="B148" s="43">
        <v>119</v>
      </c>
      <c r="C148" s="320" t="s">
        <v>751</v>
      </c>
      <c r="D148" s="318"/>
      <c r="E148" s="319" t="s">
        <v>86</v>
      </c>
      <c r="F148" s="47">
        <v>10000</v>
      </c>
      <c r="G148" s="48"/>
    </row>
    <row r="149" spans="1:7" ht="30">
      <c r="A149" s="20"/>
      <c r="B149" s="43">
        <v>120</v>
      </c>
      <c r="C149" s="320" t="s">
        <v>294</v>
      </c>
      <c r="D149" s="319"/>
      <c r="E149" s="319" t="s">
        <v>86</v>
      </c>
      <c r="F149" s="47">
        <v>10000</v>
      </c>
      <c r="G149" s="48"/>
    </row>
    <row r="150" spans="1:7" ht="30">
      <c r="A150" s="20"/>
      <c r="B150" s="43">
        <v>121</v>
      </c>
      <c r="C150" s="320" t="s">
        <v>278</v>
      </c>
      <c r="D150" s="318"/>
      <c r="E150" s="319" t="s">
        <v>86</v>
      </c>
      <c r="F150" s="47">
        <v>10000</v>
      </c>
      <c r="G150" s="48"/>
    </row>
    <row r="151" spans="1:7" ht="30">
      <c r="A151" s="20"/>
      <c r="B151" s="43">
        <v>122</v>
      </c>
      <c r="C151" s="320" t="s">
        <v>742</v>
      </c>
      <c r="D151" s="319"/>
      <c r="E151" s="319" t="s">
        <v>86</v>
      </c>
      <c r="F151" s="47">
        <v>10000</v>
      </c>
      <c r="G151" s="48"/>
    </row>
    <row r="152" spans="1:7" ht="30">
      <c r="A152" s="20"/>
      <c r="B152" s="43">
        <v>123</v>
      </c>
      <c r="C152" s="320" t="s">
        <v>750</v>
      </c>
      <c r="D152" s="318"/>
      <c r="E152" s="319" t="s">
        <v>86</v>
      </c>
      <c r="F152" s="47">
        <v>10000</v>
      </c>
      <c r="G152" s="48"/>
    </row>
    <row r="153" spans="1:7" ht="30">
      <c r="A153" s="20"/>
      <c r="B153" s="43">
        <v>124</v>
      </c>
      <c r="C153" s="320" t="s">
        <v>243</v>
      </c>
      <c r="D153" s="318"/>
      <c r="E153" s="319" t="s">
        <v>86</v>
      </c>
      <c r="F153" s="47">
        <v>10000</v>
      </c>
      <c r="G153" s="48"/>
    </row>
    <row r="154" spans="1:7" ht="30">
      <c r="A154" s="20"/>
      <c r="B154" s="43">
        <v>125</v>
      </c>
      <c r="C154" s="320" t="s">
        <v>237</v>
      </c>
      <c r="D154" s="318"/>
      <c r="E154" s="319" t="s">
        <v>86</v>
      </c>
      <c r="F154" s="47">
        <v>10000</v>
      </c>
      <c r="G154" s="48"/>
    </row>
    <row r="155" spans="1:7" ht="30">
      <c r="A155" s="20"/>
      <c r="B155" s="43">
        <v>126</v>
      </c>
      <c r="C155" s="320" t="s">
        <v>238</v>
      </c>
      <c r="D155" s="318"/>
      <c r="E155" s="319" t="s">
        <v>86</v>
      </c>
      <c r="F155" s="47">
        <v>10000</v>
      </c>
      <c r="G155" s="48"/>
    </row>
    <row r="156" spans="1:7" ht="30">
      <c r="A156" s="20"/>
      <c r="B156" s="43">
        <v>127</v>
      </c>
      <c r="C156" s="320" t="s">
        <v>253</v>
      </c>
      <c r="D156" s="318"/>
      <c r="E156" s="319" t="s">
        <v>86</v>
      </c>
      <c r="F156" s="47">
        <v>10000</v>
      </c>
      <c r="G156" s="48"/>
    </row>
    <row r="157" spans="1:7" ht="30">
      <c r="A157" s="20"/>
      <c r="B157" s="43">
        <v>128</v>
      </c>
      <c r="C157" s="320" t="s">
        <v>295</v>
      </c>
      <c r="D157" s="319"/>
      <c r="E157" s="319" t="s">
        <v>86</v>
      </c>
      <c r="F157" s="47">
        <v>10000</v>
      </c>
      <c r="G157" s="48"/>
    </row>
    <row r="158" spans="1:7" ht="30">
      <c r="A158" s="20"/>
      <c r="B158" s="43">
        <v>129</v>
      </c>
      <c r="C158" s="320" t="s">
        <v>303</v>
      </c>
      <c r="D158" s="319"/>
      <c r="E158" s="319" t="s">
        <v>86</v>
      </c>
      <c r="F158" s="47">
        <v>10000</v>
      </c>
      <c r="G158" s="48"/>
    </row>
    <row r="159" spans="1:7" ht="30">
      <c r="A159" s="20"/>
      <c r="B159" s="43">
        <v>130</v>
      </c>
      <c r="C159" s="320" t="s">
        <v>310</v>
      </c>
      <c r="D159" s="319"/>
      <c r="E159" s="319" t="s">
        <v>86</v>
      </c>
      <c r="F159" s="47">
        <v>10000</v>
      </c>
      <c r="G159" s="48"/>
    </row>
    <row r="160" spans="1:7" ht="30">
      <c r="A160" s="20"/>
      <c r="B160" s="43">
        <v>131</v>
      </c>
      <c r="C160" s="320" t="s">
        <v>317</v>
      </c>
      <c r="D160" s="318"/>
      <c r="E160" s="319" t="s">
        <v>86</v>
      </c>
      <c r="F160" s="47">
        <v>10000</v>
      </c>
      <c r="G160" s="48"/>
    </row>
    <row r="161" spans="1:7" ht="30">
      <c r="A161" s="20"/>
      <c r="B161" s="43">
        <v>132</v>
      </c>
      <c r="C161" s="320" t="s">
        <v>279</v>
      </c>
      <c r="D161" s="318"/>
      <c r="E161" s="319" t="s">
        <v>86</v>
      </c>
      <c r="F161" s="47">
        <v>10000</v>
      </c>
      <c r="G161" s="48"/>
    </row>
    <row r="162" spans="1:7" ht="30">
      <c r="A162" s="20"/>
      <c r="B162" s="43">
        <v>133</v>
      </c>
      <c r="C162" s="320" t="s">
        <v>296</v>
      </c>
      <c r="D162" s="319"/>
      <c r="E162" s="319" t="s">
        <v>86</v>
      </c>
      <c r="F162" s="47">
        <v>10000</v>
      </c>
      <c r="G162" s="48"/>
    </row>
    <row r="163" spans="1:7" ht="30">
      <c r="A163" s="20"/>
      <c r="B163" s="43">
        <v>134</v>
      </c>
      <c r="C163" s="320" t="s">
        <v>280</v>
      </c>
      <c r="D163" s="318"/>
      <c r="E163" s="319" t="s">
        <v>86</v>
      </c>
      <c r="F163" s="47">
        <v>10000</v>
      </c>
      <c r="G163" s="48"/>
    </row>
    <row r="164" spans="1:7" ht="30">
      <c r="A164" s="20"/>
      <c r="B164" s="43">
        <v>135</v>
      </c>
      <c r="C164" s="320" t="s">
        <v>746</v>
      </c>
      <c r="D164" s="319"/>
      <c r="E164" s="319" t="s">
        <v>86</v>
      </c>
      <c r="F164" s="47">
        <v>10000</v>
      </c>
      <c r="G164" s="48"/>
    </row>
    <row r="165" spans="1:7" ht="30">
      <c r="A165" s="20"/>
      <c r="B165" s="43">
        <v>136</v>
      </c>
      <c r="C165" s="320" t="s">
        <v>754</v>
      </c>
      <c r="D165" s="318"/>
      <c r="E165" s="319" t="s">
        <v>86</v>
      </c>
      <c r="F165" s="47">
        <v>10000</v>
      </c>
      <c r="G165" s="48"/>
    </row>
    <row r="166" spans="1:7" ht="30">
      <c r="A166" s="20"/>
      <c r="B166" s="43">
        <v>137</v>
      </c>
      <c r="C166" s="320" t="s">
        <v>239</v>
      </c>
      <c r="D166" s="318"/>
      <c r="E166" s="319" t="s">
        <v>86</v>
      </c>
      <c r="F166" s="47">
        <v>10000</v>
      </c>
      <c r="G166" s="48"/>
    </row>
    <row r="167" spans="1:7" ht="30">
      <c r="A167" s="20"/>
      <c r="B167" s="43">
        <v>138</v>
      </c>
      <c r="C167" s="320" t="s">
        <v>254</v>
      </c>
      <c r="D167" s="318"/>
      <c r="E167" s="319" t="s">
        <v>86</v>
      </c>
      <c r="F167" s="47">
        <v>10000</v>
      </c>
      <c r="G167" s="48"/>
    </row>
    <row r="168" spans="1:7" ht="30">
      <c r="A168" s="20"/>
      <c r="B168" s="43">
        <v>139</v>
      </c>
      <c r="C168" s="320" t="s">
        <v>297</v>
      </c>
      <c r="D168" s="319"/>
      <c r="E168" s="319" t="s">
        <v>86</v>
      </c>
      <c r="F168" s="47">
        <v>10000</v>
      </c>
      <c r="G168" s="48"/>
    </row>
    <row r="169" spans="1:7" ht="30">
      <c r="A169" s="20"/>
      <c r="B169" s="43">
        <v>140</v>
      </c>
      <c r="C169" s="320" t="s">
        <v>304</v>
      </c>
      <c r="D169" s="319"/>
      <c r="E169" s="319" t="s">
        <v>86</v>
      </c>
      <c r="F169" s="47">
        <v>10000</v>
      </c>
      <c r="G169" s="48"/>
    </row>
    <row r="170" spans="1:7">
      <c r="A170" s="20"/>
      <c r="B170" s="43">
        <v>141</v>
      </c>
      <c r="C170" s="317" t="s">
        <v>311</v>
      </c>
      <c r="D170" s="318"/>
      <c r="E170" s="318" t="s">
        <v>86</v>
      </c>
      <c r="F170" s="47">
        <v>10000</v>
      </c>
      <c r="G170" s="48"/>
    </row>
    <row r="171" spans="1:7" ht="30">
      <c r="A171" s="20"/>
      <c r="B171" s="43">
        <v>142</v>
      </c>
      <c r="C171" s="320" t="s">
        <v>318</v>
      </c>
      <c r="D171" s="318"/>
      <c r="E171" s="319" t="s">
        <v>86</v>
      </c>
      <c r="F171" s="47">
        <v>10000</v>
      </c>
      <c r="G171" s="48"/>
    </row>
    <row r="172" spans="1:7" ht="30">
      <c r="A172" s="20"/>
      <c r="B172" s="43">
        <v>143</v>
      </c>
      <c r="C172" s="320" t="s">
        <v>264</v>
      </c>
      <c r="D172" s="319"/>
      <c r="E172" s="319" t="s">
        <v>86</v>
      </c>
      <c r="F172" s="47">
        <v>10000</v>
      </c>
      <c r="G172" s="48"/>
    </row>
    <row r="173" spans="1:7" ht="30">
      <c r="A173" s="20"/>
      <c r="B173" s="43">
        <v>144</v>
      </c>
      <c r="C173" s="320" t="s">
        <v>281</v>
      </c>
      <c r="D173" s="318"/>
      <c r="E173" s="319" t="s">
        <v>86</v>
      </c>
      <c r="F173" s="47">
        <v>10000</v>
      </c>
      <c r="G173" s="48"/>
    </row>
    <row r="174" spans="1:7" ht="30">
      <c r="A174" s="20"/>
      <c r="B174" s="43">
        <v>145</v>
      </c>
      <c r="C174" s="320" t="s">
        <v>265</v>
      </c>
      <c r="D174" s="319"/>
      <c r="E174" s="319" t="s">
        <v>86</v>
      </c>
      <c r="F174" s="47">
        <v>10000</v>
      </c>
      <c r="G174" s="48"/>
    </row>
    <row r="175" spans="1:7" ht="30">
      <c r="A175" s="20"/>
      <c r="B175" s="43">
        <v>146</v>
      </c>
      <c r="C175" s="320" t="s">
        <v>282</v>
      </c>
      <c r="D175" s="318"/>
      <c r="E175" s="319" t="s">
        <v>86</v>
      </c>
      <c r="F175" s="47">
        <v>10000</v>
      </c>
      <c r="G175" s="48"/>
    </row>
    <row r="176" spans="1:7" ht="30">
      <c r="A176" s="20"/>
      <c r="B176" s="43">
        <v>147</v>
      </c>
      <c r="C176" s="320" t="s">
        <v>255</v>
      </c>
      <c r="D176" s="318"/>
      <c r="E176" s="319" t="s">
        <v>86</v>
      </c>
      <c r="F176" s="47">
        <v>10000</v>
      </c>
      <c r="G176" s="48"/>
    </row>
    <row r="177" spans="1:8" ht="30">
      <c r="A177" s="20"/>
      <c r="B177" s="43">
        <v>148</v>
      </c>
      <c r="C177" s="320" t="s">
        <v>240</v>
      </c>
      <c r="D177" s="318"/>
      <c r="E177" s="319" t="s">
        <v>86</v>
      </c>
      <c r="F177" s="47">
        <v>10000</v>
      </c>
      <c r="G177" s="48"/>
    </row>
    <row r="178" spans="1:8" ht="30">
      <c r="A178" s="20"/>
      <c r="B178" s="43">
        <v>149</v>
      </c>
      <c r="C178" s="320" t="s">
        <v>312</v>
      </c>
      <c r="D178" s="319"/>
      <c r="E178" s="319" t="s">
        <v>86</v>
      </c>
      <c r="F178" s="47">
        <v>10000</v>
      </c>
      <c r="G178" s="48"/>
    </row>
    <row r="179" spans="1:8" ht="30">
      <c r="A179" s="20"/>
      <c r="B179" s="43">
        <v>150</v>
      </c>
      <c r="C179" s="320" t="s">
        <v>298</v>
      </c>
      <c r="D179" s="319"/>
      <c r="E179" s="319" t="s">
        <v>86</v>
      </c>
      <c r="F179" s="47">
        <v>10000</v>
      </c>
      <c r="G179" s="48"/>
    </row>
    <row r="180" spans="1:8" ht="30">
      <c r="A180" s="20"/>
      <c r="B180" s="43">
        <v>151</v>
      </c>
      <c r="C180" s="320" t="s">
        <v>305</v>
      </c>
      <c r="D180" s="319"/>
      <c r="E180" s="319" t="s">
        <v>86</v>
      </c>
      <c r="F180" s="47">
        <v>10000</v>
      </c>
      <c r="G180" s="48"/>
    </row>
    <row r="181" spans="1:8" ht="30">
      <c r="A181" s="20"/>
      <c r="B181" s="43">
        <v>152</v>
      </c>
      <c r="C181" s="320" t="s">
        <v>319</v>
      </c>
      <c r="D181" s="319"/>
      <c r="E181" s="319" t="s">
        <v>86</v>
      </c>
      <c r="F181" s="47">
        <v>10000</v>
      </c>
      <c r="G181" s="48"/>
    </row>
    <row r="182" spans="1:8" ht="30">
      <c r="A182" s="20"/>
      <c r="B182" s="43">
        <v>153</v>
      </c>
      <c r="C182" s="320" t="s">
        <v>283</v>
      </c>
      <c r="D182" s="318"/>
      <c r="E182" s="319" t="s">
        <v>86</v>
      </c>
      <c r="F182" s="47">
        <v>10000</v>
      </c>
      <c r="G182" s="48"/>
    </row>
    <row r="183" spans="1:8" ht="30">
      <c r="A183" s="20"/>
      <c r="B183" s="43">
        <v>154</v>
      </c>
      <c r="C183" s="320" t="s">
        <v>241</v>
      </c>
      <c r="D183" s="318"/>
      <c r="E183" s="319" t="s">
        <v>86</v>
      </c>
      <c r="F183" s="47">
        <v>10000</v>
      </c>
      <c r="G183" s="48"/>
    </row>
    <row r="184" spans="1:8" ht="30">
      <c r="A184" s="63"/>
      <c r="B184" s="43">
        <v>155</v>
      </c>
      <c r="C184" s="320" t="s">
        <v>256</v>
      </c>
      <c r="D184" s="318"/>
      <c r="E184" s="319" t="s">
        <v>86</v>
      </c>
      <c r="F184" s="47">
        <v>10000</v>
      </c>
      <c r="G184" s="66"/>
      <c r="H184" s="65"/>
    </row>
    <row r="185" spans="1:8" ht="30">
      <c r="A185" s="20"/>
      <c r="B185" s="43">
        <v>156</v>
      </c>
      <c r="C185" s="320" t="s">
        <v>266</v>
      </c>
      <c r="D185" s="319"/>
      <c r="E185" s="319" t="s">
        <v>86</v>
      </c>
      <c r="F185" s="47">
        <v>10000</v>
      </c>
      <c r="G185" s="48"/>
    </row>
    <row r="186" spans="1:8" ht="30">
      <c r="A186" s="20"/>
      <c r="B186" s="43">
        <v>157</v>
      </c>
      <c r="C186" s="320" t="s">
        <v>284</v>
      </c>
      <c r="D186" s="318"/>
      <c r="E186" s="319" t="s">
        <v>86</v>
      </c>
      <c r="F186" s="47">
        <v>10000</v>
      </c>
      <c r="G186" s="48"/>
    </row>
    <row r="187" spans="1:8" ht="30">
      <c r="A187" s="20"/>
      <c r="B187" s="43">
        <v>158</v>
      </c>
      <c r="C187" s="320" t="s">
        <v>244</v>
      </c>
      <c r="D187" s="318"/>
      <c r="E187" s="319" t="s">
        <v>86</v>
      </c>
      <c r="F187" s="47">
        <v>10000</v>
      </c>
      <c r="G187" s="48"/>
    </row>
    <row r="188" spans="1:8" ht="30">
      <c r="A188" s="20"/>
      <c r="B188" s="43">
        <v>159</v>
      </c>
      <c r="C188" s="320" t="s">
        <v>748</v>
      </c>
      <c r="D188" s="319"/>
      <c r="E188" s="319" t="s">
        <v>86</v>
      </c>
      <c r="F188" s="47">
        <v>10000</v>
      </c>
      <c r="G188" s="48"/>
    </row>
    <row r="189" spans="1:8">
      <c r="A189" s="20"/>
      <c r="B189" s="43">
        <v>160</v>
      </c>
      <c r="C189" s="317" t="s">
        <v>173</v>
      </c>
      <c r="D189" s="318"/>
      <c r="E189" s="318" t="s">
        <v>28</v>
      </c>
      <c r="F189" s="47">
        <v>10000</v>
      </c>
      <c r="G189" s="48"/>
    </row>
    <row r="190" spans="1:8" ht="30">
      <c r="A190" s="20"/>
      <c r="B190" s="43">
        <v>161</v>
      </c>
      <c r="C190" s="320" t="s">
        <v>225</v>
      </c>
      <c r="D190" s="318"/>
      <c r="E190" s="319" t="s">
        <v>28</v>
      </c>
      <c r="F190" s="47">
        <v>10000</v>
      </c>
      <c r="G190" s="48"/>
    </row>
    <row r="191" spans="1:8">
      <c r="A191" s="20"/>
      <c r="B191" s="43">
        <v>162</v>
      </c>
      <c r="C191" s="317" t="s">
        <v>117</v>
      </c>
      <c r="D191" s="318"/>
      <c r="E191" s="318" t="s">
        <v>19</v>
      </c>
      <c r="F191" s="47">
        <v>10000</v>
      </c>
      <c r="G191" s="48"/>
    </row>
    <row r="192" spans="1:8">
      <c r="A192" s="20"/>
      <c r="B192" s="43">
        <v>163</v>
      </c>
      <c r="C192" s="317" t="s">
        <v>169</v>
      </c>
      <c r="D192" s="318"/>
      <c r="E192" s="318" t="s">
        <v>28</v>
      </c>
      <c r="F192" s="47">
        <v>10000</v>
      </c>
      <c r="G192" s="48"/>
    </row>
    <row r="193" spans="1:7">
      <c r="A193" s="20"/>
      <c r="B193" s="43">
        <v>164</v>
      </c>
      <c r="C193" s="317" t="s">
        <v>31</v>
      </c>
      <c r="D193" s="318"/>
      <c r="E193" s="318" t="s">
        <v>28</v>
      </c>
      <c r="F193" s="47">
        <v>10000</v>
      </c>
      <c r="G193" s="48"/>
    </row>
    <row r="194" spans="1:7" ht="30">
      <c r="A194" s="20"/>
      <c r="B194" s="43">
        <v>165</v>
      </c>
      <c r="C194" s="320" t="s">
        <v>216</v>
      </c>
      <c r="D194" s="318"/>
      <c r="E194" s="319" t="s">
        <v>19</v>
      </c>
      <c r="F194" s="47">
        <v>10000</v>
      </c>
      <c r="G194" s="48"/>
    </row>
    <row r="195" spans="1:7">
      <c r="A195" s="20"/>
      <c r="B195" s="43">
        <v>166</v>
      </c>
      <c r="C195" s="317" t="s">
        <v>111</v>
      </c>
      <c r="D195" s="318"/>
      <c r="E195" s="318" t="s">
        <v>104</v>
      </c>
      <c r="F195" s="47">
        <v>10000</v>
      </c>
      <c r="G195" s="48"/>
    </row>
    <row r="196" spans="1:7">
      <c r="A196" s="20"/>
      <c r="B196" s="43">
        <v>167</v>
      </c>
      <c r="C196" s="317" t="s">
        <v>103</v>
      </c>
      <c r="D196" s="318"/>
      <c r="E196" s="318" t="s">
        <v>104</v>
      </c>
      <c r="F196" s="47">
        <v>10000</v>
      </c>
      <c r="G196" s="48"/>
    </row>
    <row r="197" spans="1:7">
      <c r="A197" s="20"/>
      <c r="B197" s="43">
        <v>168</v>
      </c>
      <c r="C197" s="317" t="s">
        <v>109</v>
      </c>
      <c r="D197" s="318"/>
      <c r="E197" s="318" t="s">
        <v>104</v>
      </c>
      <c r="F197" s="47">
        <v>10000</v>
      </c>
      <c r="G197" s="48"/>
    </row>
    <row r="198" spans="1:7">
      <c r="A198" s="20"/>
      <c r="B198" s="43">
        <v>169</v>
      </c>
      <c r="C198" s="317" t="s">
        <v>110</v>
      </c>
      <c r="D198" s="318"/>
      <c r="E198" s="318" t="s">
        <v>104</v>
      </c>
      <c r="F198" s="47">
        <v>10000</v>
      </c>
      <c r="G198" s="48"/>
    </row>
    <row r="199" spans="1:7" ht="30">
      <c r="A199" s="20"/>
      <c r="B199" s="43">
        <v>170</v>
      </c>
      <c r="C199" s="320" t="s">
        <v>334</v>
      </c>
      <c r="D199" s="319"/>
      <c r="E199" s="319" t="s">
        <v>86</v>
      </c>
      <c r="F199" s="47">
        <v>10000</v>
      </c>
      <c r="G199" s="48"/>
    </row>
    <row r="200" spans="1:7" ht="30">
      <c r="A200" s="20"/>
      <c r="B200" s="43">
        <v>171</v>
      </c>
      <c r="C200" s="320" t="s">
        <v>360</v>
      </c>
      <c r="D200" s="319"/>
      <c r="E200" s="319" t="s">
        <v>86</v>
      </c>
      <c r="F200" s="47">
        <v>10000</v>
      </c>
      <c r="G200" s="48"/>
    </row>
    <row r="201" spans="1:7">
      <c r="A201" s="20"/>
      <c r="B201" s="43">
        <v>172</v>
      </c>
      <c r="C201" s="320" t="s">
        <v>830</v>
      </c>
      <c r="D201" s="319"/>
      <c r="E201" s="319" t="s">
        <v>86</v>
      </c>
      <c r="F201" s="47">
        <v>10000</v>
      </c>
      <c r="G201" s="48"/>
    </row>
    <row r="202" spans="1:7" ht="45">
      <c r="A202" s="20"/>
      <c r="B202" s="43">
        <v>173</v>
      </c>
      <c r="C202" s="320" t="s">
        <v>335</v>
      </c>
      <c r="D202" s="319"/>
      <c r="E202" s="319" t="s">
        <v>86</v>
      </c>
      <c r="F202" s="47">
        <v>10000</v>
      </c>
      <c r="G202" s="48"/>
    </row>
    <row r="203" spans="1:7" ht="30">
      <c r="A203" s="20"/>
      <c r="B203" s="43">
        <v>174</v>
      </c>
      <c r="C203" s="320" t="s">
        <v>361</v>
      </c>
      <c r="D203" s="319"/>
      <c r="E203" s="319" t="s">
        <v>86</v>
      </c>
      <c r="F203" s="47">
        <v>10000</v>
      </c>
      <c r="G203" s="48"/>
    </row>
    <row r="204" spans="1:7" ht="45">
      <c r="A204" s="20"/>
      <c r="B204" s="43">
        <v>175</v>
      </c>
      <c r="C204" s="320" t="s">
        <v>320</v>
      </c>
      <c r="D204" s="318"/>
      <c r="E204" s="319" t="s">
        <v>86</v>
      </c>
      <c r="F204" s="47">
        <v>10000</v>
      </c>
      <c r="G204" s="48"/>
    </row>
    <row r="205" spans="1:7">
      <c r="A205" s="20"/>
      <c r="B205" s="43">
        <v>176</v>
      </c>
      <c r="C205" s="320" t="s">
        <v>828</v>
      </c>
      <c r="D205" s="319"/>
      <c r="E205" s="319" t="s">
        <v>86</v>
      </c>
      <c r="F205" s="47">
        <v>10000</v>
      </c>
      <c r="G205" s="48"/>
    </row>
    <row r="206" spans="1:7">
      <c r="A206" s="20"/>
      <c r="B206" s="43">
        <v>177</v>
      </c>
      <c r="C206" s="320" t="s">
        <v>836</v>
      </c>
      <c r="D206" s="319"/>
      <c r="E206" s="319" t="s">
        <v>86</v>
      </c>
      <c r="F206" s="47">
        <v>10000</v>
      </c>
      <c r="G206" s="48"/>
    </row>
    <row r="207" spans="1:7">
      <c r="A207" s="20"/>
      <c r="B207" s="43">
        <v>178</v>
      </c>
      <c r="C207" s="320" t="s">
        <v>822</v>
      </c>
      <c r="D207" s="319"/>
      <c r="E207" s="319" t="s">
        <v>86</v>
      </c>
      <c r="F207" s="47">
        <v>10000</v>
      </c>
      <c r="G207" s="48"/>
    </row>
    <row r="208" spans="1:7" ht="30">
      <c r="A208" s="20"/>
      <c r="B208" s="43">
        <v>179</v>
      </c>
      <c r="C208" s="320" t="s">
        <v>362</v>
      </c>
      <c r="D208" s="319"/>
      <c r="E208" s="319" t="s">
        <v>86</v>
      </c>
      <c r="F208" s="47">
        <v>10000</v>
      </c>
      <c r="G208" s="48"/>
    </row>
    <row r="209" spans="1:7" ht="30">
      <c r="A209" s="20"/>
      <c r="B209" s="43">
        <v>180</v>
      </c>
      <c r="C209" s="320" t="s">
        <v>336</v>
      </c>
      <c r="D209" s="319"/>
      <c r="E209" s="319" t="s">
        <v>86</v>
      </c>
      <c r="F209" s="47">
        <v>10000</v>
      </c>
      <c r="G209" s="48"/>
    </row>
    <row r="210" spans="1:7" ht="30">
      <c r="A210" s="20"/>
      <c r="B210" s="43">
        <v>181</v>
      </c>
      <c r="C210" s="320" t="s">
        <v>321</v>
      </c>
      <c r="D210" s="318"/>
      <c r="E210" s="319" t="s">
        <v>86</v>
      </c>
      <c r="F210" s="47">
        <v>10000</v>
      </c>
      <c r="G210" s="48"/>
    </row>
    <row r="211" spans="1:7" ht="30">
      <c r="A211" s="20"/>
      <c r="B211" s="43">
        <v>182</v>
      </c>
      <c r="C211" s="320" t="s">
        <v>337</v>
      </c>
      <c r="D211" s="319"/>
      <c r="E211" s="319" t="s">
        <v>86</v>
      </c>
      <c r="F211" s="47">
        <v>10000</v>
      </c>
      <c r="G211" s="48"/>
    </row>
    <row r="212" spans="1:7">
      <c r="A212" s="20"/>
      <c r="B212" s="43">
        <v>183</v>
      </c>
      <c r="C212" s="320" t="s">
        <v>832</v>
      </c>
      <c r="D212" s="319"/>
      <c r="E212" s="319" t="s">
        <v>86</v>
      </c>
      <c r="F212" s="47">
        <v>10000</v>
      </c>
      <c r="G212" s="48"/>
    </row>
    <row r="213" spans="1:7" ht="30">
      <c r="A213" s="20"/>
      <c r="B213" s="43">
        <v>184</v>
      </c>
      <c r="C213" s="320" t="s">
        <v>363</v>
      </c>
      <c r="D213" s="319"/>
      <c r="E213" s="319" t="s">
        <v>86</v>
      </c>
      <c r="F213" s="47">
        <v>10000</v>
      </c>
      <c r="G213" s="48"/>
    </row>
    <row r="214" spans="1:7" ht="30">
      <c r="A214" s="20"/>
      <c r="B214" s="43">
        <v>185</v>
      </c>
      <c r="C214" s="320" t="s">
        <v>338</v>
      </c>
      <c r="D214" s="319"/>
      <c r="E214" s="319" t="s">
        <v>86</v>
      </c>
      <c r="F214" s="47">
        <v>10000</v>
      </c>
      <c r="G214" s="48"/>
    </row>
    <row r="215" spans="1:7" ht="30">
      <c r="A215" s="20"/>
      <c r="B215" s="43">
        <v>186</v>
      </c>
      <c r="C215" s="320" t="s">
        <v>364</v>
      </c>
      <c r="D215" s="319"/>
      <c r="E215" s="319" t="s">
        <v>86</v>
      </c>
      <c r="F215" s="47">
        <v>10000</v>
      </c>
      <c r="G215" s="48"/>
    </row>
    <row r="216" spans="1:7" ht="30">
      <c r="A216" s="20"/>
      <c r="B216" s="43">
        <v>187</v>
      </c>
      <c r="C216" s="320" t="s">
        <v>322</v>
      </c>
      <c r="D216" s="318"/>
      <c r="E216" s="319" t="s">
        <v>86</v>
      </c>
      <c r="F216" s="47">
        <v>10000</v>
      </c>
      <c r="G216" s="48"/>
    </row>
    <row r="217" spans="1:7" ht="30">
      <c r="A217" s="20"/>
      <c r="B217" s="43">
        <v>188</v>
      </c>
      <c r="C217" s="320" t="s">
        <v>365</v>
      </c>
      <c r="D217" s="319"/>
      <c r="E217" s="319" t="s">
        <v>86</v>
      </c>
      <c r="F217" s="47">
        <v>10000</v>
      </c>
      <c r="G217" s="48"/>
    </row>
    <row r="218" spans="1:7" ht="30">
      <c r="A218" s="20"/>
      <c r="B218" s="43">
        <v>189</v>
      </c>
      <c r="C218" s="320" t="s">
        <v>339</v>
      </c>
      <c r="D218" s="319"/>
      <c r="E218" s="319" t="s">
        <v>86</v>
      </c>
      <c r="F218" s="47">
        <v>10000</v>
      </c>
      <c r="G218" s="48"/>
    </row>
    <row r="219" spans="1:7" ht="30">
      <c r="A219" s="20"/>
      <c r="B219" s="43">
        <v>190</v>
      </c>
      <c r="C219" s="320" t="s">
        <v>323</v>
      </c>
      <c r="D219" s="318"/>
      <c r="E219" s="319" t="s">
        <v>86</v>
      </c>
      <c r="F219" s="47">
        <v>10000</v>
      </c>
      <c r="G219" s="48"/>
    </row>
    <row r="220" spans="1:7">
      <c r="A220" s="20"/>
      <c r="B220" s="43">
        <v>191</v>
      </c>
      <c r="C220" s="317" t="s">
        <v>366</v>
      </c>
      <c r="D220" s="318"/>
      <c r="E220" s="318" t="s">
        <v>86</v>
      </c>
      <c r="F220" s="47">
        <v>10000</v>
      </c>
      <c r="G220" s="48"/>
    </row>
    <row r="221" spans="1:7" ht="30">
      <c r="A221" s="20"/>
      <c r="B221" s="43">
        <v>192</v>
      </c>
      <c r="C221" s="320" t="s">
        <v>324</v>
      </c>
      <c r="D221" s="318"/>
      <c r="E221" s="319" t="s">
        <v>86</v>
      </c>
      <c r="F221" s="47">
        <v>10000</v>
      </c>
      <c r="G221" s="48"/>
    </row>
    <row r="222" spans="1:7" ht="30">
      <c r="A222" s="20"/>
      <c r="B222" s="43">
        <v>193</v>
      </c>
      <c r="C222" s="320" t="s">
        <v>340</v>
      </c>
      <c r="D222" s="319"/>
      <c r="E222" s="319" t="s">
        <v>86</v>
      </c>
      <c r="F222" s="47">
        <v>10000</v>
      </c>
      <c r="G222" s="48"/>
    </row>
    <row r="223" spans="1:7" ht="30">
      <c r="A223" s="20"/>
      <c r="B223" s="43">
        <v>194</v>
      </c>
      <c r="C223" s="320" t="s">
        <v>367</v>
      </c>
      <c r="D223" s="319"/>
      <c r="E223" s="319" t="s">
        <v>86</v>
      </c>
      <c r="F223" s="47">
        <v>10000</v>
      </c>
      <c r="G223" s="48"/>
    </row>
    <row r="224" spans="1:7" ht="30">
      <c r="A224" s="20"/>
      <c r="B224" s="43">
        <v>195</v>
      </c>
      <c r="C224" s="320" t="s">
        <v>341</v>
      </c>
      <c r="D224" s="319"/>
      <c r="E224" s="319" t="s">
        <v>86</v>
      </c>
      <c r="F224" s="47">
        <v>10000</v>
      </c>
      <c r="G224" s="48"/>
    </row>
    <row r="225" spans="1:7" ht="30">
      <c r="A225" s="20"/>
      <c r="B225" s="43">
        <v>196</v>
      </c>
      <c r="C225" s="320" t="s">
        <v>342</v>
      </c>
      <c r="D225" s="319"/>
      <c r="E225" s="319" t="s">
        <v>86</v>
      </c>
      <c r="F225" s="47">
        <v>10000</v>
      </c>
      <c r="G225" s="48"/>
    </row>
    <row r="226" spans="1:7" ht="30">
      <c r="A226" s="20"/>
      <c r="B226" s="43">
        <v>197</v>
      </c>
      <c r="C226" s="320" t="s">
        <v>368</v>
      </c>
      <c r="D226" s="319"/>
      <c r="E226" s="319" t="s">
        <v>86</v>
      </c>
      <c r="F226" s="47">
        <v>10000</v>
      </c>
      <c r="G226" s="48"/>
    </row>
    <row r="227" spans="1:7" ht="30">
      <c r="A227" s="20"/>
      <c r="B227" s="43">
        <v>198</v>
      </c>
      <c r="C227" s="320" t="s">
        <v>369</v>
      </c>
      <c r="D227" s="319"/>
      <c r="E227" s="319" t="s">
        <v>86</v>
      </c>
      <c r="F227" s="47">
        <v>10000</v>
      </c>
      <c r="G227" s="48"/>
    </row>
    <row r="228" spans="1:7" ht="30">
      <c r="A228" s="20"/>
      <c r="B228" s="43">
        <v>199</v>
      </c>
      <c r="C228" s="320" t="s">
        <v>343</v>
      </c>
      <c r="D228" s="319"/>
      <c r="E228" s="319" t="s">
        <v>86</v>
      </c>
      <c r="F228" s="47">
        <v>10000</v>
      </c>
      <c r="G228" s="48"/>
    </row>
    <row r="229" spans="1:7" ht="30">
      <c r="A229" s="20"/>
      <c r="B229" s="43">
        <v>200</v>
      </c>
      <c r="C229" s="320" t="s">
        <v>344</v>
      </c>
      <c r="D229" s="319"/>
      <c r="E229" s="319" t="s">
        <v>86</v>
      </c>
      <c r="F229" s="47">
        <v>10000</v>
      </c>
      <c r="G229" s="48"/>
    </row>
    <row r="230" spans="1:7" ht="30">
      <c r="A230" s="20"/>
      <c r="B230" s="43">
        <v>201</v>
      </c>
      <c r="C230" s="320" t="s">
        <v>370</v>
      </c>
      <c r="D230" s="319"/>
      <c r="E230" s="319" t="s">
        <v>86</v>
      </c>
      <c r="F230" s="47">
        <v>10000</v>
      </c>
      <c r="G230" s="48"/>
    </row>
    <row r="231" spans="1:7" ht="30">
      <c r="A231" s="20"/>
      <c r="B231" s="43">
        <v>202</v>
      </c>
      <c r="C231" s="320" t="s">
        <v>371</v>
      </c>
      <c r="D231" s="319"/>
      <c r="E231" s="319" t="s">
        <v>86</v>
      </c>
      <c r="F231" s="47">
        <v>10000</v>
      </c>
      <c r="G231" s="48"/>
    </row>
    <row r="232" spans="1:7" ht="30">
      <c r="A232" s="20"/>
      <c r="B232" s="43">
        <v>203</v>
      </c>
      <c r="C232" s="320" t="s">
        <v>325</v>
      </c>
      <c r="D232" s="318"/>
      <c r="E232" s="319" t="s">
        <v>86</v>
      </c>
      <c r="F232" s="47">
        <v>10000</v>
      </c>
      <c r="G232" s="48"/>
    </row>
    <row r="233" spans="1:7" ht="30">
      <c r="A233" s="20"/>
      <c r="B233" s="43">
        <v>204</v>
      </c>
      <c r="C233" s="320" t="s">
        <v>345</v>
      </c>
      <c r="D233" s="319"/>
      <c r="E233" s="319" t="s">
        <v>86</v>
      </c>
      <c r="F233" s="47">
        <v>10000</v>
      </c>
      <c r="G233" s="48"/>
    </row>
    <row r="234" spans="1:7" ht="30">
      <c r="A234" s="20"/>
      <c r="B234" s="43">
        <v>205</v>
      </c>
      <c r="C234" s="320" t="s">
        <v>346</v>
      </c>
      <c r="D234" s="319"/>
      <c r="E234" s="319" t="s">
        <v>86</v>
      </c>
      <c r="F234" s="47">
        <v>10000</v>
      </c>
      <c r="G234" s="48"/>
    </row>
    <row r="235" spans="1:7" ht="45">
      <c r="A235" s="20"/>
      <c r="B235" s="43">
        <v>206</v>
      </c>
      <c r="C235" s="320" t="s">
        <v>372</v>
      </c>
      <c r="D235" s="319"/>
      <c r="E235" s="319" t="s">
        <v>86</v>
      </c>
      <c r="F235" s="47">
        <v>10000</v>
      </c>
      <c r="G235" s="48"/>
    </row>
    <row r="236" spans="1:7" ht="45">
      <c r="A236" s="20"/>
      <c r="B236" s="43">
        <v>207</v>
      </c>
      <c r="C236" s="320" t="s">
        <v>326</v>
      </c>
      <c r="D236" s="318"/>
      <c r="E236" s="319" t="s">
        <v>86</v>
      </c>
      <c r="F236" s="47">
        <v>10000</v>
      </c>
      <c r="G236" s="48"/>
    </row>
    <row r="237" spans="1:7" ht="45">
      <c r="A237" s="20"/>
      <c r="B237" s="43">
        <v>208</v>
      </c>
      <c r="C237" s="320" t="s">
        <v>347</v>
      </c>
      <c r="D237" s="319"/>
      <c r="E237" s="319" t="s">
        <v>86</v>
      </c>
      <c r="F237" s="47">
        <v>10000</v>
      </c>
      <c r="G237" s="48"/>
    </row>
    <row r="238" spans="1:7" ht="30">
      <c r="A238" s="20"/>
      <c r="B238" s="43">
        <v>209</v>
      </c>
      <c r="C238" s="320" t="s">
        <v>348</v>
      </c>
      <c r="D238" s="319"/>
      <c r="E238" s="319" t="s">
        <v>86</v>
      </c>
      <c r="F238" s="47">
        <v>10000</v>
      </c>
      <c r="G238" s="48"/>
    </row>
    <row r="239" spans="1:7" ht="30">
      <c r="A239" s="20"/>
      <c r="B239" s="43">
        <v>210</v>
      </c>
      <c r="C239" s="320" t="s">
        <v>373</v>
      </c>
      <c r="D239" s="319"/>
      <c r="E239" s="319" t="s">
        <v>86</v>
      </c>
      <c r="F239" s="47">
        <v>10000</v>
      </c>
      <c r="G239" s="48"/>
    </row>
    <row r="240" spans="1:7" ht="30">
      <c r="A240" s="20"/>
      <c r="B240" s="43">
        <v>211</v>
      </c>
      <c r="C240" s="320" t="s">
        <v>327</v>
      </c>
      <c r="D240" s="318"/>
      <c r="E240" s="319" t="s">
        <v>86</v>
      </c>
      <c r="F240" s="47">
        <v>10000</v>
      </c>
      <c r="G240" s="48"/>
    </row>
    <row r="241" spans="1:7" ht="30">
      <c r="A241" s="20"/>
      <c r="B241" s="43">
        <v>212</v>
      </c>
      <c r="C241" s="320" t="s">
        <v>349</v>
      </c>
      <c r="D241" s="319"/>
      <c r="E241" s="319" t="s">
        <v>86</v>
      </c>
      <c r="F241" s="47">
        <v>10000</v>
      </c>
      <c r="G241" s="48"/>
    </row>
    <row r="242" spans="1:7" ht="30">
      <c r="A242" s="20"/>
      <c r="B242" s="43">
        <v>213</v>
      </c>
      <c r="C242" s="320" t="s">
        <v>328</v>
      </c>
      <c r="D242" s="318"/>
      <c r="E242" s="319" t="s">
        <v>86</v>
      </c>
      <c r="F242" s="47">
        <v>10000</v>
      </c>
      <c r="G242" s="48"/>
    </row>
    <row r="243" spans="1:7" ht="30">
      <c r="A243" s="20"/>
      <c r="B243" s="43">
        <v>214</v>
      </c>
      <c r="C243" s="320" t="s">
        <v>350</v>
      </c>
      <c r="D243" s="319"/>
      <c r="E243" s="319" t="s">
        <v>86</v>
      </c>
      <c r="F243" s="47">
        <v>10000</v>
      </c>
      <c r="G243" s="48"/>
    </row>
    <row r="244" spans="1:7" ht="30">
      <c r="A244" s="20"/>
      <c r="B244" s="43">
        <v>215</v>
      </c>
      <c r="C244" s="320" t="s">
        <v>351</v>
      </c>
      <c r="D244" s="319"/>
      <c r="E244" s="319" t="s">
        <v>86</v>
      </c>
      <c r="F244" s="47">
        <v>10000</v>
      </c>
      <c r="G244" s="48"/>
    </row>
    <row r="245" spans="1:7" ht="30">
      <c r="A245" s="20"/>
      <c r="B245" s="43">
        <v>216</v>
      </c>
      <c r="C245" s="320" t="s">
        <v>374</v>
      </c>
      <c r="D245" s="319"/>
      <c r="E245" s="319" t="s">
        <v>86</v>
      </c>
      <c r="F245" s="47">
        <v>10000</v>
      </c>
      <c r="G245" s="48"/>
    </row>
    <row r="246" spans="1:7" ht="30">
      <c r="A246" s="20"/>
      <c r="B246" s="43">
        <v>217</v>
      </c>
      <c r="C246" s="320" t="s">
        <v>352</v>
      </c>
      <c r="D246" s="319"/>
      <c r="E246" s="319" t="s">
        <v>86</v>
      </c>
      <c r="F246" s="47">
        <v>10000</v>
      </c>
      <c r="G246" s="48"/>
    </row>
    <row r="247" spans="1:7">
      <c r="A247" s="20"/>
      <c r="B247" s="43">
        <v>218</v>
      </c>
      <c r="C247" s="320" t="s">
        <v>824</v>
      </c>
      <c r="D247" s="319"/>
      <c r="E247" s="319" t="s">
        <v>86</v>
      </c>
      <c r="F247" s="47">
        <v>10000</v>
      </c>
      <c r="G247" s="48"/>
    </row>
    <row r="248" spans="1:7" ht="30">
      <c r="A248" s="20"/>
      <c r="B248" s="43">
        <v>219</v>
      </c>
      <c r="C248" s="320" t="s">
        <v>329</v>
      </c>
      <c r="D248" s="318"/>
      <c r="E248" s="319" t="s">
        <v>86</v>
      </c>
      <c r="F248" s="47">
        <v>10000</v>
      </c>
      <c r="G248" s="48"/>
    </row>
    <row r="249" spans="1:7">
      <c r="A249" s="20"/>
      <c r="B249" s="43">
        <v>220</v>
      </c>
      <c r="C249" s="320" t="s">
        <v>838</v>
      </c>
      <c r="D249" s="319"/>
      <c r="E249" s="319" t="s">
        <v>86</v>
      </c>
      <c r="F249" s="47">
        <v>10000</v>
      </c>
      <c r="G249" s="48"/>
    </row>
    <row r="250" spans="1:7" ht="30">
      <c r="A250" s="20"/>
      <c r="B250" s="43">
        <v>221</v>
      </c>
      <c r="C250" s="320" t="s">
        <v>375</v>
      </c>
      <c r="D250" s="319"/>
      <c r="E250" s="319" t="s">
        <v>86</v>
      </c>
      <c r="F250" s="47">
        <v>10000</v>
      </c>
      <c r="G250" s="48"/>
    </row>
    <row r="251" spans="1:7">
      <c r="A251" s="20"/>
      <c r="B251" s="43">
        <v>222</v>
      </c>
      <c r="C251" s="320" t="s">
        <v>840</v>
      </c>
      <c r="D251" s="319"/>
      <c r="E251" s="319" t="s">
        <v>86</v>
      </c>
      <c r="F251" s="47">
        <v>10000</v>
      </c>
      <c r="G251" s="48"/>
    </row>
    <row r="252" spans="1:7" ht="30">
      <c r="A252" s="20"/>
      <c r="B252" s="43">
        <v>223</v>
      </c>
      <c r="C252" s="320" t="s">
        <v>330</v>
      </c>
      <c r="D252" s="318"/>
      <c r="E252" s="319" t="s">
        <v>86</v>
      </c>
      <c r="F252" s="47">
        <v>10000</v>
      </c>
      <c r="G252" s="48"/>
    </row>
    <row r="253" spans="1:7" ht="30">
      <c r="A253" s="20"/>
      <c r="B253" s="43">
        <v>224</v>
      </c>
      <c r="C253" s="320" t="s">
        <v>353</v>
      </c>
      <c r="D253" s="319"/>
      <c r="E253" s="319" t="s">
        <v>86</v>
      </c>
      <c r="F253" s="47">
        <v>10000</v>
      </c>
      <c r="G253" s="48"/>
    </row>
    <row r="254" spans="1:7" ht="30">
      <c r="A254" s="20"/>
      <c r="B254" s="43">
        <v>225</v>
      </c>
      <c r="C254" s="320" t="s">
        <v>354</v>
      </c>
      <c r="D254" s="319"/>
      <c r="E254" s="319" t="s">
        <v>86</v>
      </c>
      <c r="F254" s="47">
        <v>10000</v>
      </c>
      <c r="G254" s="48"/>
    </row>
    <row r="255" spans="1:7">
      <c r="A255" s="20"/>
      <c r="B255" s="43">
        <v>226</v>
      </c>
      <c r="C255" s="317" t="s">
        <v>376</v>
      </c>
      <c r="D255" s="318"/>
      <c r="E255" s="318" t="s">
        <v>86</v>
      </c>
      <c r="F255" s="47">
        <v>10000</v>
      </c>
      <c r="G255" s="48"/>
    </row>
    <row r="256" spans="1:7">
      <c r="A256" s="20"/>
      <c r="B256" s="43">
        <v>227</v>
      </c>
      <c r="C256" s="320" t="s">
        <v>842</v>
      </c>
      <c r="D256" s="319"/>
      <c r="E256" s="319" t="s">
        <v>86</v>
      </c>
      <c r="F256" s="47">
        <v>10000</v>
      </c>
      <c r="G256" s="48"/>
    </row>
    <row r="257" spans="1:7" ht="30">
      <c r="A257" s="20"/>
      <c r="B257" s="43">
        <v>228</v>
      </c>
      <c r="C257" s="320" t="s">
        <v>355</v>
      </c>
      <c r="D257" s="319"/>
      <c r="E257" s="319" t="s">
        <v>86</v>
      </c>
      <c r="F257" s="47">
        <v>10000</v>
      </c>
      <c r="G257" s="48"/>
    </row>
    <row r="258" spans="1:7">
      <c r="A258" s="20"/>
      <c r="B258" s="43">
        <v>229</v>
      </c>
      <c r="C258" s="320" t="s">
        <v>820</v>
      </c>
      <c r="D258" s="319"/>
      <c r="E258" s="319" t="s">
        <v>86</v>
      </c>
      <c r="F258" s="47">
        <v>10000</v>
      </c>
      <c r="G258" s="48"/>
    </row>
    <row r="259" spans="1:7">
      <c r="A259" s="20"/>
      <c r="B259" s="43">
        <v>230</v>
      </c>
      <c r="C259" s="320" t="s">
        <v>826</v>
      </c>
      <c r="D259" s="319"/>
      <c r="E259" s="319" t="s">
        <v>86</v>
      </c>
      <c r="F259" s="47">
        <v>10000</v>
      </c>
      <c r="G259" s="48"/>
    </row>
    <row r="260" spans="1:7" ht="30">
      <c r="A260" s="20"/>
      <c r="B260" s="43">
        <v>231</v>
      </c>
      <c r="C260" s="320" t="s">
        <v>356</v>
      </c>
      <c r="D260" s="319"/>
      <c r="E260" s="319" t="s">
        <v>86</v>
      </c>
      <c r="F260" s="47">
        <v>10000</v>
      </c>
      <c r="G260" s="48"/>
    </row>
    <row r="261" spans="1:7" ht="30">
      <c r="A261" s="20"/>
      <c r="B261" s="43">
        <v>232</v>
      </c>
      <c r="C261" s="320" t="s">
        <v>331</v>
      </c>
      <c r="D261" s="318"/>
      <c r="E261" s="319" t="s">
        <v>86</v>
      </c>
      <c r="F261" s="47">
        <v>10000</v>
      </c>
      <c r="G261" s="48"/>
    </row>
    <row r="262" spans="1:7" ht="30">
      <c r="A262" s="20"/>
      <c r="B262" s="43">
        <v>233</v>
      </c>
      <c r="C262" s="320" t="s">
        <v>357</v>
      </c>
      <c r="D262" s="319"/>
      <c r="E262" s="319" t="s">
        <v>86</v>
      </c>
      <c r="F262" s="47">
        <v>10000</v>
      </c>
      <c r="G262" s="48"/>
    </row>
    <row r="263" spans="1:7" ht="30">
      <c r="A263" s="20"/>
      <c r="B263" s="43">
        <v>234</v>
      </c>
      <c r="C263" s="320" t="s">
        <v>377</v>
      </c>
      <c r="D263" s="319"/>
      <c r="E263" s="319" t="s">
        <v>86</v>
      </c>
      <c r="F263" s="47">
        <v>10000</v>
      </c>
      <c r="G263" s="48"/>
    </row>
    <row r="264" spans="1:7" ht="30">
      <c r="A264" s="20"/>
      <c r="B264" s="43">
        <v>235</v>
      </c>
      <c r="C264" s="320" t="s">
        <v>358</v>
      </c>
      <c r="D264" s="319"/>
      <c r="E264" s="319" t="s">
        <v>86</v>
      </c>
      <c r="F264" s="47">
        <v>10000</v>
      </c>
      <c r="G264" s="48"/>
    </row>
    <row r="265" spans="1:7" ht="30">
      <c r="A265" s="20"/>
      <c r="B265" s="43">
        <v>236</v>
      </c>
      <c r="C265" s="320" t="s">
        <v>332</v>
      </c>
      <c r="D265" s="318"/>
      <c r="E265" s="319" t="s">
        <v>86</v>
      </c>
      <c r="F265" s="47">
        <v>10000</v>
      </c>
      <c r="G265" s="48"/>
    </row>
    <row r="266" spans="1:7">
      <c r="A266" s="20"/>
      <c r="B266" s="43">
        <v>237</v>
      </c>
      <c r="C266" s="320" t="s">
        <v>834</v>
      </c>
      <c r="D266" s="319"/>
      <c r="E266" s="319" t="s">
        <v>86</v>
      </c>
      <c r="F266" s="47">
        <v>10000</v>
      </c>
      <c r="G266" s="48"/>
    </row>
    <row r="267" spans="1:7" ht="30">
      <c r="A267" s="20"/>
      <c r="B267" s="43">
        <v>238</v>
      </c>
      <c r="C267" s="320" t="s">
        <v>378</v>
      </c>
      <c r="D267" s="319"/>
      <c r="E267" s="319" t="s">
        <v>86</v>
      </c>
      <c r="F267" s="47">
        <v>10000</v>
      </c>
      <c r="G267" s="48"/>
    </row>
    <row r="268" spans="1:7" ht="30">
      <c r="A268" s="20"/>
      <c r="B268" s="43">
        <v>239</v>
      </c>
      <c r="C268" s="320" t="s">
        <v>359</v>
      </c>
      <c r="D268" s="319"/>
      <c r="E268" s="319" t="s">
        <v>86</v>
      </c>
      <c r="F268" s="47">
        <v>10000</v>
      </c>
      <c r="G268" s="48"/>
    </row>
    <row r="269" spans="1:7" ht="30">
      <c r="A269" s="20"/>
      <c r="B269" s="43">
        <v>240</v>
      </c>
      <c r="C269" s="320" t="s">
        <v>333</v>
      </c>
      <c r="D269" s="319"/>
      <c r="E269" s="319" t="s">
        <v>86</v>
      </c>
      <c r="F269" s="47">
        <v>10000</v>
      </c>
      <c r="G269" s="48"/>
    </row>
    <row r="270" spans="1:7" ht="30">
      <c r="A270" s="20"/>
      <c r="B270" s="43">
        <v>241</v>
      </c>
      <c r="C270" s="320" t="s">
        <v>873</v>
      </c>
      <c r="D270" s="319"/>
      <c r="E270" s="319" t="s">
        <v>86</v>
      </c>
      <c r="F270" s="47">
        <v>10000</v>
      </c>
      <c r="G270" s="48"/>
    </row>
    <row r="271" spans="1:7" ht="30">
      <c r="A271" s="20"/>
      <c r="B271" s="43">
        <v>242</v>
      </c>
      <c r="C271" s="320" t="s">
        <v>786</v>
      </c>
      <c r="D271" s="319"/>
      <c r="E271" s="319" t="s">
        <v>86</v>
      </c>
      <c r="F271" s="47">
        <v>10000</v>
      </c>
      <c r="G271" s="48"/>
    </row>
    <row r="272" spans="1:7">
      <c r="A272" s="20"/>
      <c r="B272" s="43">
        <v>243</v>
      </c>
      <c r="C272" s="317" t="s">
        <v>150</v>
      </c>
      <c r="D272" s="318"/>
      <c r="E272" s="318" t="s">
        <v>19</v>
      </c>
      <c r="F272" s="47">
        <v>10000</v>
      </c>
      <c r="G272" s="48"/>
    </row>
    <row r="273" spans="1:7">
      <c r="A273" s="20"/>
      <c r="B273" s="43">
        <v>244</v>
      </c>
      <c r="C273" s="317" t="s">
        <v>209</v>
      </c>
      <c r="D273" s="318"/>
      <c r="E273" s="319" t="s">
        <v>24</v>
      </c>
      <c r="F273" s="47">
        <v>10000</v>
      </c>
      <c r="G273" s="48"/>
    </row>
    <row r="274" spans="1:7" ht="30">
      <c r="A274" s="20"/>
      <c r="B274" s="43">
        <v>245</v>
      </c>
      <c r="C274" s="320" t="s">
        <v>210</v>
      </c>
      <c r="D274" s="318"/>
      <c r="E274" s="319" t="s">
        <v>24</v>
      </c>
      <c r="F274" s="47">
        <v>10000</v>
      </c>
      <c r="G274" s="48"/>
    </row>
    <row r="275" spans="1:7">
      <c r="A275" s="20"/>
      <c r="B275" s="43">
        <v>246</v>
      </c>
      <c r="C275" s="317" t="s">
        <v>56</v>
      </c>
      <c r="D275" s="318"/>
      <c r="E275" s="318" t="s">
        <v>24</v>
      </c>
      <c r="F275" s="47">
        <v>10000</v>
      </c>
      <c r="G275" s="48"/>
    </row>
    <row r="276" spans="1:7">
      <c r="A276" s="20"/>
      <c r="B276" s="43">
        <v>247</v>
      </c>
      <c r="C276" s="317" t="s">
        <v>106</v>
      </c>
      <c r="D276" s="318"/>
      <c r="E276" s="318" t="s">
        <v>28</v>
      </c>
      <c r="F276" s="47">
        <v>10000</v>
      </c>
      <c r="G276" s="48"/>
    </row>
    <row r="277" spans="1:7">
      <c r="A277" s="20"/>
      <c r="B277" s="43">
        <v>248</v>
      </c>
      <c r="C277" s="317" t="s">
        <v>27</v>
      </c>
      <c r="D277" s="318"/>
      <c r="E277" s="318" t="s">
        <v>28</v>
      </c>
      <c r="F277" s="47">
        <v>10000</v>
      </c>
      <c r="G277" s="48"/>
    </row>
    <row r="278" spans="1:7" ht="30">
      <c r="A278" s="20"/>
      <c r="B278" s="43">
        <v>249</v>
      </c>
      <c r="C278" s="320" t="s">
        <v>227</v>
      </c>
      <c r="D278" s="318"/>
      <c r="E278" s="319" t="s">
        <v>86</v>
      </c>
      <c r="F278" s="47">
        <v>10000</v>
      </c>
      <c r="G278" s="48"/>
    </row>
    <row r="279" spans="1:7" ht="30">
      <c r="A279" s="20"/>
      <c r="B279" s="43">
        <v>250</v>
      </c>
      <c r="C279" s="321" t="s">
        <v>728</v>
      </c>
      <c r="D279" s="321"/>
      <c r="E279" s="318" t="s">
        <v>688</v>
      </c>
      <c r="F279" s="47">
        <v>10000</v>
      </c>
      <c r="G279" s="48"/>
    </row>
    <row r="280" spans="1:7" ht="30">
      <c r="A280" s="20"/>
      <c r="B280" s="43">
        <v>251</v>
      </c>
      <c r="C280" s="321" t="s">
        <v>729</v>
      </c>
      <c r="D280" s="321"/>
      <c r="E280" s="318" t="s">
        <v>688</v>
      </c>
      <c r="F280" s="47">
        <v>10000</v>
      </c>
      <c r="G280" s="48"/>
    </row>
    <row r="281" spans="1:7" ht="30">
      <c r="A281" s="20"/>
      <c r="B281" s="43">
        <v>252</v>
      </c>
      <c r="C281" s="321" t="s">
        <v>730</v>
      </c>
      <c r="D281" s="321"/>
      <c r="E281" s="318" t="s">
        <v>688</v>
      </c>
      <c r="F281" s="47">
        <v>10000</v>
      </c>
      <c r="G281" s="48"/>
    </row>
    <row r="282" spans="1:7" ht="30">
      <c r="A282" s="20"/>
      <c r="B282" s="43">
        <v>253</v>
      </c>
      <c r="C282" s="321" t="s">
        <v>731</v>
      </c>
      <c r="D282" s="321"/>
      <c r="E282" s="318" t="s">
        <v>688</v>
      </c>
      <c r="F282" s="47">
        <v>10000</v>
      </c>
      <c r="G282" s="48"/>
    </row>
    <row r="283" spans="1:7" ht="30">
      <c r="A283" s="20"/>
      <c r="B283" s="43">
        <v>254</v>
      </c>
      <c r="C283" s="321" t="s">
        <v>732</v>
      </c>
      <c r="D283" s="321"/>
      <c r="E283" s="318" t="s">
        <v>688</v>
      </c>
      <c r="F283" s="47">
        <v>10000</v>
      </c>
      <c r="G283" s="48"/>
    </row>
    <row r="284" spans="1:7" ht="30">
      <c r="A284" s="20"/>
      <c r="B284" s="43">
        <v>255</v>
      </c>
      <c r="C284" s="320" t="s">
        <v>733</v>
      </c>
      <c r="D284" s="320"/>
      <c r="E284" s="318" t="s">
        <v>688</v>
      </c>
      <c r="F284" s="47">
        <v>10000</v>
      </c>
      <c r="G284" s="48"/>
    </row>
    <row r="285" spans="1:7" ht="30">
      <c r="A285" s="20"/>
      <c r="B285" s="43">
        <v>256</v>
      </c>
      <c r="C285" s="321" t="s">
        <v>306</v>
      </c>
      <c r="D285" s="321"/>
      <c r="E285" s="318" t="s">
        <v>688</v>
      </c>
      <c r="F285" s="47">
        <v>10000</v>
      </c>
      <c r="G285" s="48"/>
    </row>
    <row r="286" spans="1:7" ht="30">
      <c r="A286" s="20"/>
      <c r="B286" s="43">
        <v>257</v>
      </c>
      <c r="C286" s="321" t="s">
        <v>734</v>
      </c>
      <c r="D286" s="321"/>
      <c r="E286" s="318" t="s">
        <v>688</v>
      </c>
      <c r="F286" s="47">
        <v>10000</v>
      </c>
      <c r="G286" s="48"/>
    </row>
    <row r="287" spans="1:7" ht="30">
      <c r="A287" s="20"/>
      <c r="B287" s="43">
        <v>258</v>
      </c>
      <c r="C287" s="321" t="s">
        <v>879</v>
      </c>
      <c r="D287" s="321"/>
      <c r="E287" s="322" t="s">
        <v>715</v>
      </c>
      <c r="F287" s="47">
        <v>10000</v>
      </c>
      <c r="G287" s="48"/>
    </row>
    <row r="288" spans="1:7">
      <c r="A288" s="20"/>
      <c r="B288" s="43">
        <v>259</v>
      </c>
      <c r="C288" s="323"/>
      <c r="D288" s="323"/>
      <c r="E288" s="323"/>
      <c r="F288" s="47">
        <v>10000</v>
      </c>
      <c r="G288" s="48"/>
    </row>
    <row r="289" spans="1:7" ht="30">
      <c r="A289" s="20"/>
      <c r="B289" s="43">
        <v>260</v>
      </c>
      <c r="C289" s="321" t="s">
        <v>880</v>
      </c>
      <c r="D289" s="321"/>
      <c r="E289" s="322" t="s">
        <v>715</v>
      </c>
      <c r="F289" s="47">
        <v>10000</v>
      </c>
      <c r="G289" s="48"/>
    </row>
    <row r="290" spans="1:7" ht="30">
      <c r="A290" s="20"/>
      <c r="B290" s="43">
        <v>261</v>
      </c>
      <c r="C290" s="321" t="s">
        <v>881</v>
      </c>
      <c r="D290" s="321"/>
      <c r="E290" s="318" t="s">
        <v>688</v>
      </c>
      <c r="F290" s="47">
        <v>10000</v>
      </c>
      <c r="G290" s="48"/>
    </row>
    <row r="291" spans="1:7" ht="30">
      <c r="A291" s="20"/>
      <c r="B291" s="43">
        <v>262</v>
      </c>
      <c r="C291" s="321" t="s">
        <v>882</v>
      </c>
      <c r="D291" s="321"/>
      <c r="E291" s="322" t="s">
        <v>715</v>
      </c>
      <c r="F291" s="47">
        <v>10000</v>
      </c>
      <c r="G291" s="48"/>
    </row>
    <row r="292" spans="1:7" ht="30">
      <c r="A292" s="20"/>
      <c r="B292" s="43">
        <v>263</v>
      </c>
      <c r="C292" s="321" t="s">
        <v>883</v>
      </c>
      <c r="D292" s="321"/>
      <c r="E292" s="322" t="s">
        <v>715</v>
      </c>
      <c r="F292" s="47">
        <v>10000</v>
      </c>
      <c r="G292" s="48"/>
    </row>
    <row r="293" spans="1:7" ht="30">
      <c r="A293" s="20"/>
      <c r="B293" s="43">
        <v>264</v>
      </c>
      <c r="C293" s="321" t="s">
        <v>884</v>
      </c>
      <c r="D293" s="321"/>
      <c r="E293" s="318" t="s">
        <v>688</v>
      </c>
      <c r="F293" s="47">
        <v>10000</v>
      </c>
      <c r="G293" s="48"/>
    </row>
    <row r="294" spans="1:7" ht="30">
      <c r="A294" s="20"/>
      <c r="B294" s="43">
        <v>265</v>
      </c>
      <c r="C294" s="321" t="s">
        <v>885</v>
      </c>
      <c r="D294" s="321"/>
      <c r="E294" s="318" t="s">
        <v>688</v>
      </c>
      <c r="F294" s="47">
        <v>10000</v>
      </c>
      <c r="G294" s="48"/>
    </row>
    <row r="295" spans="1:7" ht="30">
      <c r="A295" s="20"/>
      <c r="B295" s="43">
        <v>266</v>
      </c>
      <c r="C295" s="321" t="s">
        <v>886</v>
      </c>
      <c r="D295" s="321"/>
      <c r="E295" s="318" t="s">
        <v>688</v>
      </c>
      <c r="F295" s="47">
        <v>10000</v>
      </c>
      <c r="G295" s="48"/>
    </row>
    <row r="296" spans="1:7" ht="30">
      <c r="A296" s="20"/>
      <c r="B296" s="43">
        <v>267</v>
      </c>
      <c r="C296" s="320" t="s">
        <v>887</v>
      </c>
      <c r="D296" s="320"/>
      <c r="E296" s="318" t="s">
        <v>688</v>
      </c>
      <c r="F296" s="47">
        <v>10000</v>
      </c>
      <c r="G296" s="48"/>
    </row>
    <row r="297" spans="1:7" ht="45">
      <c r="A297" s="20"/>
      <c r="B297" s="43">
        <v>268</v>
      </c>
      <c r="C297" s="321" t="s">
        <v>735</v>
      </c>
      <c r="D297" s="321"/>
      <c r="E297" s="322" t="s">
        <v>715</v>
      </c>
      <c r="F297" s="47">
        <v>10000</v>
      </c>
      <c r="G297" s="48"/>
    </row>
    <row r="298" spans="1:7" ht="45">
      <c r="A298" s="20"/>
      <c r="B298" s="43">
        <v>269</v>
      </c>
      <c r="C298" s="321" t="s">
        <v>736</v>
      </c>
      <c r="D298" s="321"/>
      <c r="E298" s="322" t="s">
        <v>715</v>
      </c>
      <c r="F298" s="47">
        <v>10000</v>
      </c>
      <c r="G298" s="48"/>
    </row>
    <row r="299" spans="1:7" ht="45">
      <c r="A299" s="20"/>
      <c r="B299" s="43">
        <v>270</v>
      </c>
      <c r="C299" s="321" t="s">
        <v>737</v>
      </c>
      <c r="D299" s="321"/>
      <c r="E299" s="322" t="s">
        <v>715</v>
      </c>
      <c r="F299" s="47">
        <v>10000</v>
      </c>
      <c r="G299" s="48"/>
    </row>
    <row r="300" spans="1:7">
      <c r="A300" s="20"/>
      <c r="B300" s="43">
        <v>271</v>
      </c>
      <c r="C300" s="324" t="s">
        <v>723</v>
      </c>
      <c r="D300" s="324"/>
      <c r="E300" s="318" t="s">
        <v>104</v>
      </c>
      <c r="F300" s="47">
        <v>10000</v>
      </c>
      <c r="G300" s="48"/>
    </row>
    <row r="301" spans="1:7">
      <c r="A301" s="20"/>
      <c r="B301" s="43">
        <v>272</v>
      </c>
      <c r="C301" s="324" t="s">
        <v>109</v>
      </c>
      <c r="D301" s="324"/>
      <c r="E301" s="318" t="s">
        <v>104</v>
      </c>
      <c r="F301" s="47">
        <v>10000</v>
      </c>
      <c r="G301" s="48"/>
    </row>
    <row r="302" spans="1:7" ht="15.75" thickBot="1">
      <c r="A302" s="20"/>
      <c r="B302" s="133"/>
      <c r="C302" s="325"/>
      <c r="D302" s="238"/>
      <c r="E302" s="326"/>
      <c r="F302" s="239"/>
      <c r="G302" s="134"/>
    </row>
    <row r="303" spans="1:7" ht="15.75" thickBot="1">
      <c r="A303" s="20"/>
      <c r="B303" s="31" t="s">
        <v>410</v>
      </c>
      <c r="C303" s="57" t="s">
        <v>37</v>
      </c>
      <c r="D303" s="58"/>
      <c r="E303" s="59"/>
      <c r="F303" s="58"/>
      <c r="G303" s="68"/>
    </row>
    <row r="304" spans="1:7">
      <c r="A304" s="20"/>
      <c r="B304" s="149"/>
      <c r="C304" s="150"/>
      <c r="D304" s="150"/>
      <c r="E304" s="151"/>
      <c r="F304" s="150"/>
      <c r="G304" s="152"/>
    </row>
    <row r="305" spans="1:7">
      <c r="A305" s="20"/>
      <c r="B305" s="43">
        <v>1</v>
      </c>
      <c r="C305" s="327" t="s">
        <v>689</v>
      </c>
      <c r="D305" s="147"/>
      <c r="E305" s="328" t="s">
        <v>690</v>
      </c>
      <c r="F305" s="47">
        <v>25000</v>
      </c>
      <c r="G305" s="48"/>
    </row>
    <row r="306" spans="1:7">
      <c r="A306" s="20"/>
      <c r="B306" s="43">
        <v>2</v>
      </c>
      <c r="C306" s="327" t="s">
        <v>703</v>
      </c>
      <c r="D306" s="147"/>
      <c r="E306" s="328" t="s">
        <v>690</v>
      </c>
      <c r="F306" s="47">
        <v>25000</v>
      </c>
      <c r="G306" s="48"/>
    </row>
    <row r="307" spans="1:7">
      <c r="A307" s="20"/>
      <c r="B307" s="43">
        <v>3</v>
      </c>
      <c r="C307" s="327" t="s">
        <v>697</v>
      </c>
      <c r="D307" s="147"/>
      <c r="E307" s="328" t="s">
        <v>690</v>
      </c>
      <c r="F307" s="47">
        <v>25000</v>
      </c>
      <c r="G307" s="48"/>
    </row>
    <row r="308" spans="1:7">
      <c r="A308" s="20"/>
      <c r="B308" s="43">
        <v>4</v>
      </c>
      <c r="C308" s="327" t="s">
        <v>191</v>
      </c>
      <c r="D308" s="147"/>
      <c r="E308" s="329" t="s">
        <v>72</v>
      </c>
      <c r="F308" s="47">
        <v>10000</v>
      </c>
      <c r="G308" s="48"/>
    </row>
    <row r="309" spans="1:7">
      <c r="A309" s="20"/>
      <c r="B309" s="43">
        <v>5</v>
      </c>
      <c r="C309" s="327" t="s">
        <v>140</v>
      </c>
      <c r="D309" s="45"/>
      <c r="E309" s="330" t="s">
        <v>122</v>
      </c>
      <c r="F309" s="47">
        <v>10000</v>
      </c>
      <c r="G309" s="48"/>
    </row>
    <row r="310" spans="1:7">
      <c r="A310" s="20"/>
      <c r="B310" s="43">
        <v>6</v>
      </c>
      <c r="C310" s="327" t="s">
        <v>716</v>
      </c>
      <c r="D310" s="45"/>
      <c r="E310" s="331" t="s">
        <v>690</v>
      </c>
      <c r="F310" s="47">
        <v>25000</v>
      </c>
      <c r="G310" s="48"/>
    </row>
    <row r="311" spans="1:7">
      <c r="A311" s="20"/>
      <c r="B311" s="43">
        <v>7</v>
      </c>
      <c r="C311" s="327" t="s">
        <v>71</v>
      </c>
      <c r="D311" s="45"/>
      <c r="E311" s="330" t="s">
        <v>72</v>
      </c>
      <c r="F311" s="47">
        <v>10000</v>
      </c>
      <c r="G311" s="48"/>
    </row>
    <row r="312" spans="1:7" ht="45">
      <c r="A312" s="20"/>
      <c r="B312" s="43">
        <v>8</v>
      </c>
      <c r="C312" s="332" t="s">
        <v>217</v>
      </c>
      <c r="D312" s="45"/>
      <c r="E312" s="330" t="s">
        <v>122</v>
      </c>
      <c r="F312" s="47">
        <v>10000</v>
      </c>
      <c r="G312" s="48"/>
    </row>
    <row r="313" spans="1:7">
      <c r="A313" s="20"/>
      <c r="B313" s="43">
        <v>9</v>
      </c>
      <c r="C313" s="327" t="s">
        <v>385</v>
      </c>
      <c r="D313" s="52"/>
      <c r="E313" s="330" t="s">
        <v>122</v>
      </c>
      <c r="F313" s="47">
        <v>10000</v>
      </c>
      <c r="G313" s="48"/>
    </row>
    <row r="314" spans="1:7">
      <c r="A314" s="20"/>
      <c r="B314" s="43">
        <v>10</v>
      </c>
      <c r="C314" s="327" t="s">
        <v>175</v>
      </c>
      <c r="D314" s="45"/>
      <c r="E314" s="330" t="s">
        <v>122</v>
      </c>
      <c r="F314" s="47">
        <v>10000</v>
      </c>
      <c r="G314" s="48"/>
    </row>
    <row r="315" spans="1:7">
      <c r="A315" s="20"/>
      <c r="B315" s="148"/>
      <c r="C315" s="325"/>
      <c r="D315" s="236"/>
      <c r="E315" s="333"/>
      <c r="F315" s="237"/>
      <c r="G315" s="134"/>
    </row>
    <row r="316" spans="1:7">
      <c r="A316" s="20"/>
      <c r="B316" s="137"/>
      <c r="C316" s="138"/>
      <c r="D316" s="138"/>
      <c r="E316" s="139"/>
      <c r="F316" s="138"/>
      <c r="G316" s="134"/>
    </row>
    <row r="317" spans="1:7" ht="15.75" thickBot="1">
      <c r="A317" s="20"/>
      <c r="B317" s="53"/>
      <c r="C317" s="70"/>
      <c r="D317" s="67"/>
      <c r="E317" s="54"/>
      <c r="F317" s="55"/>
      <c r="G317" s="56"/>
    </row>
    <row r="318" spans="1:7">
      <c r="A318" s="20"/>
      <c r="B318" s="71"/>
      <c r="C318" s="18"/>
      <c r="D318" s="72"/>
      <c r="E318" s="14"/>
      <c r="F318" s="73"/>
      <c r="G318" s="74"/>
    </row>
    <row r="319" spans="1:7">
      <c r="C319" s="76" t="s">
        <v>411</v>
      </c>
    </row>
    <row r="320" spans="1:7">
      <c r="C320" s="76" t="s">
        <v>412</v>
      </c>
    </row>
    <row r="321" spans="3:3">
      <c r="C321" s="76" t="s">
        <v>413</v>
      </c>
    </row>
    <row r="322" spans="3:3">
      <c r="C322" s="76" t="s">
        <v>414</v>
      </c>
    </row>
    <row r="323" spans="3:3">
      <c r="C323" s="77" t="s">
        <v>415</v>
      </c>
    </row>
    <row r="324" spans="3:3">
      <c r="C324" s="78" t="s">
        <v>416</v>
      </c>
    </row>
  </sheetData>
  <sortState ref="C30:E284">
    <sortCondition ref="C30"/>
  </sortState>
  <mergeCells count="2">
    <mergeCell ref="B1:G1"/>
    <mergeCell ref="B2:G2"/>
  </mergeCells>
  <pageMargins left="0.7" right="0.7" top="0.75" bottom="0.75" header="0.3" footer="0.3"/>
  <pageSetup paperSize="9"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INFORMASI</vt:lpstr>
      <vt:lpstr>HSP</vt:lpstr>
      <vt:lpstr>4. AHS LANDSKAP</vt:lpstr>
      <vt:lpstr>ANGKUTAN</vt:lpstr>
      <vt:lpstr>HSD UPAH,BAHAN,ALAT</vt:lpstr>
      <vt:lpstr>'4. AHS LANDSKAP'!Print_Area</vt:lpstr>
      <vt:lpstr>ANGKUTAN!Print_Area</vt:lpstr>
      <vt:lpstr>'HSD UPAH,BAHAN,ALAT'!Print_Area</vt:lpstr>
      <vt:lpstr>HSP!Print_Area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2006-10-21T23:41:55Z</dcterms:created>
  <dcterms:modified xsi:type="dcterms:W3CDTF">2025-10-11T23:15:35Z</dcterms:modified>
</cp:coreProperties>
</file>