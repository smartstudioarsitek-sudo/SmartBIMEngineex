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3820"/>
  <bookViews>
    <workbookView xWindow="120" yWindow="45" windowWidth="15135" windowHeight="7650" activeTab="1"/>
  </bookViews>
  <sheets>
    <sheet name="INFORMASI" sheetId="5" r:id="rId1"/>
    <sheet name="HSP" sheetId="3" r:id="rId2"/>
    <sheet name="AHS" sheetId="1" r:id="rId3"/>
    <sheet name="UPAH,BHN,ALAT" sheetId="4" r:id="rId4"/>
  </sheets>
  <definedNames>
    <definedName name="_xlnm.Print_Area" localSheetId="2">AHS!$A$1:$G$240</definedName>
  </definedNames>
  <calcPr calcId="124519" iterate="1"/>
</workbook>
</file>

<file path=xl/calcChain.xml><?xml version="1.0" encoding="utf-8"?>
<calcChain xmlns="http://schemas.openxmlformats.org/spreadsheetml/2006/main">
  <c r="G154" i="1"/>
  <c r="G137"/>
  <c r="G119"/>
  <c r="G118"/>
  <c r="G117"/>
  <c r="G116"/>
  <c r="G115"/>
  <c r="G114"/>
  <c r="G113"/>
  <c r="G136"/>
  <c r="G135"/>
  <c r="G134"/>
  <c r="G133"/>
  <c r="G132"/>
  <c r="G131"/>
  <c r="G153"/>
  <c r="G152"/>
  <c r="G151"/>
  <c r="G150"/>
  <c r="G149"/>
  <c r="F231" l="1"/>
  <c r="G231" s="1"/>
  <c r="F230"/>
  <c r="G230" s="1"/>
  <c r="F229"/>
  <c r="G229" s="1"/>
  <c r="F228"/>
  <c r="G228" s="1"/>
  <c r="F218"/>
  <c r="G218" s="1"/>
  <c r="F217"/>
  <c r="G217" s="1"/>
  <c r="F215"/>
  <c r="G215" s="1"/>
  <c r="F214"/>
  <c r="G214" s="1"/>
  <c r="F213"/>
  <c r="G213" s="1"/>
  <c r="F212"/>
  <c r="G212" s="1"/>
  <c r="G211"/>
  <c r="F210"/>
  <c r="G210" s="1"/>
  <c r="F209"/>
  <c r="G209" s="1"/>
  <c r="F208"/>
  <c r="G208" s="1"/>
  <c r="F207"/>
  <c r="G207" s="1"/>
  <c r="F203"/>
  <c r="G203" s="1"/>
  <c r="F202"/>
  <c r="G202" s="1"/>
  <c r="F201"/>
  <c r="G201" s="1"/>
  <c r="F200"/>
  <c r="G200" s="1"/>
  <c r="F188"/>
  <c r="G188" s="1"/>
  <c r="F187"/>
  <c r="G187" s="1"/>
  <c r="F186"/>
  <c r="G186" s="1"/>
  <c r="F173"/>
  <c r="G173" s="1"/>
  <c r="F172"/>
  <c r="G172" s="1"/>
  <c r="F171"/>
  <c r="G171" s="1"/>
  <c r="F170"/>
  <c r="G170" s="1"/>
  <c r="F169"/>
  <c r="G169" s="1"/>
  <c r="F166"/>
  <c r="G166" s="1"/>
  <c r="F165"/>
  <c r="G165" s="1"/>
  <c r="F100"/>
  <c r="G100" s="1"/>
  <c r="F97"/>
  <c r="G97" s="1"/>
  <c r="F96"/>
  <c r="G96" s="1"/>
  <c r="F95"/>
  <c r="G95" s="1"/>
  <c r="F84"/>
  <c r="G84" s="1"/>
  <c r="F81"/>
  <c r="G81" s="1"/>
  <c r="F80"/>
  <c r="G80" s="1"/>
  <c r="F79"/>
  <c r="G79" s="1"/>
  <c r="F68"/>
  <c r="G68" s="1"/>
  <c r="G65"/>
  <c r="F65"/>
  <c r="G64"/>
  <c r="F64"/>
  <c r="G63"/>
  <c r="F63"/>
  <c r="F54"/>
  <c r="G54" s="1"/>
  <c r="F51"/>
  <c r="G51" s="1"/>
  <c r="F50"/>
  <c r="G50" s="1"/>
  <c r="F47"/>
  <c r="G47" s="1"/>
  <c r="F46"/>
  <c r="G46" s="1"/>
  <c r="F45"/>
  <c r="G45" s="1"/>
  <c r="F44"/>
  <c r="G44" s="1"/>
  <c r="F35"/>
  <c r="G35" s="1"/>
  <c r="F32"/>
  <c r="G32" s="1"/>
  <c r="F31"/>
  <c r="G31" s="1"/>
  <c r="F28"/>
  <c r="G28" s="1"/>
  <c r="F27"/>
  <c r="G27" s="1"/>
  <c r="F26"/>
  <c r="G26" s="1"/>
  <c r="F25"/>
  <c r="G25" s="1"/>
  <c r="F16"/>
  <c r="G16" s="1"/>
  <c r="F13"/>
  <c r="G13" s="1"/>
  <c r="F12"/>
  <c r="G12" s="1"/>
  <c r="F9"/>
  <c r="F8"/>
  <c r="G8" s="1"/>
  <c r="F7"/>
  <c r="F6"/>
  <c r="G6" s="1"/>
  <c r="G9"/>
  <c r="G7"/>
  <c r="G232" l="1"/>
  <c r="G204"/>
  <c r="G184"/>
  <c r="G167"/>
  <c r="G147"/>
  <c r="G129"/>
  <c r="G111"/>
  <c r="G98"/>
  <c r="G82"/>
  <c r="G66"/>
  <c r="G48"/>
  <c r="G29"/>
  <c r="G10"/>
  <c r="G235"/>
  <c r="G219"/>
  <c r="G189"/>
  <c r="G174"/>
  <c r="G101"/>
  <c r="G85"/>
  <c r="G69"/>
  <c r="G52"/>
  <c r="G33"/>
  <c r="G14"/>
  <c r="G103"/>
  <c r="G238" l="1"/>
  <c r="G222"/>
  <c r="G221"/>
  <c r="G192"/>
  <c r="G177"/>
  <c r="G157"/>
  <c r="G140"/>
  <c r="G141" s="1"/>
  <c r="G122"/>
  <c r="G104"/>
  <c r="G88"/>
  <c r="G72"/>
  <c r="G18"/>
  <c r="G17"/>
  <c r="G36"/>
  <c r="G37" s="1"/>
  <c r="G55"/>
  <c r="G56" s="1"/>
  <c r="G57" s="1"/>
  <c r="G71"/>
  <c r="G87"/>
  <c r="G121"/>
  <c r="G139"/>
  <c r="G156"/>
  <c r="G176"/>
  <c r="G191"/>
  <c r="G237"/>
  <c r="G19" l="1"/>
  <c r="G20" s="1"/>
  <c r="D8" i="3" s="1"/>
  <c r="G38" i="1"/>
  <c r="G39" s="1"/>
  <c r="D9" i="3" s="1"/>
  <c r="G58" i="1"/>
  <c r="D10" i="3" s="1"/>
  <c r="G73" i="1"/>
  <c r="G74" s="1"/>
  <c r="D11" i="3" s="1"/>
  <c r="G89" i="1"/>
  <c r="G90" s="1"/>
  <c r="D12" i="3" s="1"/>
  <c r="G105" i="1"/>
  <c r="G106" s="1"/>
  <c r="D13" i="3" s="1"/>
  <c r="G123" i="1"/>
  <c r="G124" s="1"/>
  <c r="D14" i="3" s="1"/>
  <c r="G142" i="1"/>
  <c r="D15" i="3" s="1"/>
  <c r="G158" i="1"/>
  <c r="G159" s="1"/>
  <c r="D16" i="3" s="1"/>
  <c r="G178" i="1"/>
  <c r="G179" s="1"/>
  <c r="D19" i="3" s="1"/>
  <c r="G193" i="1"/>
  <c r="G194" s="1"/>
  <c r="D20" i="3" s="1"/>
  <c r="G223" i="1"/>
  <c r="G224" s="1"/>
  <c r="D23" i="3" s="1"/>
  <c r="G239" i="1"/>
  <c r="G240" s="1"/>
  <c r="D24" i="3" s="1"/>
</calcChain>
</file>

<file path=xl/sharedStrings.xml><?xml version="1.0" encoding="utf-8"?>
<sst xmlns="http://schemas.openxmlformats.org/spreadsheetml/2006/main" count="727" uniqueCount="190">
  <si>
    <t>A</t>
  </si>
  <si>
    <t>TENAGA KERJA</t>
  </si>
  <si>
    <t>Pekerja</t>
  </si>
  <si>
    <t>L.01</t>
  </si>
  <si>
    <t>OH</t>
  </si>
  <si>
    <t>3,0959</t>
  </si>
  <si>
    <t>L.02</t>
  </si>
  <si>
    <t>1,5479</t>
  </si>
  <si>
    <t>Kepala Tukang</t>
  </si>
  <si>
    <t>L.03</t>
  </si>
  <si>
    <t>0,1548</t>
  </si>
  <si>
    <t>Mandor</t>
  </si>
  <si>
    <t>L.04</t>
  </si>
  <si>
    <t>0,0516</t>
  </si>
  <si>
    <t>B</t>
  </si>
  <si>
    <t>BAHAN</t>
  </si>
  <si>
    <t>Baja Profil</t>
  </si>
  <si>
    <t>kg</t>
  </si>
  <si>
    <t>51,598</t>
  </si>
  <si>
    <t>Kawat Las</t>
  </si>
  <si>
    <t>0,053</t>
  </si>
  <si>
    <t>C</t>
  </si>
  <si>
    <t>PERALATAN</t>
  </si>
  <si>
    <t>Alat Las Listrik</t>
  </si>
  <si>
    <t>jam</t>
  </si>
  <si>
    <t>0,0333</t>
  </si>
  <si>
    <t>D</t>
  </si>
  <si>
    <t>Jumlah Harga Tenaga Kerja, Bahan dan Peralatan (A+B+C)</t>
  </si>
  <si>
    <t>E</t>
  </si>
  <si>
    <t>Biaya Umum dan Keuntungan  (10% - 15%) x D</t>
  </si>
  <si>
    <t>F</t>
  </si>
  <si>
    <t>Harga Satuan Pekerjaan (D+E)</t>
  </si>
  <si>
    <t>2,7275</t>
  </si>
  <si>
    <t>1,3637</t>
  </si>
  <si>
    <t>0,1364</t>
  </si>
  <si>
    <t>0,0455</t>
  </si>
  <si>
    <t>45,458</t>
  </si>
  <si>
    <t>1,4959</t>
  </si>
  <si>
    <t>0,7479</t>
  </si>
  <si>
    <t>0,0748</t>
  </si>
  <si>
    <t>0,0249</t>
  </si>
  <si>
    <t>24,931</t>
  </si>
  <si>
    <t>0,0710</t>
  </si>
  <si>
    <t>0,0240</t>
  </si>
  <si>
    <t>0,0050</t>
  </si>
  <si>
    <t>Minyak Bekisting</t>
  </si>
  <si>
    <t>liter</t>
  </si>
  <si>
    <t>0,072</t>
  </si>
  <si>
    <t>0,048</t>
  </si>
  <si>
    <t>0,030</t>
  </si>
  <si>
    <t>1,257</t>
  </si>
  <si>
    <t>0,063</t>
  </si>
  <si>
    <t>Paku 5 cm</t>
  </si>
  <si>
    <t>0,5000</t>
  </si>
  <si>
    <t>Panel P1</t>
  </si>
  <si>
    <t>buah</t>
  </si>
  <si>
    <t>Panel P2</t>
  </si>
  <si>
    <t>Panel P3</t>
  </si>
  <si>
    <t>Tukang Ereksi</t>
  </si>
  <si>
    <t>8,00</t>
  </si>
  <si>
    <t>Tukang batu/tembok</t>
  </si>
  <si>
    <t>2,00</t>
  </si>
  <si>
    <t>0,20</t>
  </si>
  <si>
    <t>0,04</t>
  </si>
  <si>
    <t>B.1</t>
  </si>
  <si>
    <t>Ring Pelat</t>
  </si>
  <si>
    <t>B.2</t>
  </si>
  <si>
    <t>B.3</t>
  </si>
  <si>
    <t>10 SISTEM STRUKTUR RISHA</t>
  </si>
  <si>
    <t>10.1 Pekerjaan Produksi Panel RISHA</t>
  </si>
  <si>
    <t xml:space="preserve">10.1.1 Pembuatan 1 buah Cetakan Panel P1 RISHA (Asumsi 400 kali pakai) </t>
  </si>
  <si>
    <t>No</t>
  </si>
  <si>
    <t>Uraian</t>
  </si>
  <si>
    <t>Kode</t>
  </si>
  <si>
    <t>Satuan</t>
  </si>
  <si>
    <t>Koefisien</t>
  </si>
  <si>
    <t>Tukang      Besi/Besi
Beton</t>
  </si>
  <si>
    <t>1 kg Penulangan slab
untuk BjTP diameter
&lt; 12 mm, cara Manual (untuk bangunan gedung)</t>
  </si>
  <si>
    <t>6,0755</t>
  </si>
  <si>
    <t>2.2.1.1.1</t>
  </si>
  <si>
    <t>0,2464</t>
  </si>
  <si>
    <t>2.2.1.1.5</t>
  </si>
  <si>
    <t>Pembuatan  1  buah
Cetakan    Panel    P1
RISHA  (Asumsi  400 kali pakai)</t>
  </si>
  <si>
    <t>0,0025</t>
  </si>
  <si>
    <t>10.1.1</t>
  </si>
  <si>
    <t>Pemasangan        dan
membuka cetakan 1 buah  komponen  P1
RISHA</t>
  </si>
  <si>
    <t>unit</t>
  </si>
  <si>
    <t>1,0000</t>
  </si>
  <si>
    <t>10.1.4</t>
  </si>
  <si>
    <t>0,0204</t>
  </si>
  <si>
    <t>2.2.1.5.6</t>
  </si>
  <si>
    <t>2.4.3.3</t>
  </si>
  <si>
    <t>5,5027</t>
  </si>
  <si>
    <t>0,1344</t>
  </si>
  <si>
    <t>Pembuatan  1  buah
Cetakan    Panel    P2
RISHA  (Asumsi  400 kali pakai)</t>
  </si>
  <si>
    <t>10.1.2</t>
  </si>
  <si>
    <t>Pemasangan        dan
membuka cetakan 1 buah  komponen  P2
RISHA</t>
  </si>
  <si>
    <t>10.1.5</t>
  </si>
  <si>
    <t>0,0145</t>
  </si>
  <si>
    <t>4,2973</t>
  </si>
  <si>
    <t>Pembuatan  1  buah
Cetakan    Panel    P3
RISHA  (Asumsi  400 kali pakai)</t>
  </si>
  <si>
    <t>10.1.3</t>
  </si>
  <si>
    <t>Pemasangan        dan
membuka cetakan 1 buah  komponen  P3
RISHA</t>
  </si>
  <si>
    <t>10.1.6</t>
  </si>
  <si>
    <t>0,0110</t>
  </si>
  <si>
    <t>m</t>
  </si>
  <si>
    <t>57,600</t>
  </si>
  <si>
    <t>Palet  Kayu  Uk.  120
cm x 120 cm x 10 cm</t>
  </si>
  <si>
    <t>3,0000</t>
  </si>
  <si>
    <t>Kaso 5 x 7 Kayu Kelas
3</t>
  </si>
  <si>
    <t>0,0063</t>
  </si>
  <si>
    <t>Papan  2  /20  Kayu
Kelas 3</t>
  </si>
  <si>
    <t>Pengadaan Baut dan
Ring</t>
  </si>
  <si>
    <t>Baut  dan  Mur  f12,
L=4", ASTM A307</t>
  </si>
  <si>
    <t>104</t>
  </si>
  <si>
    <t>Baut  dan  Mur  f12,
L=6", ASTM A307</t>
  </si>
  <si>
    <t>133</t>
  </si>
  <si>
    <t>Baut  dan  Mur  f12,
L=7", ASTM A307</t>
  </si>
  <si>
    <t>156</t>
  </si>
  <si>
    <t>80</t>
  </si>
  <si>
    <t>24</t>
  </si>
  <si>
    <t>174</t>
  </si>
  <si>
    <t>12</t>
  </si>
  <si>
    <t>Pengadaan     Angkur
Fondasi</t>
  </si>
  <si>
    <t>Angkur    Baja    Full
Drat ASTM 307 Ø 10 mm panjang 35 cm</t>
  </si>
  <si>
    <t>30</t>
  </si>
  <si>
    <t>Angkur    Baja    Full
Drat ASTM 307 Ø 10 mm panjang 65 cm</t>
  </si>
  <si>
    <t>15</t>
  </si>
  <si>
    <r>
      <t xml:space="preserve">1    kg    Penulangan
</t>
    </r>
    <r>
      <rPr>
        <i/>
        <sz val="11"/>
        <color rgb="FF000000"/>
        <rFont val="Calibri"/>
        <family val="2"/>
        <scheme val="minor"/>
      </rPr>
      <t xml:space="preserve">Wiremesh </t>
    </r>
    <r>
      <rPr>
        <sz val="11"/>
        <color rgb="FF000000"/>
        <rFont val="Calibri"/>
        <family val="2"/>
        <scheme val="minor"/>
      </rPr>
      <t xml:space="preserve">M6 untuk </t>
    </r>
    <r>
      <rPr>
        <i/>
        <sz val="11"/>
        <color rgb="FF000000"/>
        <rFont val="Calibri"/>
        <family val="2"/>
        <scheme val="minor"/>
      </rPr>
      <t xml:space="preserve">slab  </t>
    </r>
    <r>
      <rPr>
        <sz val="11"/>
        <color rgb="FF000000"/>
        <rFont val="Calibri"/>
        <family val="2"/>
        <scheme val="minor"/>
      </rPr>
      <t xml:space="preserve">atau  dinding atau </t>
    </r>
    <r>
      <rPr>
        <i/>
        <sz val="11"/>
        <color rgb="FF000000"/>
        <rFont val="Calibri"/>
        <family val="2"/>
        <scheme val="minor"/>
      </rPr>
      <t xml:space="preserve">Ferrocement </t>
    </r>
    <r>
      <rPr>
        <sz val="11"/>
        <color rgb="FF000000"/>
        <rFont val="Calibri"/>
        <family val="2"/>
        <scheme val="minor"/>
      </rPr>
      <t>secara  manual (untuk bangunan gedung)</t>
    </r>
  </si>
  <si>
    <t>m2</t>
  </si>
  <si>
    <r>
      <t xml:space="preserve">1   m3     beton   mutu
sedang f'c 25 MPa, </t>
    </r>
    <r>
      <rPr>
        <i/>
        <sz val="11"/>
        <color rgb="FF000000"/>
        <rFont val="Calibri"/>
        <family val="2"/>
        <scheme val="minor"/>
      </rPr>
      <t xml:space="preserve">Slump  </t>
    </r>
    <r>
      <rPr>
        <sz val="11"/>
        <color rgb="FF000000"/>
        <rFont val="Calibri"/>
        <family val="2"/>
        <scheme val="minor"/>
      </rPr>
      <t>(100  ±     25) mm, agregat maks 19 mm secara semi mekanis</t>
    </r>
  </si>
  <si>
    <t>m3</t>
  </si>
  <si>
    <t>Penuangan/Menebar
Beton 1 m3  untuk Kolom Beton Pracetak</t>
  </si>
  <si>
    <r>
      <t xml:space="preserve">Strapping Band </t>
    </r>
    <r>
      <rPr>
        <sz val="11"/>
        <color rgb="FF000000"/>
        <rFont val="Calibri"/>
        <family val="2"/>
        <scheme val="minor"/>
      </rPr>
      <t>lebar
15 mm</t>
    </r>
  </si>
  <si>
    <r>
      <t xml:space="preserve">Pengadaan Pelat </t>
    </r>
    <r>
      <rPr>
        <i/>
        <sz val="11"/>
        <color rgb="FF000000"/>
        <rFont val="Calibri"/>
        <family val="2"/>
        <scheme val="minor"/>
      </rPr>
      <t>Strip</t>
    </r>
  </si>
  <si>
    <r>
      <t xml:space="preserve">Pelat </t>
    </r>
    <r>
      <rPr>
        <i/>
        <sz val="11"/>
        <color rgb="FF000000"/>
        <rFont val="Calibri"/>
        <family val="2"/>
        <scheme val="minor"/>
      </rPr>
      <t xml:space="preserve">Strip </t>
    </r>
    <r>
      <rPr>
        <sz val="11"/>
        <color rgb="FF000000"/>
        <rFont val="Calibri"/>
        <family val="2"/>
        <scheme val="minor"/>
      </rPr>
      <t>t=2,6 mm,
L=12 cm</t>
    </r>
  </si>
  <si>
    <r>
      <t xml:space="preserve">Pelat </t>
    </r>
    <r>
      <rPr>
        <i/>
        <sz val="11"/>
        <color rgb="FF000000"/>
        <rFont val="Calibri"/>
        <family val="2"/>
        <scheme val="minor"/>
      </rPr>
      <t xml:space="preserve">Strip </t>
    </r>
    <r>
      <rPr>
        <sz val="11"/>
        <color rgb="FF000000"/>
        <rFont val="Calibri"/>
        <family val="2"/>
        <scheme val="minor"/>
      </rPr>
      <t>t=2,6 mm,
L=14 cm</t>
    </r>
  </si>
  <si>
    <r>
      <t xml:space="preserve">Pelat </t>
    </r>
    <r>
      <rPr>
        <i/>
        <sz val="11"/>
        <color rgb="FF000000"/>
        <rFont val="Calibri"/>
        <family val="2"/>
        <scheme val="minor"/>
      </rPr>
      <t xml:space="preserve">Strip </t>
    </r>
    <r>
      <rPr>
        <sz val="11"/>
        <color rgb="FF000000"/>
        <rFont val="Calibri"/>
        <family val="2"/>
        <scheme val="minor"/>
      </rPr>
      <t>t=2,6 mm,
L=17 cm</t>
    </r>
  </si>
  <si>
    <r>
      <t xml:space="preserve">Pelat </t>
    </r>
    <r>
      <rPr>
        <i/>
        <sz val="11"/>
        <color rgb="FF000000"/>
        <rFont val="Calibri"/>
        <family val="2"/>
        <scheme val="minor"/>
      </rPr>
      <t xml:space="preserve">Strip </t>
    </r>
    <r>
      <rPr>
        <sz val="11"/>
        <color rgb="FF000000"/>
        <rFont val="Calibri"/>
        <family val="2"/>
        <scheme val="minor"/>
      </rPr>
      <t>t=2,6 mm,
L=34 cm</t>
    </r>
  </si>
  <si>
    <t>10.1.2 Pembuatan 1 buah Cetakan Panel P2 RISHA (Asumsi 400 kali pakai)</t>
  </si>
  <si>
    <t>10    SISTEM STRUKTUR RISHA</t>
  </si>
  <si>
    <t>10.1  Pekerjaan Produksi Panel RISHA</t>
  </si>
  <si>
    <t>10.1.1  Pembuatan 1 buah Cetakan Panel P1 RISHA (Asumsi 400 kali pakai)</t>
  </si>
  <si>
    <t>10.1.2  Pembuatan 1 buah Cetakan Panel P2 RISHA (Asumsi 400 kali pakai)</t>
  </si>
  <si>
    <t>10.1.3  Pembuatan 1 buah Cetakan Panel P3 RISHA (Asumsi 400 kali pakai)</t>
  </si>
  <si>
    <t>10.1.4  Pemasangan dan Membuka Cetakan 1 buah Komponen P1 RISHA</t>
  </si>
  <si>
    <t>10.1.5  Pemasangan dan Membuka Cetakan 1 buah Komponen P2 RISHA</t>
  </si>
  <si>
    <t>10.1.6  Pemasangan dan Membuka Cetakan 1 buah Komponen P3 RISHA</t>
  </si>
  <si>
    <t>10.1.7  Produksi 1 buah Panel P1</t>
  </si>
  <si>
    <t>10.1.8  Produksi 1 buah Panel P2</t>
  </si>
  <si>
    <t>10.1.9  Produksi 1 buah Panel P3</t>
  </si>
  <si>
    <t>10.2.1  Pengepakan 1 set Panel dan Aksesories RISHA T-36</t>
  </si>
  <si>
    <t>10.2.2  Pengiriman 1 set Panel dan Aksesoris RISHA T-36</t>
  </si>
  <si>
    <t>10.3  Pekerjaan Perakitan Panel RISHA</t>
  </si>
  <si>
    <t>10.3.1  Pekerjaan Perakitan Panel dan Alat Sambung Modul T36 RISHA</t>
  </si>
  <si>
    <t>10.3.2  Pekerjaan Perakitan Panel Modul T36 RISHA</t>
  </si>
  <si>
    <t>10.2   Pekerjaan  Pengepakkan  dan  Pengiriman  Panel  lengkap  dengan Aksesories RISHA</t>
  </si>
  <si>
    <t>HARGA SATUAN PEKERJAAN</t>
  </si>
  <si>
    <t>NO</t>
  </si>
  <si>
    <t>KODE ANALISA &amp; PEKERJAAN</t>
  </si>
  <si>
    <t>SATUAN</t>
  </si>
  <si>
    <t>HARGA SAT</t>
  </si>
  <si>
    <t>set</t>
  </si>
  <si>
    <t>NO.</t>
  </si>
  <si>
    <t>URAIAN</t>
  </si>
  <si>
    <t>KODE</t>
  </si>
  <si>
    <t>HARGA</t>
  </si>
  <si>
    <t>KET.</t>
  </si>
  <si>
    <t>A.</t>
  </si>
  <si>
    <t>B.</t>
  </si>
  <si>
    <t>Harga Satuan (Rp.)</t>
  </si>
  <si>
    <t>Jumlah Harga (Rp.)</t>
  </si>
  <si>
    <t>Jumlah Harga Alat</t>
  </si>
  <si>
    <t>Jumlah Harga Bahan</t>
  </si>
  <si>
    <t>Jumlah Harga Tenaga Kerja</t>
  </si>
  <si>
    <t>harga satuan dimasukkan harga satuan sesuai PEK DI KODE ANALISA</t>
  </si>
  <si>
    <t>5      PEKERJAAN SISTEM STRUKTUR RISHA</t>
  </si>
  <si>
    <t>DIBUAT BERDASARKAN SURAT EDARAN BINA KONSTRUKSI NO. 182 TAHUN 2025</t>
  </si>
  <si>
    <t xml:space="preserve">ANALISA HARGA SATUAN INI </t>
  </si>
  <si>
    <t>TERDIRI DARI HSP (HARGA SATUAN PEKERJAAN), AHS (ANALISA HARGA SATUAN), HSD (HARGA SATUAN DASAR) UPAH BAHAN ALAT</t>
  </si>
  <si>
    <t>Untuk pembuatan RAB harap diperhatikan penjumlahan dalam analisa karena bisa berubah setiap program excel sehingga mengakibatkan ketidak validan perhitungan</t>
  </si>
  <si>
    <t>BACA DULU :</t>
  </si>
  <si>
    <t>1. Program ini terdiri dari HSP (Harga Satuan Pekerjaan), AHS (Analisa harga satuan), HSD (Harga Satuan Dasar) Upah dan Bahan</t>
  </si>
  <si>
    <t>2. Cukup merubah harga HSD maka AHS dan HSP akan langsung berubah menyesuaikan</t>
  </si>
  <si>
    <t>3. AHS ini dibuat berdasarkan SE Bina Konstruksi No. 182 tahun 2025, sebagai update dari SE BK No. 30 Tahun 2025</t>
  </si>
  <si>
    <t>4. Untuk membuat RAB, cukup cari pekerjaan yang sesuai di HSP, lalu dari HSP cek AHS, dari AHS kemudian rubah harga bahan di HSD, otomatis AHS dan HSP akan berubah menyesuaikan, harga pada HSP bisa digunakan untuk RAB</t>
  </si>
  <si>
    <t>5. Harga default untuk Bahan dan alat adalah Rp.10.000 yang bisa diubah sesuai harga setempat</t>
  </si>
  <si>
    <t>AHS PEKERJAAN SISTIM STRUKTUR RISHA</t>
  </si>
  <si>
    <t>UPAH TENAGA KERJA, BAHAN DAN PERALATAN</t>
  </si>
  <si>
    <t>HARGA SATUAN DASAR STRUKTUR RISHA</t>
  </si>
</sst>
</file>

<file path=xl/styles.xml><?xml version="1.0" encoding="utf-8"?>
<styleSheet xmlns="http://schemas.openxmlformats.org/spreadsheetml/2006/main">
  <numFmts count="5">
    <numFmt numFmtId="42" formatCode="_(&quot;Rp&quot;* #,##0_);_(&quot;Rp&quot;* \(#,##0\);_(&quot;Rp&quot;* &quot;-&quot;_);_(@_)"/>
    <numFmt numFmtId="41" formatCode="_(* #,##0_);_(* \(#,##0\);_(* &quot;-&quot;_);_(@_)"/>
    <numFmt numFmtId="44" formatCode="_(&quot;Rp&quot;* #,##0.00_);_(&quot;Rp&quot;* \(#,##0.00\);_(&quot;Rp&quot;* &quot;-&quot;??_);_(@_)"/>
    <numFmt numFmtId="164" formatCode="_-&quot;Rp&quot;* #,##0.00_-;\-&quot;Rp&quot;* #,##0.00_-;_-&quot;Rp&quot;* &quot;-&quot;??_-;_-@_-"/>
    <numFmt numFmtId="165" formatCode="_(* #,##0.00_);_(* \(#,##0.00\);_(* &quot;-&quot;????_);_(@_)"/>
  </numFmts>
  <fonts count="22">
    <font>
      <sz val="11"/>
      <color rgb="FF000000"/>
      <name val="Calibri"/>
      <family val="2"/>
      <charset val="204"/>
    </font>
    <font>
      <sz val="11"/>
      <color theme="1"/>
      <name val="Calibri"/>
      <family val="2"/>
      <charset val="1"/>
      <scheme val="minor"/>
    </font>
    <font>
      <sz val="11"/>
      <color rgb="FF000000"/>
      <name val="Calibri"/>
      <family val="2"/>
      <scheme val="minor"/>
    </font>
    <font>
      <i/>
      <sz val="11"/>
      <color rgb="FF000000"/>
      <name val="Calibri"/>
      <family val="2"/>
      <scheme val="minor"/>
    </font>
    <font>
      <sz val="11"/>
      <color rgb="FF000000"/>
      <name val="Calibri"/>
      <family val="2"/>
    </font>
    <font>
      <b/>
      <sz val="16"/>
      <color theme="1"/>
      <name val="Calibri"/>
      <family val="2"/>
    </font>
    <font>
      <b/>
      <sz val="16"/>
      <color rgb="FF000000"/>
      <name val="Calibri"/>
      <family val="2"/>
    </font>
    <font>
      <b/>
      <sz val="11"/>
      <color rgb="FF000000"/>
      <name val="Calibri"/>
      <family val="2"/>
    </font>
    <font>
      <b/>
      <sz val="11"/>
      <color theme="1"/>
      <name val="Calibri"/>
      <family val="2"/>
    </font>
    <font>
      <b/>
      <sz val="14"/>
      <color rgb="FF000000"/>
      <name val="Calibri"/>
      <family val="2"/>
    </font>
    <font>
      <b/>
      <sz val="14"/>
      <color theme="1"/>
      <name val="Calibri"/>
      <family val="2"/>
    </font>
    <font>
      <sz val="11"/>
      <color theme="1"/>
      <name val="Calibri"/>
      <family val="2"/>
      <scheme val="minor"/>
    </font>
    <font>
      <sz val="11"/>
      <color theme="1"/>
      <name val="Calibri"/>
      <family val="2"/>
    </font>
    <font>
      <b/>
      <sz val="11"/>
      <color theme="1"/>
      <name val="Calibri"/>
      <family val="2"/>
      <scheme val="minor"/>
    </font>
    <font>
      <b/>
      <sz val="14"/>
      <color rgb="FF000000"/>
      <name val="Calibri"/>
      <family val="2"/>
      <scheme val="minor"/>
    </font>
    <font>
      <b/>
      <sz val="11"/>
      <color rgb="FF000000"/>
      <name val="Calibri"/>
      <family val="2"/>
      <scheme val="minor"/>
    </font>
    <font>
      <sz val="12"/>
      <color rgb="FF000000"/>
      <name val="Calibri"/>
      <family val="2"/>
      <charset val="204"/>
    </font>
    <font>
      <sz val="14"/>
      <color rgb="FF000000"/>
      <name val="Calibri"/>
      <family val="2"/>
      <charset val="204"/>
    </font>
    <font>
      <b/>
      <sz val="12"/>
      <color rgb="FF000000"/>
      <name val="Calibri"/>
      <family val="2"/>
    </font>
    <font>
      <sz val="10"/>
      <name val="Arial"/>
      <family val="2"/>
    </font>
    <font>
      <b/>
      <sz val="14"/>
      <color theme="1"/>
      <name val="Calibri"/>
      <family val="2"/>
      <scheme val="minor"/>
    </font>
    <font>
      <sz val="11"/>
      <name val="Arial"/>
      <family val="2"/>
    </font>
  </fonts>
  <fills count="5">
    <fill>
      <patternFill patternType="none"/>
    </fill>
    <fill>
      <patternFill patternType="gray125"/>
    </fill>
    <fill>
      <patternFill patternType="solid">
        <fgColor rgb="FFFFFF00"/>
        <bgColor indexed="64"/>
      </patternFill>
    </fill>
    <fill>
      <patternFill patternType="solid">
        <fgColor theme="0" tint="-0.14999847407452621"/>
        <bgColor rgb="FF92D050"/>
      </patternFill>
    </fill>
    <fill>
      <patternFill patternType="solid">
        <fgColor theme="0"/>
        <bgColor indexed="64"/>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auto="1"/>
      </left>
      <right style="thin">
        <color auto="1"/>
      </right>
      <top style="thin">
        <color auto="1"/>
      </top>
      <bottom style="thin">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auto="1"/>
      </left>
      <right style="thin">
        <color auto="1"/>
      </right>
      <top style="hair">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bottom/>
      <diagonal/>
    </border>
    <border>
      <left style="thin">
        <color rgb="FF000000"/>
      </left>
      <right/>
      <top style="thin">
        <color rgb="FF000000"/>
      </top>
      <bottom style="thin">
        <color rgb="FF000000"/>
      </bottom>
      <diagonal/>
    </border>
    <border>
      <left/>
      <right style="thin">
        <color auto="1"/>
      </right>
      <top style="thin">
        <color rgb="FF000000"/>
      </top>
      <bottom style="thin">
        <color rgb="FF000000"/>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style="hair">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rgb="FF000000"/>
      </left>
      <right style="thin">
        <color rgb="FF000000"/>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bottom/>
      <diagonal/>
    </border>
    <border>
      <left style="thin">
        <color rgb="FF000000"/>
      </left>
      <right style="thin">
        <color rgb="FF000000"/>
      </right>
      <top style="thin">
        <color rgb="FF000000"/>
      </top>
      <bottom/>
      <diagonal/>
    </border>
    <border>
      <left style="thin">
        <color indexed="64"/>
      </left>
      <right style="medium">
        <color indexed="64"/>
      </right>
      <top/>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s>
  <cellStyleXfs count="2">
    <xf numFmtId="0" fontId="0" fillId="0" borderId="0"/>
    <xf numFmtId="0" fontId="1" fillId="0" borderId="0"/>
  </cellStyleXfs>
  <cellXfs count="125">
    <xf numFmtId="0" fontId="0" fillId="0" borderId="0" xfId="0"/>
    <xf numFmtId="0" fontId="0" fillId="0" borderId="0" xfId="0" applyAlignment="1">
      <alignment horizontal="center"/>
    </xf>
    <xf numFmtId="0" fontId="2" fillId="0" borderId="0" xfId="0" applyFont="1"/>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3" fillId="0" borderId="1" xfId="0" applyFont="1" applyBorder="1" applyAlignment="1">
      <alignment horizontal="left" vertical="top" wrapText="1"/>
    </xf>
    <xf numFmtId="0" fontId="2" fillId="0" borderId="5" xfId="0" applyFont="1" applyBorder="1" applyAlignment="1">
      <alignment horizontal="center"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0" borderId="0" xfId="0" applyFont="1" applyAlignment="1">
      <alignment horizontal="center"/>
    </xf>
    <xf numFmtId="0" fontId="2" fillId="0" borderId="6" xfId="0" applyFont="1" applyBorder="1" applyAlignment="1">
      <alignment horizontal="center" vertical="top"/>
    </xf>
    <xf numFmtId="0" fontId="2" fillId="0" borderId="0" xfId="0" applyFont="1" applyBorder="1" applyAlignment="1">
      <alignment horizontal="center" vertical="top"/>
    </xf>
    <xf numFmtId="0" fontId="2" fillId="0" borderId="0" xfId="0" applyFont="1" applyBorder="1" applyAlignment="1">
      <alignment horizontal="left" vertical="top"/>
    </xf>
    <xf numFmtId="0" fontId="7" fillId="0" borderId="0" xfId="0" applyFont="1" applyAlignment="1">
      <alignment horizontal="center"/>
    </xf>
    <xf numFmtId="0" fontId="8" fillId="0" borderId="0" xfId="0" applyFont="1"/>
    <xf numFmtId="42" fontId="4" fillId="0" borderId="0" xfId="0" applyNumberFormat="1" applyFont="1"/>
    <xf numFmtId="0" fontId="7" fillId="0" borderId="8" xfId="0" applyFont="1" applyBorder="1" applyAlignment="1">
      <alignment horizontal="center"/>
    </xf>
    <xf numFmtId="0" fontId="8" fillId="0" borderId="8" xfId="0" applyFont="1" applyBorder="1"/>
    <xf numFmtId="42" fontId="4" fillId="0" borderId="8" xfId="0" applyNumberFormat="1" applyFont="1" applyBorder="1"/>
    <xf numFmtId="0" fontId="7" fillId="0" borderId="9" xfId="0" applyFont="1" applyBorder="1" applyAlignment="1">
      <alignment horizontal="center"/>
    </xf>
    <xf numFmtId="42" fontId="11" fillId="0" borderId="9" xfId="1" applyNumberFormat="1" applyFont="1" applyFill="1" applyBorder="1" applyAlignment="1">
      <alignment horizontal="center"/>
    </xf>
    <xf numFmtId="0" fontId="12" fillId="0" borderId="9" xfId="0" applyFont="1" applyBorder="1"/>
    <xf numFmtId="0" fontId="4" fillId="0" borderId="9" xfId="0" applyFont="1" applyBorder="1" applyAlignment="1">
      <alignment horizontal="center"/>
    </xf>
    <xf numFmtId="42" fontId="4" fillId="0" borderId="9" xfId="0" applyNumberFormat="1" applyFont="1" applyBorder="1"/>
    <xf numFmtId="0" fontId="0" fillId="0" borderId="11" xfId="0" applyBorder="1" applyAlignment="1">
      <alignment horizontal="center"/>
    </xf>
    <xf numFmtId="0" fontId="0" fillId="0" borderId="11" xfId="0" applyBorder="1"/>
    <xf numFmtId="42" fontId="4" fillId="0" borderId="11" xfId="0" applyNumberFormat="1" applyFont="1" applyBorder="1"/>
    <xf numFmtId="0" fontId="14" fillId="0" borderId="0" xfId="0" applyFont="1"/>
    <xf numFmtId="0" fontId="15" fillId="0" borderId="0" xfId="0" applyFont="1"/>
    <xf numFmtId="0" fontId="11" fillId="0" borderId="0" xfId="1" applyFont="1" applyFill="1" applyAlignment="1">
      <alignment horizontal="center"/>
    </xf>
    <xf numFmtId="0" fontId="11" fillId="0" borderId="0" xfId="1" applyFont="1" applyFill="1" applyAlignment="1"/>
    <xf numFmtId="0" fontId="11" fillId="0" borderId="16" xfId="1" applyFont="1" applyFill="1" applyBorder="1" applyAlignment="1">
      <alignment horizontal="center"/>
    </xf>
    <xf numFmtId="49" fontId="15" fillId="0" borderId="17" xfId="1" applyNumberFormat="1" applyFont="1" applyFill="1" applyBorder="1" applyAlignment="1"/>
    <xf numFmtId="49" fontId="15" fillId="0" borderId="18" xfId="1" applyNumberFormat="1" applyFont="1" applyFill="1" applyBorder="1" applyAlignment="1"/>
    <xf numFmtId="49" fontId="2" fillId="0" borderId="18" xfId="1" applyNumberFormat="1" applyFont="1" applyFill="1" applyBorder="1" applyAlignment="1">
      <alignment horizontal="center"/>
    </xf>
    <xf numFmtId="49" fontId="15" fillId="0" borderId="19" xfId="1" applyNumberFormat="1" applyFont="1" applyFill="1" applyBorder="1" applyAlignment="1"/>
    <xf numFmtId="0" fontId="11" fillId="0" borderId="20" xfId="1" applyFont="1" applyFill="1" applyBorder="1" applyAlignment="1">
      <alignment horizontal="center"/>
    </xf>
    <xf numFmtId="49" fontId="2" fillId="0" borderId="8" xfId="1" applyNumberFormat="1" applyFont="1" applyFill="1" applyBorder="1" applyAlignment="1"/>
    <xf numFmtId="164" fontId="2" fillId="2" borderId="8" xfId="1" applyNumberFormat="1" applyFont="1" applyFill="1" applyBorder="1" applyAlignment="1"/>
    <xf numFmtId="49" fontId="2" fillId="0" borderId="9" xfId="1" applyNumberFormat="1" applyFont="1" applyFill="1" applyBorder="1" applyAlignment="1"/>
    <xf numFmtId="164" fontId="2" fillId="2" borderId="9" xfId="1" applyNumberFormat="1" applyFont="1" applyFill="1" applyBorder="1" applyAlignment="1"/>
    <xf numFmtId="44" fontId="11" fillId="0" borderId="21" xfId="1" applyNumberFormat="1" applyFont="1" applyFill="1" applyBorder="1" applyAlignment="1"/>
    <xf numFmtId="0" fontId="2" fillId="0" borderId="9" xfId="0" applyFont="1" applyBorder="1" applyAlignment="1">
      <alignment horizontal="left" vertical="top"/>
    </xf>
    <xf numFmtId="0" fontId="4" fillId="0" borderId="9" xfId="0" applyFont="1" applyBorder="1" applyAlignment="1">
      <alignment horizontal="left" vertical="top"/>
    </xf>
    <xf numFmtId="0" fontId="11" fillId="0" borderId="22" xfId="1" applyFont="1" applyFill="1" applyBorder="1" applyAlignment="1">
      <alignment horizontal="center"/>
    </xf>
    <xf numFmtId="49" fontId="15" fillId="0" borderId="21" xfId="1" applyNumberFormat="1" applyFont="1" applyFill="1" applyBorder="1" applyAlignment="1"/>
    <xf numFmtId="49" fontId="15" fillId="0" borderId="7" xfId="1" applyNumberFormat="1" applyFont="1" applyFill="1" applyBorder="1" applyAlignment="1">
      <alignment horizontal="center" vertical="center" wrapText="1"/>
    </xf>
    <xf numFmtId="165" fontId="15" fillId="0" borderId="7" xfId="1" applyNumberFormat="1" applyFont="1" applyFill="1" applyBorder="1" applyAlignment="1">
      <alignment horizontal="center" vertical="center" wrapText="1"/>
    </xf>
    <xf numFmtId="165" fontId="13" fillId="0" borderId="7" xfId="1" applyNumberFormat="1" applyFont="1" applyFill="1" applyBorder="1"/>
    <xf numFmtId="0" fontId="4" fillId="0" borderId="1" xfId="0" applyFont="1" applyBorder="1" applyAlignment="1">
      <alignment horizontal="center" vertical="top"/>
    </xf>
    <xf numFmtId="165" fontId="11" fillId="0" borderId="7" xfId="1" applyNumberFormat="1" applyFont="1" applyFill="1" applyBorder="1"/>
    <xf numFmtId="9" fontId="4" fillId="0" borderId="1" xfId="0" applyNumberFormat="1" applyFont="1" applyBorder="1" applyAlignment="1">
      <alignment horizontal="right" vertical="top"/>
    </xf>
    <xf numFmtId="0" fontId="0" fillId="0" borderId="0" xfId="0" applyBorder="1"/>
    <xf numFmtId="0" fontId="0" fillId="0" borderId="23" xfId="0" applyBorder="1"/>
    <xf numFmtId="0" fontId="0" fillId="0" borderId="26" xfId="0" applyBorder="1"/>
    <xf numFmtId="0" fontId="2" fillId="0" borderId="27" xfId="0" applyFont="1" applyBorder="1" applyAlignment="1">
      <alignment horizontal="left" vertical="top"/>
    </xf>
    <xf numFmtId="0" fontId="4" fillId="0" borderId="28" xfId="0" applyFont="1" applyBorder="1" applyAlignment="1">
      <alignment horizontal="left" vertical="top"/>
    </xf>
    <xf numFmtId="0" fontId="2" fillId="0" borderId="27" xfId="0" applyFont="1" applyBorder="1" applyAlignment="1">
      <alignment horizontal="center" vertical="top"/>
    </xf>
    <xf numFmtId="164" fontId="2" fillId="2" borderId="28" xfId="1" applyNumberFormat="1" applyFont="1" applyFill="1" applyBorder="1" applyAlignment="1"/>
    <xf numFmtId="0" fontId="0" fillId="0" borderId="29" xfId="0" applyBorder="1"/>
    <xf numFmtId="0" fontId="11" fillId="0" borderId="30" xfId="1" applyFont="1" applyFill="1" applyBorder="1" applyAlignment="1">
      <alignment horizontal="center"/>
    </xf>
    <xf numFmtId="0" fontId="2" fillId="0" borderId="31" xfId="0" applyFont="1" applyBorder="1" applyAlignment="1">
      <alignment horizontal="left" vertical="top"/>
    </xf>
    <xf numFmtId="0" fontId="4" fillId="0" borderId="32" xfId="0" applyFont="1" applyBorder="1" applyAlignment="1">
      <alignment horizontal="left" vertical="top"/>
    </xf>
    <xf numFmtId="0" fontId="2" fillId="0" borderId="31" xfId="0" applyFont="1" applyBorder="1" applyAlignment="1">
      <alignment horizontal="center" vertical="top"/>
    </xf>
    <xf numFmtId="164" fontId="2" fillId="2" borderId="32" xfId="1" applyNumberFormat="1" applyFont="1" applyFill="1" applyBorder="1" applyAlignment="1"/>
    <xf numFmtId="49" fontId="15" fillId="0" borderId="33" xfId="1" applyNumberFormat="1" applyFont="1" applyFill="1" applyBorder="1" applyAlignment="1"/>
    <xf numFmtId="0" fontId="2" fillId="0" borderId="3" xfId="0" applyFont="1" applyBorder="1" applyAlignment="1">
      <alignment horizontal="left" vertical="top" wrapText="1"/>
    </xf>
    <xf numFmtId="0" fontId="2" fillId="0" borderId="3" xfId="0" applyFont="1" applyBorder="1" applyAlignment="1">
      <alignment horizontal="center" vertical="top" wrapText="1"/>
    </xf>
    <xf numFmtId="0" fontId="2" fillId="0" borderId="34" xfId="0" applyFont="1" applyBorder="1" applyAlignment="1">
      <alignment horizontal="left" vertical="top"/>
    </xf>
    <xf numFmtId="0" fontId="2" fillId="0" borderId="34" xfId="0" applyFont="1" applyBorder="1" applyAlignment="1">
      <alignment horizontal="center" vertical="top"/>
    </xf>
    <xf numFmtId="0" fontId="2" fillId="0" borderId="34" xfId="0" applyFont="1" applyBorder="1" applyAlignment="1">
      <alignment horizontal="left" vertical="top" wrapText="1"/>
    </xf>
    <xf numFmtId="0" fontId="2" fillId="0" borderId="34" xfId="0" applyFont="1" applyBorder="1" applyAlignment="1">
      <alignment horizontal="center" vertical="top" wrapText="1"/>
    </xf>
    <xf numFmtId="0" fontId="3" fillId="0" borderId="9" xfId="0" applyFont="1" applyBorder="1" applyAlignment="1">
      <alignment horizontal="left" vertical="top" wrapText="1"/>
    </xf>
    <xf numFmtId="0" fontId="2" fillId="0" borderId="9" xfId="0" applyFont="1" applyBorder="1" applyAlignment="1">
      <alignment horizontal="center" vertical="top" wrapText="1"/>
    </xf>
    <xf numFmtId="0" fontId="2" fillId="0" borderId="9" xfId="0" applyFont="1" applyBorder="1" applyAlignment="1">
      <alignment horizontal="left" vertical="top" wrapText="1"/>
    </xf>
    <xf numFmtId="0" fontId="0" fillId="0" borderId="35" xfId="0" applyBorder="1"/>
    <xf numFmtId="0" fontId="0" fillId="0" borderId="36" xfId="0" applyBorder="1"/>
    <xf numFmtId="0" fontId="11" fillId="0" borderId="37" xfId="1" applyFont="1" applyFill="1" applyBorder="1" applyAlignment="1">
      <alignment horizontal="center"/>
    </xf>
    <xf numFmtId="0" fontId="2" fillId="0" borderId="38" xfId="0" applyFont="1" applyBorder="1" applyAlignment="1">
      <alignment horizontal="left" vertical="top"/>
    </xf>
    <xf numFmtId="0" fontId="4" fillId="0" borderId="10" xfId="0" applyFont="1" applyBorder="1" applyAlignment="1">
      <alignment horizontal="left" vertical="top"/>
    </xf>
    <xf numFmtId="0" fontId="2" fillId="0" borderId="38" xfId="0" applyFont="1" applyBorder="1" applyAlignment="1">
      <alignment horizontal="center" vertical="top"/>
    </xf>
    <xf numFmtId="164" fontId="2" fillId="2" borderId="10" xfId="1" applyNumberFormat="1" applyFont="1" applyFill="1" applyBorder="1" applyAlignment="1"/>
    <xf numFmtId="44" fontId="11" fillId="0" borderId="39" xfId="1" applyNumberFormat="1" applyFont="1" applyFill="1" applyBorder="1" applyAlignment="1"/>
    <xf numFmtId="0" fontId="2" fillId="0" borderId="9" xfId="0" applyFont="1" applyBorder="1" applyAlignment="1">
      <alignment horizontal="center" vertical="top"/>
    </xf>
    <xf numFmtId="41" fontId="11" fillId="0" borderId="7" xfId="1" applyNumberFormat="1" applyFont="1" applyFill="1" applyBorder="1"/>
    <xf numFmtId="0" fontId="2" fillId="0" borderId="1" xfId="0" applyFont="1" applyBorder="1"/>
    <xf numFmtId="0" fontId="2" fillId="0" borderId="41" xfId="0" applyFont="1" applyBorder="1"/>
    <xf numFmtId="0" fontId="16" fillId="0" borderId="0" xfId="0" applyFont="1" applyBorder="1" applyAlignment="1">
      <alignment vertical="center" wrapText="1"/>
    </xf>
    <xf numFmtId="0" fontId="0" fillId="0" borderId="0" xfId="0" applyBorder="1" applyAlignment="1">
      <alignment vertical="top"/>
    </xf>
    <xf numFmtId="0" fontId="19" fillId="0" borderId="0" xfId="0" applyFont="1" applyBorder="1"/>
    <xf numFmtId="0" fontId="0" fillId="0" borderId="0" xfId="0" applyBorder="1" applyAlignment="1">
      <alignment horizontal="left" vertical="top" wrapText="1"/>
    </xf>
    <xf numFmtId="0" fontId="19" fillId="0" borderId="0" xfId="0" applyFont="1" applyBorder="1" applyAlignment="1">
      <alignment horizontal="left" vertical="top" wrapText="1"/>
    </xf>
    <xf numFmtId="0" fontId="6" fillId="0" borderId="0" xfId="0" applyFont="1" applyBorder="1" applyAlignment="1">
      <alignment horizontal="center"/>
    </xf>
    <xf numFmtId="0" fontId="16" fillId="0" borderId="0" xfId="0" applyFont="1" applyBorder="1" applyAlignment="1">
      <alignment horizontal="center"/>
    </xf>
    <xf numFmtId="0" fontId="17" fillId="0" borderId="0" xfId="0" applyFont="1" applyBorder="1" applyAlignment="1">
      <alignment horizontal="center"/>
    </xf>
    <xf numFmtId="0" fontId="17" fillId="0" borderId="0" xfId="0" applyFont="1" applyBorder="1" applyAlignment="1">
      <alignment horizontal="center" vertical="top" wrapText="1"/>
    </xf>
    <xf numFmtId="0" fontId="18" fillId="0" borderId="0" xfId="0" applyFont="1" applyBorder="1" applyAlignment="1">
      <alignment horizontal="center" vertical="top" wrapText="1"/>
    </xf>
    <xf numFmtId="0" fontId="5" fillId="0" borderId="0" xfId="0" applyFont="1" applyAlignment="1">
      <alignment horizontal="center"/>
    </xf>
    <xf numFmtId="0" fontId="6" fillId="0" borderId="0" xfId="0" applyFont="1" applyAlignment="1">
      <alignment horizontal="center"/>
    </xf>
    <xf numFmtId="0" fontId="0" fillId="0" borderId="40" xfId="0" applyBorder="1" applyAlignment="1">
      <alignment horizontal="left" wrapText="1"/>
    </xf>
    <xf numFmtId="0" fontId="0" fillId="0" borderId="0" xfId="0" applyAlignment="1">
      <alignment horizontal="left" wrapText="1"/>
    </xf>
    <xf numFmtId="0" fontId="7" fillId="0" borderId="2" xfId="0" applyFont="1" applyBorder="1" applyAlignment="1">
      <alignment horizontal="right" vertical="top"/>
    </xf>
    <xf numFmtId="0" fontId="7" fillId="0" borderId="3" xfId="0" applyFont="1" applyBorder="1" applyAlignment="1">
      <alignment horizontal="right" vertical="top"/>
    </xf>
    <xf numFmtId="0" fontId="4" fillId="0" borderId="1" xfId="0" applyFont="1" applyBorder="1" applyAlignment="1">
      <alignment horizontal="left" vertical="top"/>
    </xf>
    <xf numFmtId="0" fontId="7" fillId="0" borderId="24" xfId="0" applyFont="1" applyBorder="1" applyAlignment="1">
      <alignment horizontal="right" vertical="top"/>
    </xf>
    <xf numFmtId="0" fontId="7" fillId="0" borderId="4" xfId="0" applyFont="1" applyBorder="1" applyAlignment="1">
      <alignment horizontal="right" vertical="top"/>
    </xf>
    <xf numFmtId="0" fontId="7" fillId="0" borderId="25" xfId="0" applyFont="1" applyBorder="1" applyAlignment="1">
      <alignment horizontal="right" vertical="top"/>
    </xf>
    <xf numFmtId="0" fontId="9" fillId="3" borderId="7" xfId="0" applyFont="1" applyFill="1" applyBorder="1" applyAlignment="1">
      <alignment horizontal="center" vertical="center"/>
    </xf>
    <xf numFmtId="0" fontId="10" fillId="3" borderId="7" xfId="0" applyFont="1" applyFill="1" applyBorder="1" applyAlignment="1">
      <alignment horizontal="center" vertical="center"/>
    </xf>
    <xf numFmtId="42" fontId="9" fillId="3" borderId="7" xfId="0" applyNumberFormat="1" applyFont="1" applyFill="1" applyBorder="1" applyAlignment="1">
      <alignment horizontal="center" vertical="center"/>
    </xf>
    <xf numFmtId="0" fontId="11" fillId="4" borderId="12" xfId="1" applyFont="1" applyFill="1" applyBorder="1" applyAlignment="1">
      <alignment horizontal="center" vertical="center"/>
    </xf>
    <xf numFmtId="0" fontId="13" fillId="4" borderId="13" xfId="1" applyFont="1" applyFill="1" applyBorder="1" applyAlignment="1">
      <alignment horizontal="center" vertical="center"/>
    </xf>
    <xf numFmtId="0" fontId="11" fillId="4" borderId="13" xfId="1" applyFont="1" applyFill="1" applyBorder="1" applyAlignment="1">
      <alignment horizontal="center" vertical="center"/>
    </xf>
    <xf numFmtId="0" fontId="13" fillId="4" borderId="14" xfId="1" applyFont="1" applyFill="1" applyBorder="1" applyAlignment="1">
      <alignment horizontal="center" vertical="center"/>
    </xf>
    <xf numFmtId="0" fontId="13" fillId="4" borderId="15" xfId="1" applyFont="1" applyFill="1" applyBorder="1" applyAlignment="1">
      <alignment horizontal="center" vertical="center"/>
    </xf>
    <xf numFmtId="0" fontId="11" fillId="0" borderId="8" xfId="1" applyFont="1" applyFill="1" applyBorder="1" applyAlignment="1">
      <alignment horizontal="center"/>
    </xf>
    <xf numFmtId="164" fontId="11" fillId="0" borderId="42" xfId="1" applyNumberFormat="1" applyFont="1" applyFill="1" applyBorder="1" applyAlignment="1"/>
    <xf numFmtId="44" fontId="11" fillId="0" borderId="43" xfId="1" applyNumberFormat="1" applyFont="1" applyFill="1" applyBorder="1" applyAlignment="1"/>
    <xf numFmtId="0" fontId="20" fillId="0" borderId="0" xfId="1" applyFont="1" applyFill="1" applyAlignment="1">
      <alignment horizontal="center"/>
    </xf>
    <xf numFmtId="0" fontId="21" fillId="0" borderId="0" xfId="0" applyFont="1"/>
    <xf numFmtId="0" fontId="14" fillId="0" borderId="9" xfId="0" applyFont="1" applyBorder="1"/>
    <xf numFmtId="0" fontId="15" fillId="0" borderId="9" xfId="0" applyFont="1" applyBorder="1"/>
    <xf numFmtId="0" fontId="2" fillId="0" borderId="9" xfId="0" applyFont="1" applyBorder="1"/>
  </cellXfs>
  <cellStyles count="2">
    <cellStyle name="Normal" xfId="0" builtinId="0"/>
    <cellStyle name="Normal 3"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K16"/>
  <sheetViews>
    <sheetView view="pageBreakPreview" zoomScale="60" workbookViewId="0">
      <selection activeCell="J31" sqref="J31"/>
    </sheetView>
  </sheetViews>
  <sheetFormatPr defaultRowHeight="15"/>
  <cols>
    <col min="1" max="1" width="9.140625" style="54"/>
    <col min="2" max="2" width="5" style="54" customWidth="1"/>
    <col min="3" max="9" width="9.140625" style="54"/>
    <col min="10" max="10" width="25.7109375" style="54" customWidth="1"/>
    <col min="11" max="11" width="2.7109375" style="54" customWidth="1"/>
  </cols>
  <sheetData>
    <row r="1" spans="1:11" ht="21">
      <c r="A1" s="94" t="s">
        <v>187</v>
      </c>
      <c r="B1" s="94"/>
      <c r="C1" s="94"/>
      <c r="D1" s="94"/>
      <c r="E1" s="94"/>
      <c r="F1" s="94"/>
      <c r="G1" s="94"/>
      <c r="H1" s="94"/>
      <c r="I1" s="94"/>
      <c r="J1" s="94"/>
      <c r="K1" s="94"/>
    </row>
    <row r="2" spans="1:11" ht="21">
      <c r="A2" s="94" t="s">
        <v>177</v>
      </c>
      <c r="B2" s="94"/>
      <c r="C2" s="94"/>
      <c r="D2" s="94"/>
      <c r="E2" s="94"/>
      <c r="F2" s="94"/>
      <c r="G2" s="94"/>
      <c r="H2" s="94"/>
      <c r="I2" s="94"/>
      <c r="J2" s="94"/>
      <c r="K2" s="94"/>
    </row>
    <row r="4" spans="1:11" ht="15.75">
      <c r="A4" s="95"/>
      <c r="B4" s="95"/>
      <c r="C4" s="95"/>
      <c r="D4" s="95"/>
      <c r="E4" s="95"/>
      <c r="F4" s="95"/>
      <c r="G4" s="95"/>
      <c r="H4" s="95"/>
      <c r="I4" s="95"/>
      <c r="J4" s="95"/>
      <c r="K4" s="95"/>
    </row>
    <row r="5" spans="1:11" ht="18.75">
      <c r="A5" s="96" t="s">
        <v>178</v>
      </c>
      <c r="B5" s="96"/>
      <c r="C5" s="96"/>
      <c r="D5" s="96"/>
      <c r="E5" s="96"/>
      <c r="F5" s="96"/>
      <c r="G5" s="96"/>
      <c r="H5" s="96"/>
      <c r="I5" s="96"/>
      <c r="J5" s="96"/>
      <c r="K5" s="96"/>
    </row>
    <row r="6" spans="1:11" ht="18.75">
      <c r="A6" s="97" t="s">
        <v>179</v>
      </c>
      <c r="B6" s="97"/>
      <c r="C6" s="97"/>
      <c r="D6" s="97"/>
      <c r="E6" s="97"/>
      <c r="F6" s="97"/>
      <c r="G6" s="97"/>
      <c r="H6" s="97"/>
      <c r="I6" s="97"/>
      <c r="J6" s="97"/>
      <c r="K6" s="89"/>
    </row>
    <row r="8" spans="1:11" ht="15.75">
      <c r="A8" s="98" t="s">
        <v>180</v>
      </c>
      <c r="B8" s="98"/>
      <c r="C8" s="98"/>
      <c r="D8" s="98"/>
      <c r="E8" s="98"/>
      <c r="F8" s="98"/>
      <c r="G8" s="98"/>
      <c r="H8" s="98"/>
      <c r="I8" s="98"/>
      <c r="J8" s="98"/>
      <c r="K8" s="98"/>
    </row>
    <row r="11" spans="1:11">
      <c r="B11" s="54" t="s">
        <v>181</v>
      </c>
    </row>
    <row r="12" spans="1:11">
      <c r="B12" s="92" t="s">
        <v>182</v>
      </c>
      <c r="C12" s="92"/>
      <c r="D12" s="92"/>
      <c r="E12" s="92"/>
      <c r="F12" s="92"/>
      <c r="G12" s="92"/>
      <c r="H12" s="92"/>
      <c r="I12" s="92"/>
      <c r="J12" s="92"/>
      <c r="K12" s="92"/>
    </row>
    <row r="13" spans="1:11">
      <c r="B13" s="54" t="s">
        <v>183</v>
      </c>
    </row>
    <row r="14" spans="1:11">
      <c r="B14" s="93" t="s">
        <v>184</v>
      </c>
      <c r="C14" s="93"/>
      <c r="D14" s="93"/>
      <c r="E14" s="93"/>
      <c r="F14" s="93"/>
      <c r="G14" s="93"/>
      <c r="H14" s="93"/>
      <c r="I14" s="93"/>
      <c r="J14" s="93"/>
    </row>
    <row r="15" spans="1:11">
      <c r="A15" s="90"/>
      <c r="B15" s="92" t="s">
        <v>185</v>
      </c>
      <c r="C15" s="92"/>
      <c r="D15" s="92"/>
      <c r="E15" s="92"/>
      <c r="F15" s="92"/>
      <c r="G15" s="92"/>
      <c r="H15" s="92"/>
      <c r="I15" s="92"/>
      <c r="J15" s="92"/>
      <c r="K15" s="92"/>
    </row>
    <row r="16" spans="1:11">
      <c r="B16" s="91" t="s">
        <v>186</v>
      </c>
    </row>
  </sheetData>
  <mergeCells count="9">
    <mergeCell ref="B12:K12"/>
    <mergeCell ref="B14:J14"/>
    <mergeCell ref="B15:K15"/>
    <mergeCell ref="A1:K1"/>
    <mergeCell ref="A2:K2"/>
    <mergeCell ref="A4:K4"/>
    <mergeCell ref="A5:K5"/>
    <mergeCell ref="A6:J6"/>
    <mergeCell ref="A8:K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D26"/>
  <sheetViews>
    <sheetView tabSelected="1" view="pageBreakPreview" zoomScale="60" workbookViewId="0">
      <selection activeCell="F37" sqref="F37"/>
    </sheetView>
  </sheetViews>
  <sheetFormatPr defaultRowHeight="15"/>
  <cols>
    <col min="1" max="1" width="9.140625" style="1"/>
    <col min="2" max="2" width="90.85546875" customWidth="1"/>
    <col min="3" max="3" width="12" style="1" customWidth="1"/>
    <col min="4" max="4" width="18.28515625" style="17" customWidth="1"/>
  </cols>
  <sheetData>
    <row r="1" spans="1:4" ht="21">
      <c r="A1" s="99" t="s">
        <v>176</v>
      </c>
      <c r="B1" s="99"/>
      <c r="C1" s="99"/>
      <c r="D1" s="99"/>
    </row>
    <row r="2" spans="1:4" ht="21">
      <c r="A2" s="100" t="s">
        <v>157</v>
      </c>
      <c r="B2" s="100"/>
      <c r="C2" s="100"/>
      <c r="D2" s="100"/>
    </row>
    <row r="3" spans="1:4">
      <c r="A3" s="15"/>
      <c r="B3" s="16"/>
      <c r="C3" s="15"/>
    </row>
    <row r="4" spans="1:4" ht="18.75">
      <c r="A4" s="109" t="s">
        <v>158</v>
      </c>
      <c r="B4" s="110" t="s">
        <v>159</v>
      </c>
      <c r="C4" s="109" t="s">
        <v>160</v>
      </c>
      <c r="D4" s="111" t="s">
        <v>161</v>
      </c>
    </row>
    <row r="5" spans="1:4">
      <c r="A5" s="18"/>
      <c r="B5" s="19"/>
      <c r="C5" s="18"/>
      <c r="D5" s="20"/>
    </row>
    <row r="6" spans="1:4" ht="18.75">
      <c r="A6" s="21">
        <v>1</v>
      </c>
      <c r="B6" s="122" t="s">
        <v>140</v>
      </c>
      <c r="C6" s="21"/>
      <c r="D6" s="25"/>
    </row>
    <row r="7" spans="1:4">
      <c r="A7" s="21">
        <v>2</v>
      </c>
      <c r="B7" s="123" t="s">
        <v>141</v>
      </c>
      <c r="C7" s="21"/>
      <c r="D7" s="22"/>
    </row>
    <row r="8" spans="1:4">
      <c r="A8" s="21">
        <v>3</v>
      </c>
      <c r="B8" s="124" t="s">
        <v>142</v>
      </c>
      <c r="C8" s="24" t="s">
        <v>55</v>
      </c>
      <c r="D8" s="22">
        <f>AHS!G20</f>
        <v>621879</v>
      </c>
    </row>
    <row r="9" spans="1:4">
      <c r="A9" s="21">
        <v>4</v>
      </c>
      <c r="B9" s="124" t="s">
        <v>143</v>
      </c>
      <c r="C9" s="24" t="s">
        <v>55</v>
      </c>
      <c r="D9" s="25">
        <f>AHS!G39</f>
        <v>547991</v>
      </c>
    </row>
    <row r="10" spans="1:4">
      <c r="A10" s="21">
        <v>5</v>
      </c>
      <c r="B10" s="124" t="s">
        <v>144</v>
      </c>
      <c r="C10" s="24" t="s">
        <v>55</v>
      </c>
      <c r="D10" s="25">
        <f>AHS!G58</f>
        <v>300968</v>
      </c>
    </row>
    <row r="11" spans="1:4">
      <c r="A11" s="21">
        <v>6</v>
      </c>
      <c r="B11" s="124" t="s">
        <v>145</v>
      </c>
      <c r="C11" s="24" t="s">
        <v>55</v>
      </c>
      <c r="D11" s="25">
        <f>AHS!G74</f>
        <v>1892</v>
      </c>
    </row>
    <row r="12" spans="1:4">
      <c r="A12" s="21">
        <v>7</v>
      </c>
      <c r="B12" s="124" t="s">
        <v>146</v>
      </c>
      <c r="C12" s="24" t="s">
        <v>55</v>
      </c>
      <c r="D12" s="25">
        <f>AHS!G90</f>
        <v>1628</v>
      </c>
    </row>
    <row r="13" spans="1:4">
      <c r="A13" s="21">
        <v>8</v>
      </c>
      <c r="B13" s="124" t="s">
        <v>147</v>
      </c>
      <c r="C13" s="24" t="s">
        <v>55</v>
      </c>
      <c r="D13" s="25">
        <f>AHS!G106</f>
        <v>1430</v>
      </c>
    </row>
    <row r="14" spans="1:4">
      <c r="A14" s="21">
        <v>9</v>
      </c>
      <c r="B14" s="124" t="s">
        <v>148</v>
      </c>
      <c r="C14" s="24" t="s">
        <v>55</v>
      </c>
      <c r="D14" s="25">
        <f>AHS!G124</f>
        <v>0</v>
      </c>
    </row>
    <row r="15" spans="1:4">
      <c r="A15" s="21">
        <v>10</v>
      </c>
      <c r="B15" s="124" t="s">
        <v>149</v>
      </c>
      <c r="C15" s="24" t="s">
        <v>55</v>
      </c>
      <c r="D15" s="25">
        <f>AHS!G142</f>
        <v>0</v>
      </c>
    </row>
    <row r="16" spans="1:4">
      <c r="A16" s="21">
        <v>11</v>
      </c>
      <c r="B16" s="124" t="s">
        <v>150</v>
      </c>
      <c r="C16" s="24" t="s">
        <v>55</v>
      </c>
      <c r="D16" s="25">
        <f>AHS!G159</f>
        <v>0</v>
      </c>
    </row>
    <row r="17" spans="1:4">
      <c r="A17" s="21"/>
      <c r="B17" s="124"/>
      <c r="C17" s="24"/>
      <c r="D17" s="25"/>
    </row>
    <row r="18" spans="1:4">
      <c r="A18" s="21">
        <v>10</v>
      </c>
      <c r="B18" s="123" t="s">
        <v>156</v>
      </c>
      <c r="C18" s="24"/>
      <c r="D18" s="25"/>
    </row>
    <row r="19" spans="1:4">
      <c r="A19" s="21">
        <v>11</v>
      </c>
      <c r="B19" s="124" t="s">
        <v>151</v>
      </c>
      <c r="C19" s="24" t="s">
        <v>162</v>
      </c>
      <c r="D19" s="25">
        <f>AHS!G179</f>
        <v>686913</v>
      </c>
    </row>
    <row r="20" spans="1:4">
      <c r="A20" s="21">
        <v>12</v>
      </c>
      <c r="B20" s="124" t="s">
        <v>152</v>
      </c>
      <c r="C20" s="24" t="s">
        <v>162</v>
      </c>
      <c r="D20" s="25">
        <f>AHS!G194</f>
        <v>1518000</v>
      </c>
    </row>
    <row r="21" spans="1:4">
      <c r="A21" s="21"/>
      <c r="B21" s="124"/>
      <c r="C21" s="24"/>
      <c r="D21" s="25"/>
    </row>
    <row r="22" spans="1:4">
      <c r="A22" s="21">
        <v>13</v>
      </c>
      <c r="B22" s="123" t="s">
        <v>153</v>
      </c>
      <c r="C22" s="24"/>
      <c r="D22" s="25"/>
    </row>
    <row r="23" spans="1:4">
      <c r="A23" s="21">
        <v>14</v>
      </c>
      <c r="B23" s="124" t="s">
        <v>154</v>
      </c>
      <c r="C23" s="24" t="s">
        <v>86</v>
      </c>
      <c r="D23" s="25">
        <f>AHS!G224</f>
        <v>16766640</v>
      </c>
    </row>
    <row r="24" spans="1:4">
      <c r="A24" s="21">
        <v>15</v>
      </c>
      <c r="B24" s="124" t="s">
        <v>155</v>
      </c>
      <c r="C24" s="24" t="s">
        <v>86</v>
      </c>
      <c r="D24" s="25">
        <f>AHS!G240</f>
        <v>112640</v>
      </c>
    </row>
    <row r="25" spans="1:4">
      <c r="A25" s="21"/>
      <c r="B25" s="23"/>
      <c r="C25" s="24"/>
      <c r="D25" s="25"/>
    </row>
    <row r="26" spans="1:4">
      <c r="A26" s="26"/>
      <c r="B26" s="27"/>
      <c r="C26" s="26"/>
      <c r="D26" s="28"/>
    </row>
  </sheetData>
  <mergeCells count="2">
    <mergeCell ref="A1:D1"/>
    <mergeCell ref="A2:D2"/>
  </mergeCells>
  <pageMargins left="0.7" right="0.7" top="0.75" bottom="0.75" header="0.3" footer="0.3"/>
  <pageSetup paperSize="9" scale="69" orientation="portrait" r:id="rId1"/>
</worksheet>
</file>

<file path=xl/worksheets/sheet3.xml><?xml version="1.0" encoding="utf-8"?>
<worksheet xmlns="http://schemas.openxmlformats.org/spreadsheetml/2006/main" xmlns:r="http://schemas.openxmlformats.org/officeDocument/2006/relationships">
  <dimension ref="A1:J240"/>
  <sheetViews>
    <sheetView view="pageBreakPreview" topLeftCell="A111" zoomScale="82" zoomScaleSheetLayoutView="82" workbookViewId="0">
      <selection activeCell="L114" sqref="L114"/>
    </sheetView>
  </sheetViews>
  <sheetFormatPr defaultRowHeight="15"/>
  <cols>
    <col min="1" max="1" width="5.5703125" style="2" customWidth="1"/>
    <col min="2" max="2" width="29.85546875" style="2" customWidth="1"/>
    <col min="3" max="3" width="12.5703125" style="11" customWidth="1"/>
    <col min="4" max="4" width="10.42578125" style="11" customWidth="1"/>
    <col min="5" max="5" width="14.28515625" style="11" customWidth="1"/>
    <col min="6" max="6" width="13.28515625" style="2" customWidth="1"/>
    <col min="7" max="7" width="17.28515625" style="2" customWidth="1"/>
  </cols>
  <sheetData>
    <row r="1" spans="1:7" ht="18.75">
      <c r="A1" s="29" t="s">
        <v>68</v>
      </c>
    </row>
    <row r="2" spans="1:7">
      <c r="A2" s="30" t="s">
        <v>69</v>
      </c>
    </row>
    <row r="3" spans="1:7">
      <c r="A3" s="2" t="s">
        <v>70</v>
      </c>
    </row>
    <row r="4" spans="1:7" ht="30">
      <c r="A4" s="48" t="s">
        <v>71</v>
      </c>
      <c r="B4" s="48" t="s">
        <v>72</v>
      </c>
      <c r="C4" s="48" t="s">
        <v>73</v>
      </c>
      <c r="D4" s="48" t="s">
        <v>74</v>
      </c>
      <c r="E4" s="48" t="s">
        <v>75</v>
      </c>
      <c r="F4" s="48" t="s">
        <v>170</v>
      </c>
      <c r="G4" s="49" t="s">
        <v>171</v>
      </c>
    </row>
    <row r="5" spans="1:7">
      <c r="A5" s="6" t="s">
        <v>0</v>
      </c>
      <c r="B5" s="3" t="s">
        <v>1</v>
      </c>
      <c r="C5" s="6"/>
      <c r="D5" s="6"/>
      <c r="E5" s="6"/>
      <c r="F5" s="3"/>
      <c r="G5" s="3"/>
    </row>
    <row r="6" spans="1:7">
      <c r="A6" s="6">
        <v>1</v>
      </c>
      <c r="B6" s="3" t="s">
        <v>2</v>
      </c>
      <c r="C6" s="6" t="s">
        <v>3</v>
      </c>
      <c r="D6" s="6" t="s">
        <v>4</v>
      </c>
      <c r="E6" s="6" t="s">
        <v>5</v>
      </c>
      <c r="F6" s="86">
        <f>VLOOKUP(B6,'UPAH,BHN,ALAT'!$B$6:E239,4,FALSE)</f>
        <v>10000</v>
      </c>
      <c r="G6" s="52">
        <f t="shared" ref="G6:G9" si="0">E6*F6</f>
        <v>30959</v>
      </c>
    </row>
    <row r="7" spans="1:7" ht="30">
      <c r="A7" s="6">
        <v>2</v>
      </c>
      <c r="B7" s="72" t="s">
        <v>76</v>
      </c>
      <c r="C7" s="6" t="s">
        <v>6</v>
      </c>
      <c r="D7" s="6" t="s">
        <v>4</v>
      </c>
      <c r="E7" s="6" t="s">
        <v>7</v>
      </c>
      <c r="F7" s="86">
        <f>VLOOKUP(B7,'UPAH,BHN,ALAT'!$B$6:E240,4,FALSE)</f>
        <v>10000</v>
      </c>
      <c r="G7" s="52">
        <f t="shared" si="0"/>
        <v>15479</v>
      </c>
    </row>
    <row r="8" spans="1:7">
      <c r="A8" s="6">
        <v>3</v>
      </c>
      <c r="B8" s="3" t="s">
        <v>8</v>
      </c>
      <c r="C8" s="6" t="s">
        <v>9</v>
      </c>
      <c r="D8" s="6" t="s">
        <v>4</v>
      </c>
      <c r="E8" s="6" t="s">
        <v>10</v>
      </c>
      <c r="F8" s="86">
        <f>VLOOKUP(B8,'UPAH,BHN,ALAT'!$B$6:E241,4,FALSE)</f>
        <v>10000</v>
      </c>
      <c r="G8" s="52">
        <f t="shared" si="0"/>
        <v>1548</v>
      </c>
    </row>
    <row r="9" spans="1:7">
      <c r="A9" s="6">
        <v>4</v>
      </c>
      <c r="B9" s="3" t="s">
        <v>11</v>
      </c>
      <c r="C9" s="6" t="s">
        <v>12</v>
      </c>
      <c r="D9" s="6" t="s">
        <v>4</v>
      </c>
      <c r="E9" s="6" t="s">
        <v>13</v>
      </c>
      <c r="F9" s="86">
        <f>VLOOKUP(B9,'UPAH,BHN,ALAT'!$B$6:E242,4,FALSE)</f>
        <v>10000</v>
      </c>
      <c r="G9" s="52">
        <f t="shared" si="0"/>
        <v>516</v>
      </c>
    </row>
    <row r="10" spans="1:7">
      <c r="A10" s="103" t="s">
        <v>174</v>
      </c>
      <c r="B10" s="103"/>
      <c r="C10" s="103"/>
      <c r="D10" s="103"/>
      <c r="E10" s="103"/>
      <c r="F10" s="103"/>
      <c r="G10" s="50">
        <f>SUM(G6:G9)</f>
        <v>48502</v>
      </c>
    </row>
    <row r="11" spans="1:7">
      <c r="A11" s="6" t="s">
        <v>14</v>
      </c>
      <c r="B11" s="3" t="s">
        <v>15</v>
      </c>
      <c r="C11" s="6"/>
      <c r="D11" s="6"/>
      <c r="E11" s="6"/>
      <c r="F11" s="3"/>
      <c r="G11" s="3"/>
    </row>
    <row r="12" spans="1:7">
      <c r="A12" s="6">
        <v>1</v>
      </c>
      <c r="B12" s="3" t="s">
        <v>16</v>
      </c>
      <c r="C12" s="6"/>
      <c r="D12" s="6" t="s">
        <v>17</v>
      </c>
      <c r="E12" s="6" t="s">
        <v>18</v>
      </c>
      <c r="F12" s="86">
        <f>VLOOKUP(B12,'UPAH,BHN,ALAT'!$B$6:E245,4,FALSE)</f>
        <v>10000</v>
      </c>
      <c r="G12" s="52">
        <f t="shared" ref="G12:G13" si="1">E12*F12</f>
        <v>515980</v>
      </c>
    </row>
    <row r="13" spans="1:7">
      <c r="A13" s="6">
        <v>2</v>
      </c>
      <c r="B13" s="3" t="s">
        <v>19</v>
      </c>
      <c r="C13" s="6"/>
      <c r="D13" s="6" t="s">
        <v>17</v>
      </c>
      <c r="E13" s="6" t="s">
        <v>20</v>
      </c>
      <c r="F13" s="86">
        <f>VLOOKUP(B13,'UPAH,BHN,ALAT'!$B$6:E246,4,FALSE)</f>
        <v>10000</v>
      </c>
      <c r="G13" s="52">
        <f t="shared" si="1"/>
        <v>530</v>
      </c>
    </row>
    <row r="14" spans="1:7">
      <c r="A14" s="103" t="s">
        <v>173</v>
      </c>
      <c r="B14" s="103"/>
      <c r="C14" s="103"/>
      <c r="D14" s="103"/>
      <c r="E14" s="103"/>
      <c r="F14" s="103"/>
      <c r="G14" s="50">
        <f>SUM(G11:G13)</f>
        <v>516510</v>
      </c>
    </row>
    <row r="15" spans="1:7">
      <c r="A15" s="6" t="s">
        <v>21</v>
      </c>
      <c r="B15" s="3" t="s">
        <v>22</v>
      </c>
      <c r="C15" s="6"/>
      <c r="D15" s="6"/>
      <c r="E15" s="6"/>
      <c r="F15" s="3"/>
      <c r="G15" s="3"/>
    </row>
    <row r="16" spans="1:7">
      <c r="A16" s="6">
        <v>1</v>
      </c>
      <c r="B16" s="3" t="s">
        <v>23</v>
      </c>
      <c r="C16" s="6"/>
      <c r="D16" s="6" t="s">
        <v>24</v>
      </c>
      <c r="E16" s="6" t="s">
        <v>25</v>
      </c>
      <c r="F16" s="86">
        <f>VLOOKUP(B16,'UPAH,BHN,ALAT'!$B$6:E249,4,FALSE)</f>
        <v>10000</v>
      </c>
      <c r="G16" s="52">
        <f t="shared" ref="G16" si="2">E16*F16</f>
        <v>333.00000000000006</v>
      </c>
    </row>
    <row r="17" spans="1:7">
      <c r="A17" s="104" t="s">
        <v>172</v>
      </c>
      <c r="B17" s="104"/>
      <c r="C17" s="104"/>
      <c r="D17" s="104"/>
      <c r="E17" s="104"/>
      <c r="F17" s="104"/>
      <c r="G17" s="50">
        <f>SUM(G16)</f>
        <v>333.00000000000006</v>
      </c>
    </row>
    <row r="18" spans="1:7">
      <c r="A18" s="51" t="s">
        <v>26</v>
      </c>
      <c r="B18" s="105" t="s">
        <v>27</v>
      </c>
      <c r="C18" s="105"/>
      <c r="D18" s="105"/>
      <c r="E18" s="105"/>
      <c r="F18" s="105"/>
      <c r="G18" s="52">
        <f>SUM(G5:G17)/2</f>
        <v>565345</v>
      </c>
    </row>
    <row r="19" spans="1:7">
      <c r="A19" s="51" t="s">
        <v>28</v>
      </c>
      <c r="B19" s="105" t="s">
        <v>29</v>
      </c>
      <c r="C19" s="105"/>
      <c r="D19" s="105"/>
      <c r="E19" s="105"/>
      <c r="F19" s="53">
        <v>0.1</v>
      </c>
      <c r="G19" s="52">
        <f>G18*F19</f>
        <v>56534.5</v>
      </c>
    </row>
    <row r="20" spans="1:7">
      <c r="A20" s="51" t="s">
        <v>30</v>
      </c>
      <c r="B20" s="105" t="s">
        <v>31</v>
      </c>
      <c r="C20" s="105"/>
      <c r="D20" s="105"/>
      <c r="E20" s="105"/>
      <c r="F20" s="105"/>
      <c r="G20" s="52">
        <f>ROUNDDOWN(G18+G19,0)</f>
        <v>621879</v>
      </c>
    </row>
    <row r="21" spans="1:7">
      <c r="A21" s="8"/>
      <c r="B21" s="9"/>
      <c r="C21" s="8"/>
      <c r="D21" s="8"/>
      <c r="E21" s="8"/>
      <c r="F21" s="9"/>
      <c r="G21" s="9"/>
    </row>
    <row r="22" spans="1:7">
      <c r="A22" s="10" t="s">
        <v>139</v>
      </c>
      <c r="B22" s="10"/>
      <c r="C22" s="12"/>
      <c r="D22" s="12"/>
      <c r="E22" s="12"/>
      <c r="F22" s="10"/>
      <c r="G22" s="10"/>
    </row>
    <row r="23" spans="1:7" ht="30">
      <c r="A23" s="48" t="s">
        <v>71</v>
      </c>
      <c r="B23" s="48" t="s">
        <v>72</v>
      </c>
      <c r="C23" s="48" t="s">
        <v>73</v>
      </c>
      <c r="D23" s="48" t="s">
        <v>74</v>
      </c>
      <c r="E23" s="48" t="s">
        <v>75</v>
      </c>
      <c r="F23" s="48" t="s">
        <v>170</v>
      </c>
      <c r="G23" s="49" t="s">
        <v>171</v>
      </c>
    </row>
    <row r="24" spans="1:7">
      <c r="A24" s="6" t="s">
        <v>0</v>
      </c>
      <c r="B24" s="3" t="s">
        <v>1</v>
      </c>
      <c r="C24" s="6"/>
      <c r="D24" s="6"/>
      <c r="E24" s="6"/>
      <c r="F24" s="3"/>
      <c r="G24" s="3"/>
    </row>
    <row r="25" spans="1:7">
      <c r="A25" s="6">
        <v>1</v>
      </c>
      <c r="B25" s="3" t="s">
        <v>2</v>
      </c>
      <c r="C25" s="6" t="s">
        <v>3</v>
      </c>
      <c r="D25" s="6" t="s">
        <v>4</v>
      </c>
      <c r="E25" s="6" t="s">
        <v>32</v>
      </c>
      <c r="F25" s="86">
        <f>VLOOKUP(B25,'UPAH,BHN,ALAT'!$B$6:E258,4,FALSE)</f>
        <v>10000</v>
      </c>
      <c r="G25" s="52">
        <f t="shared" ref="G25:G28" si="3">E25*F25</f>
        <v>27275</v>
      </c>
    </row>
    <row r="26" spans="1:7" ht="30">
      <c r="A26" s="6">
        <v>2</v>
      </c>
      <c r="B26" s="4" t="s">
        <v>76</v>
      </c>
      <c r="C26" s="6" t="s">
        <v>6</v>
      </c>
      <c r="D26" s="6" t="s">
        <v>4</v>
      </c>
      <c r="E26" s="6" t="s">
        <v>33</v>
      </c>
      <c r="F26" s="86">
        <f>VLOOKUP(B26,'UPAH,BHN,ALAT'!$B$6:E259,4,FALSE)</f>
        <v>10000</v>
      </c>
      <c r="G26" s="52">
        <f t="shared" si="3"/>
        <v>13637</v>
      </c>
    </row>
    <row r="27" spans="1:7">
      <c r="A27" s="6">
        <v>3</v>
      </c>
      <c r="B27" s="3" t="s">
        <v>8</v>
      </c>
      <c r="C27" s="6" t="s">
        <v>9</v>
      </c>
      <c r="D27" s="6" t="s">
        <v>4</v>
      </c>
      <c r="E27" s="6" t="s">
        <v>34</v>
      </c>
      <c r="F27" s="86">
        <f>VLOOKUP(B27,'UPAH,BHN,ALAT'!$B$6:E260,4,FALSE)</f>
        <v>10000</v>
      </c>
      <c r="G27" s="52">
        <f t="shared" si="3"/>
        <v>1364</v>
      </c>
    </row>
    <row r="28" spans="1:7">
      <c r="A28" s="6">
        <v>4</v>
      </c>
      <c r="B28" s="3" t="s">
        <v>11</v>
      </c>
      <c r="C28" s="6" t="s">
        <v>12</v>
      </c>
      <c r="D28" s="6" t="s">
        <v>4</v>
      </c>
      <c r="E28" s="6" t="s">
        <v>35</v>
      </c>
      <c r="F28" s="86">
        <f>VLOOKUP(B28,'UPAH,BHN,ALAT'!$B$6:E261,4,FALSE)</f>
        <v>10000</v>
      </c>
      <c r="G28" s="52">
        <f t="shared" si="3"/>
        <v>455</v>
      </c>
    </row>
    <row r="29" spans="1:7">
      <c r="A29" s="103" t="s">
        <v>174</v>
      </c>
      <c r="B29" s="103"/>
      <c r="C29" s="103"/>
      <c r="D29" s="103"/>
      <c r="E29" s="103"/>
      <c r="F29" s="103"/>
      <c r="G29" s="50">
        <f>SUM(G25:G28)</f>
        <v>42731</v>
      </c>
    </row>
    <row r="30" spans="1:7">
      <c r="A30" s="6" t="s">
        <v>14</v>
      </c>
      <c r="B30" s="3" t="s">
        <v>15</v>
      </c>
      <c r="C30" s="6"/>
      <c r="D30" s="6"/>
      <c r="E30" s="6"/>
      <c r="F30" s="3"/>
      <c r="G30" s="3"/>
    </row>
    <row r="31" spans="1:7">
      <c r="A31" s="6">
        <v>1</v>
      </c>
      <c r="B31" s="3" t="s">
        <v>16</v>
      </c>
      <c r="C31" s="6"/>
      <c r="D31" s="6" t="s">
        <v>17</v>
      </c>
      <c r="E31" s="6" t="s">
        <v>36</v>
      </c>
      <c r="F31" s="86">
        <f>VLOOKUP(B31,'UPAH,BHN,ALAT'!$B$6:E264,4,FALSE)</f>
        <v>10000</v>
      </c>
      <c r="G31" s="52">
        <f t="shared" ref="G31:G32" si="4">E31*F31</f>
        <v>454580</v>
      </c>
    </row>
    <row r="32" spans="1:7">
      <c r="A32" s="6">
        <v>2</v>
      </c>
      <c r="B32" s="3" t="s">
        <v>19</v>
      </c>
      <c r="C32" s="6"/>
      <c r="D32" s="6" t="s">
        <v>17</v>
      </c>
      <c r="E32" s="6" t="s">
        <v>20</v>
      </c>
      <c r="F32" s="86">
        <f>VLOOKUP(B32,'UPAH,BHN,ALAT'!$B$6:E265,4,FALSE)</f>
        <v>10000</v>
      </c>
      <c r="G32" s="52">
        <f t="shared" si="4"/>
        <v>530</v>
      </c>
    </row>
    <row r="33" spans="1:7">
      <c r="A33" s="103" t="s">
        <v>173</v>
      </c>
      <c r="B33" s="103"/>
      <c r="C33" s="103"/>
      <c r="D33" s="103"/>
      <c r="E33" s="103"/>
      <c r="F33" s="103"/>
      <c r="G33" s="50">
        <f>SUM(G30:G32)</f>
        <v>455110</v>
      </c>
    </row>
    <row r="34" spans="1:7">
      <c r="A34" s="6" t="s">
        <v>21</v>
      </c>
      <c r="B34" s="3" t="s">
        <v>22</v>
      </c>
      <c r="C34" s="6"/>
      <c r="D34" s="6"/>
      <c r="E34" s="6"/>
      <c r="F34" s="3"/>
      <c r="G34" s="3"/>
    </row>
    <row r="35" spans="1:7">
      <c r="A35" s="6">
        <v>1</v>
      </c>
      <c r="B35" s="3" t="s">
        <v>23</v>
      </c>
      <c r="C35" s="6"/>
      <c r="D35" s="6" t="s">
        <v>24</v>
      </c>
      <c r="E35" s="6" t="s">
        <v>25</v>
      </c>
      <c r="F35" s="86">
        <f>VLOOKUP(B35,'UPAH,BHN,ALAT'!$B$6:E268,4,FALSE)</f>
        <v>10000</v>
      </c>
      <c r="G35" s="52">
        <f t="shared" ref="G35" si="5">E35*F35</f>
        <v>333.00000000000006</v>
      </c>
    </row>
    <row r="36" spans="1:7">
      <c r="A36" s="104" t="s">
        <v>172</v>
      </c>
      <c r="B36" s="104"/>
      <c r="C36" s="104"/>
      <c r="D36" s="104"/>
      <c r="E36" s="104"/>
      <c r="F36" s="104"/>
      <c r="G36" s="50">
        <f>SUM(G35)</f>
        <v>333.00000000000006</v>
      </c>
    </row>
    <row r="37" spans="1:7">
      <c r="A37" s="51" t="s">
        <v>26</v>
      </c>
      <c r="B37" s="105" t="s">
        <v>27</v>
      </c>
      <c r="C37" s="105"/>
      <c r="D37" s="105"/>
      <c r="E37" s="105"/>
      <c r="F37" s="105"/>
      <c r="G37" s="52">
        <f>SUM(G25:G36)/2</f>
        <v>498174</v>
      </c>
    </row>
    <row r="38" spans="1:7">
      <c r="A38" s="51" t="s">
        <v>28</v>
      </c>
      <c r="B38" s="105" t="s">
        <v>29</v>
      </c>
      <c r="C38" s="105"/>
      <c r="D38" s="105"/>
      <c r="E38" s="105"/>
      <c r="F38" s="53">
        <v>0.1</v>
      </c>
      <c r="G38" s="52">
        <f>G37*F38</f>
        <v>49817.4</v>
      </c>
    </row>
    <row r="39" spans="1:7">
      <c r="A39" s="51" t="s">
        <v>30</v>
      </c>
      <c r="B39" s="105" t="s">
        <v>31</v>
      </c>
      <c r="C39" s="105"/>
      <c r="D39" s="105"/>
      <c r="E39" s="105"/>
      <c r="F39" s="105"/>
      <c r="G39" s="52">
        <f>ROUNDDOWN(G37+G38,0)</f>
        <v>547991</v>
      </c>
    </row>
    <row r="40" spans="1:7">
      <c r="A40" s="13"/>
      <c r="B40" s="14"/>
      <c r="C40" s="14"/>
      <c r="D40" s="14"/>
      <c r="E40" s="14"/>
      <c r="F40" s="14"/>
      <c r="G40" s="14"/>
    </row>
    <row r="41" spans="1:7">
      <c r="A41" s="2" t="s">
        <v>144</v>
      </c>
      <c r="B41"/>
      <c r="C41"/>
      <c r="D41"/>
      <c r="E41"/>
      <c r="F41"/>
      <c r="G41"/>
    </row>
    <row r="42" spans="1:7" ht="30">
      <c r="A42" s="48" t="s">
        <v>71</v>
      </c>
      <c r="B42" s="48" t="s">
        <v>72</v>
      </c>
      <c r="C42" s="48" t="s">
        <v>73</v>
      </c>
      <c r="D42" s="48" t="s">
        <v>74</v>
      </c>
      <c r="E42" s="48" t="s">
        <v>75</v>
      </c>
      <c r="F42" s="48" t="s">
        <v>170</v>
      </c>
      <c r="G42" s="49" t="s">
        <v>171</v>
      </c>
    </row>
    <row r="43" spans="1:7">
      <c r="A43" s="6" t="s">
        <v>0</v>
      </c>
      <c r="B43" s="3" t="s">
        <v>1</v>
      </c>
      <c r="C43" s="6"/>
      <c r="D43" s="6"/>
      <c r="E43" s="6"/>
      <c r="F43" s="3"/>
      <c r="G43" s="3"/>
    </row>
    <row r="44" spans="1:7">
      <c r="A44" s="6">
        <v>1</v>
      </c>
      <c r="B44" s="3" t="s">
        <v>2</v>
      </c>
      <c r="C44" s="6" t="s">
        <v>3</v>
      </c>
      <c r="D44" s="6" t="s">
        <v>4</v>
      </c>
      <c r="E44" s="6" t="s">
        <v>37</v>
      </c>
      <c r="F44" s="86">
        <f>VLOOKUP(B44,'UPAH,BHN,ALAT'!$B$6:E277,4,FALSE)</f>
        <v>10000</v>
      </c>
      <c r="G44" s="52">
        <f t="shared" ref="G44:G47" si="6">E44*F44</f>
        <v>14959</v>
      </c>
    </row>
    <row r="45" spans="1:7" ht="30">
      <c r="A45" s="6">
        <v>2</v>
      </c>
      <c r="B45" s="4" t="s">
        <v>76</v>
      </c>
      <c r="C45" s="6" t="s">
        <v>6</v>
      </c>
      <c r="D45" s="6" t="s">
        <v>4</v>
      </c>
      <c r="E45" s="6" t="s">
        <v>38</v>
      </c>
      <c r="F45" s="86">
        <f>VLOOKUP(B45,'UPAH,BHN,ALAT'!$B$6:E278,4,FALSE)</f>
        <v>10000</v>
      </c>
      <c r="G45" s="52">
        <f t="shared" si="6"/>
        <v>7479</v>
      </c>
    </row>
    <row r="46" spans="1:7">
      <c r="A46" s="6">
        <v>3</v>
      </c>
      <c r="B46" s="3" t="s">
        <v>8</v>
      </c>
      <c r="C46" s="6" t="s">
        <v>9</v>
      </c>
      <c r="D46" s="6" t="s">
        <v>4</v>
      </c>
      <c r="E46" s="6" t="s">
        <v>39</v>
      </c>
      <c r="F46" s="86">
        <f>VLOOKUP(B46,'UPAH,BHN,ALAT'!$B$6:E279,4,FALSE)</f>
        <v>10000</v>
      </c>
      <c r="G46" s="52">
        <f t="shared" si="6"/>
        <v>748</v>
      </c>
    </row>
    <row r="47" spans="1:7">
      <c r="A47" s="6">
        <v>4</v>
      </c>
      <c r="B47" s="3" t="s">
        <v>11</v>
      </c>
      <c r="C47" s="6" t="s">
        <v>12</v>
      </c>
      <c r="D47" s="6" t="s">
        <v>4</v>
      </c>
      <c r="E47" s="6" t="s">
        <v>40</v>
      </c>
      <c r="F47" s="86">
        <f>VLOOKUP(B47,'UPAH,BHN,ALAT'!$B$6:E280,4,FALSE)</f>
        <v>10000</v>
      </c>
      <c r="G47" s="52">
        <f t="shared" si="6"/>
        <v>248.99999999999997</v>
      </c>
    </row>
    <row r="48" spans="1:7">
      <c r="A48" s="103" t="s">
        <v>174</v>
      </c>
      <c r="B48" s="103"/>
      <c r="C48" s="103"/>
      <c r="D48" s="103"/>
      <c r="E48" s="103"/>
      <c r="F48" s="103"/>
      <c r="G48" s="50">
        <f>SUM(G44:G47)</f>
        <v>23435</v>
      </c>
    </row>
    <row r="49" spans="1:7">
      <c r="A49" s="6" t="s">
        <v>14</v>
      </c>
      <c r="B49" s="3" t="s">
        <v>15</v>
      </c>
      <c r="C49" s="6"/>
      <c r="D49" s="6"/>
      <c r="E49" s="6"/>
      <c r="F49" s="3"/>
      <c r="G49" s="3"/>
    </row>
    <row r="50" spans="1:7">
      <c r="A50" s="6">
        <v>1</v>
      </c>
      <c r="B50" s="3" t="s">
        <v>16</v>
      </c>
      <c r="C50" s="6"/>
      <c r="D50" s="6" t="s">
        <v>17</v>
      </c>
      <c r="E50" s="6" t="s">
        <v>41</v>
      </c>
      <c r="F50" s="86">
        <f>VLOOKUP(B50,'UPAH,BHN,ALAT'!$B$6:E283,4,FALSE)</f>
        <v>10000</v>
      </c>
      <c r="G50" s="52">
        <f t="shared" ref="G50:G51" si="7">E50*F50</f>
        <v>249310</v>
      </c>
    </row>
    <row r="51" spans="1:7">
      <c r="A51" s="6">
        <v>2</v>
      </c>
      <c r="B51" s="3" t="s">
        <v>19</v>
      </c>
      <c r="C51" s="6"/>
      <c r="D51" s="6" t="s">
        <v>17</v>
      </c>
      <c r="E51" s="6" t="s">
        <v>20</v>
      </c>
      <c r="F51" s="86">
        <f>VLOOKUP(B51,'UPAH,BHN,ALAT'!$B$6:E284,4,FALSE)</f>
        <v>10000</v>
      </c>
      <c r="G51" s="52">
        <f t="shared" si="7"/>
        <v>530</v>
      </c>
    </row>
    <row r="52" spans="1:7">
      <c r="A52" s="103" t="s">
        <v>173</v>
      </c>
      <c r="B52" s="103"/>
      <c r="C52" s="103"/>
      <c r="D52" s="103"/>
      <c r="E52" s="103"/>
      <c r="F52" s="103"/>
      <c r="G52" s="50">
        <f>SUM(G49:G51)</f>
        <v>249840</v>
      </c>
    </row>
    <row r="53" spans="1:7">
      <c r="A53" s="6" t="s">
        <v>21</v>
      </c>
      <c r="B53" s="3" t="s">
        <v>22</v>
      </c>
      <c r="C53" s="6"/>
      <c r="D53" s="6"/>
      <c r="E53" s="6"/>
      <c r="F53" s="3"/>
      <c r="G53" s="3"/>
    </row>
    <row r="54" spans="1:7">
      <c r="A54" s="6">
        <v>1</v>
      </c>
      <c r="B54" s="3" t="s">
        <v>23</v>
      </c>
      <c r="C54" s="6"/>
      <c r="D54" s="6" t="s">
        <v>24</v>
      </c>
      <c r="E54" s="6" t="s">
        <v>25</v>
      </c>
      <c r="F54" s="86">
        <f>VLOOKUP(B54,'UPAH,BHN,ALAT'!$B$6:E287,4,FALSE)</f>
        <v>10000</v>
      </c>
      <c r="G54" s="52">
        <f t="shared" ref="G54" si="8">E54*F54</f>
        <v>333.00000000000006</v>
      </c>
    </row>
    <row r="55" spans="1:7">
      <c r="A55" s="104" t="s">
        <v>172</v>
      </c>
      <c r="B55" s="104"/>
      <c r="C55" s="104"/>
      <c r="D55" s="104"/>
      <c r="E55" s="104"/>
      <c r="F55" s="104"/>
      <c r="G55" s="50">
        <f>SUM(G54)</f>
        <v>333.00000000000006</v>
      </c>
    </row>
    <row r="56" spans="1:7">
      <c r="A56" s="51" t="s">
        <v>26</v>
      </c>
      <c r="B56" s="105" t="s">
        <v>27</v>
      </c>
      <c r="C56" s="105"/>
      <c r="D56" s="105"/>
      <c r="E56" s="105"/>
      <c r="F56" s="105"/>
      <c r="G56" s="52">
        <f>SUM(G44:G55)/2</f>
        <v>273608</v>
      </c>
    </row>
    <row r="57" spans="1:7">
      <c r="A57" s="51" t="s">
        <v>28</v>
      </c>
      <c r="B57" s="105" t="s">
        <v>29</v>
      </c>
      <c r="C57" s="105"/>
      <c r="D57" s="105"/>
      <c r="E57" s="105"/>
      <c r="F57" s="53">
        <v>0.1</v>
      </c>
      <c r="G57" s="52">
        <f>G56*F57</f>
        <v>27360.800000000003</v>
      </c>
    </row>
    <row r="58" spans="1:7">
      <c r="A58" s="51" t="s">
        <v>30</v>
      </c>
      <c r="B58" s="105" t="s">
        <v>31</v>
      </c>
      <c r="C58" s="105"/>
      <c r="D58" s="105"/>
      <c r="E58" s="105"/>
      <c r="F58" s="105"/>
      <c r="G58" s="52">
        <f>ROUNDDOWN(G56+G57,0)</f>
        <v>300968</v>
      </c>
    </row>
    <row r="59" spans="1:7">
      <c r="A59" s="13"/>
      <c r="B59" s="14"/>
      <c r="C59" s="14"/>
      <c r="D59" s="14"/>
      <c r="E59" s="14"/>
      <c r="F59" s="14"/>
      <c r="G59" s="14"/>
    </row>
    <row r="60" spans="1:7">
      <c r="A60" s="2" t="s">
        <v>145</v>
      </c>
      <c r="B60"/>
      <c r="C60"/>
      <c r="D60"/>
      <c r="E60"/>
      <c r="F60"/>
      <c r="G60"/>
    </row>
    <row r="61" spans="1:7" ht="30">
      <c r="A61" s="48" t="s">
        <v>71</v>
      </c>
      <c r="B61" s="48" t="s">
        <v>72</v>
      </c>
      <c r="C61" s="48" t="s">
        <v>73</v>
      </c>
      <c r="D61" s="48" t="s">
        <v>74</v>
      </c>
      <c r="E61" s="48" t="s">
        <v>75</v>
      </c>
      <c r="F61" s="48" t="s">
        <v>170</v>
      </c>
      <c r="G61" s="49" t="s">
        <v>171</v>
      </c>
    </row>
    <row r="62" spans="1:7">
      <c r="A62" s="6" t="s">
        <v>0</v>
      </c>
      <c r="B62" s="3" t="s">
        <v>1</v>
      </c>
      <c r="C62" s="6"/>
      <c r="D62" s="6"/>
      <c r="E62" s="6"/>
      <c r="F62" s="3"/>
      <c r="G62" s="3"/>
    </row>
    <row r="63" spans="1:7">
      <c r="A63" s="6">
        <v>1</v>
      </c>
      <c r="B63" s="3" t="s">
        <v>2</v>
      </c>
      <c r="C63" s="6" t="s">
        <v>3</v>
      </c>
      <c r="D63" s="6" t="s">
        <v>4</v>
      </c>
      <c r="E63" s="6" t="s">
        <v>42</v>
      </c>
      <c r="F63" s="86">
        <f>VLOOKUP(B63,'UPAH,BHN,ALAT'!$B$6:E296,4,FALSE)</f>
        <v>10000</v>
      </c>
      <c r="G63" s="52">
        <f t="shared" ref="G63:G65" si="9">E63*F63</f>
        <v>709.99999999999989</v>
      </c>
    </row>
    <row r="64" spans="1:7" ht="30">
      <c r="A64" s="6">
        <v>2</v>
      </c>
      <c r="B64" s="4" t="s">
        <v>76</v>
      </c>
      <c r="C64" s="6" t="s">
        <v>6</v>
      </c>
      <c r="D64" s="6" t="s">
        <v>4</v>
      </c>
      <c r="E64" s="6" t="s">
        <v>43</v>
      </c>
      <c r="F64" s="86">
        <f>VLOOKUP(B64,'UPAH,BHN,ALAT'!$B$6:E297,4,FALSE)</f>
        <v>10000</v>
      </c>
      <c r="G64" s="52">
        <f t="shared" si="9"/>
        <v>240</v>
      </c>
    </row>
    <row r="65" spans="1:7">
      <c r="A65" s="6">
        <v>3</v>
      </c>
      <c r="B65" s="3" t="s">
        <v>11</v>
      </c>
      <c r="C65" s="6" t="s">
        <v>12</v>
      </c>
      <c r="D65" s="6" t="s">
        <v>4</v>
      </c>
      <c r="E65" s="6" t="s">
        <v>44</v>
      </c>
      <c r="F65" s="86">
        <f>VLOOKUP(B65,'UPAH,BHN,ALAT'!$B$6:E298,4,FALSE)</f>
        <v>10000</v>
      </c>
      <c r="G65" s="52">
        <f t="shared" si="9"/>
        <v>50</v>
      </c>
    </row>
    <row r="66" spans="1:7">
      <c r="A66" s="103" t="s">
        <v>174</v>
      </c>
      <c r="B66" s="103"/>
      <c r="C66" s="103"/>
      <c r="D66" s="103"/>
      <c r="E66" s="103"/>
      <c r="F66" s="103"/>
      <c r="G66" s="50">
        <f>SUM(G62:G65)</f>
        <v>999.99999999999989</v>
      </c>
    </row>
    <row r="67" spans="1:7">
      <c r="A67" s="6" t="s">
        <v>14</v>
      </c>
      <c r="B67" s="3" t="s">
        <v>15</v>
      </c>
      <c r="C67" s="6"/>
      <c r="D67" s="6"/>
      <c r="E67" s="6"/>
      <c r="F67" s="3"/>
      <c r="G67" s="3"/>
    </row>
    <row r="68" spans="1:7">
      <c r="A68" s="6">
        <v>1</v>
      </c>
      <c r="B68" s="3" t="s">
        <v>45</v>
      </c>
      <c r="C68" s="6"/>
      <c r="D68" s="6" t="s">
        <v>46</v>
      </c>
      <c r="E68" s="6" t="s">
        <v>47</v>
      </c>
      <c r="F68" s="86">
        <f>VLOOKUP(B68,'UPAH,BHN,ALAT'!$B$6:E301,4,FALSE)</f>
        <v>10000</v>
      </c>
      <c r="G68" s="52">
        <f t="shared" ref="G68" si="10">E68*F68</f>
        <v>720</v>
      </c>
    </row>
    <row r="69" spans="1:7">
      <c r="A69" s="103" t="s">
        <v>173</v>
      </c>
      <c r="B69" s="103"/>
      <c r="C69" s="103"/>
      <c r="D69" s="103"/>
      <c r="E69" s="103"/>
      <c r="F69" s="103"/>
      <c r="G69" s="50">
        <f>SUM(G67:G68)</f>
        <v>720</v>
      </c>
    </row>
    <row r="70" spans="1:7">
      <c r="A70" s="6" t="s">
        <v>21</v>
      </c>
      <c r="B70" s="3" t="s">
        <v>22</v>
      </c>
      <c r="C70" s="6"/>
      <c r="D70" s="6"/>
      <c r="E70" s="6"/>
      <c r="F70" s="3"/>
      <c r="G70" s="3"/>
    </row>
    <row r="71" spans="1:7">
      <c r="A71" s="104" t="s">
        <v>172</v>
      </c>
      <c r="B71" s="104"/>
      <c r="C71" s="104"/>
      <c r="D71" s="104"/>
      <c r="E71" s="104"/>
      <c r="F71" s="104"/>
      <c r="G71" s="50">
        <f>SUM(G70)</f>
        <v>0</v>
      </c>
    </row>
    <row r="72" spans="1:7">
      <c r="A72" s="51" t="s">
        <v>26</v>
      </c>
      <c r="B72" s="105" t="s">
        <v>27</v>
      </c>
      <c r="C72" s="105"/>
      <c r="D72" s="105"/>
      <c r="E72" s="105"/>
      <c r="F72" s="105"/>
      <c r="G72" s="52">
        <f>SUM(G62:G71)/2</f>
        <v>1720</v>
      </c>
    </row>
    <row r="73" spans="1:7">
      <c r="A73" s="51" t="s">
        <v>28</v>
      </c>
      <c r="B73" s="105" t="s">
        <v>29</v>
      </c>
      <c r="C73" s="105"/>
      <c r="D73" s="105"/>
      <c r="E73" s="105"/>
      <c r="F73" s="53">
        <v>0.1</v>
      </c>
      <c r="G73" s="52">
        <f>G72*F73</f>
        <v>172</v>
      </c>
    </row>
    <row r="74" spans="1:7">
      <c r="A74" s="51" t="s">
        <v>30</v>
      </c>
      <c r="B74" s="105" t="s">
        <v>31</v>
      </c>
      <c r="C74" s="105"/>
      <c r="D74" s="105"/>
      <c r="E74" s="105"/>
      <c r="F74" s="105"/>
      <c r="G74" s="52">
        <f>ROUNDDOWN(G72+G73,0)</f>
        <v>1892</v>
      </c>
    </row>
    <row r="75" spans="1:7">
      <c r="A75" s="13"/>
      <c r="B75" s="14"/>
      <c r="C75" s="14"/>
      <c r="D75" s="14"/>
      <c r="E75" s="14"/>
      <c r="F75" s="14"/>
      <c r="G75" s="14"/>
    </row>
    <row r="76" spans="1:7">
      <c r="A76" s="2" t="s">
        <v>146</v>
      </c>
      <c r="B76"/>
      <c r="C76"/>
      <c r="D76"/>
      <c r="E76"/>
      <c r="F76"/>
      <c r="G76"/>
    </row>
    <row r="77" spans="1:7" ht="30">
      <c r="A77" s="48" t="s">
        <v>71</v>
      </c>
      <c r="B77" s="48" t="s">
        <v>72</v>
      </c>
      <c r="C77" s="48" t="s">
        <v>73</v>
      </c>
      <c r="D77" s="48" t="s">
        <v>74</v>
      </c>
      <c r="E77" s="48" t="s">
        <v>75</v>
      </c>
      <c r="F77" s="48" t="s">
        <v>170</v>
      </c>
      <c r="G77" s="49" t="s">
        <v>171</v>
      </c>
    </row>
    <row r="78" spans="1:7">
      <c r="A78" s="6" t="s">
        <v>0</v>
      </c>
      <c r="B78" s="3" t="s">
        <v>1</v>
      </c>
      <c r="C78" s="6"/>
      <c r="D78" s="6"/>
      <c r="E78" s="6"/>
      <c r="F78" s="3"/>
      <c r="G78" s="3"/>
    </row>
    <row r="79" spans="1:7">
      <c r="A79" s="6">
        <v>1</v>
      </c>
      <c r="B79" s="3" t="s">
        <v>2</v>
      </c>
      <c r="C79" s="6" t="s">
        <v>3</v>
      </c>
      <c r="D79" s="6" t="s">
        <v>4</v>
      </c>
      <c r="E79" s="6" t="s">
        <v>42</v>
      </c>
      <c r="F79" s="86">
        <f>VLOOKUP(B79,'UPAH,BHN,ALAT'!$B$6:E312,4,FALSE)</f>
        <v>10000</v>
      </c>
      <c r="G79" s="52">
        <f t="shared" ref="G79:G81" si="11">E79*F79</f>
        <v>709.99999999999989</v>
      </c>
    </row>
    <row r="80" spans="1:7" ht="30">
      <c r="A80" s="6">
        <v>2</v>
      </c>
      <c r="B80" s="4" t="s">
        <v>76</v>
      </c>
      <c r="C80" s="6" t="s">
        <v>6</v>
      </c>
      <c r="D80" s="6" t="s">
        <v>4</v>
      </c>
      <c r="E80" s="6" t="s">
        <v>43</v>
      </c>
      <c r="F80" s="86">
        <f>VLOOKUP(B80,'UPAH,BHN,ALAT'!$B$6:E313,4,FALSE)</f>
        <v>10000</v>
      </c>
      <c r="G80" s="52">
        <f t="shared" si="11"/>
        <v>240</v>
      </c>
    </row>
    <row r="81" spans="1:7">
      <c r="A81" s="6">
        <v>3</v>
      </c>
      <c r="B81" s="3" t="s">
        <v>11</v>
      </c>
      <c r="C81" s="6" t="s">
        <v>12</v>
      </c>
      <c r="D81" s="6" t="s">
        <v>4</v>
      </c>
      <c r="E81" s="6" t="s">
        <v>44</v>
      </c>
      <c r="F81" s="86">
        <f>VLOOKUP(B81,'UPAH,BHN,ALAT'!$B$6:E314,4,FALSE)</f>
        <v>10000</v>
      </c>
      <c r="G81" s="52">
        <f t="shared" si="11"/>
        <v>50</v>
      </c>
    </row>
    <row r="82" spans="1:7">
      <c r="A82" s="103" t="s">
        <v>174</v>
      </c>
      <c r="B82" s="103"/>
      <c r="C82" s="103"/>
      <c r="D82" s="103"/>
      <c r="E82" s="103"/>
      <c r="F82" s="103"/>
      <c r="G82" s="50">
        <f>SUM(G78:G81)</f>
        <v>999.99999999999989</v>
      </c>
    </row>
    <row r="83" spans="1:7">
      <c r="A83" s="6" t="s">
        <v>14</v>
      </c>
      <c r="B83" s="3" t="s">
        <v>15</v>
      </c>
      <c r="C83" s="6"/>
      <c r="D83" s="6"/>
      <c r="E83" s="6"/>
      <c r="F83" s="3"/>
      <c r="G83" s="3"/>
    </row>
    <row r="84" spans="1:7">
      <c r="A84" s="6">
        <v>1</v>
      </c>
      <c r="B84" s="3" t="s">
        <v>45</v>
      </c>
      <c r="C84" s="6"/>
      <c r="D84" s="6" t="s">
        <v>46</v>
      </c>
      <c r="E84" s="6" t="s">
        <v>48</v>
      </c>
      <c r="F84" s="86">
        <f>VLOOKUP(B84,'UPAH,BHN,ALAT'!$B$6:E317,4,FALSE)</f>
        <v>10000</v>
      </c>
      <c r="G84" s="52">
        <f t="shared" ref="G84" si="12">E84*F84</f>
        <v>480</v>
      </c>
    </row>
    <row r="85" spans="1:7">
      <c r="A85" s="103" t="s">
        <v>173</v>
      </c>
      <c r="B85" s="103"/>
      <c r="C85" s="103"/>
      <c r="D85" s="103"/>
      <c r="E85" s="103"/>
      <c r="F85" s="103"/>
      <c r="G85" s="50">
        <f>SUM(G83:G84)</f>
        <v>480</v>
      </c>
    </row>
    <row r="86" spans="1:7">
      <c r="A86" s="6" t="s">
        <v>21</v>
      </c>
      <c r="B86" s="3" t="s">
        <v>22</v>
      </c>
      <c r="C86" s="6"/>
      <c r="D86" s="6"/>
      <c r="E86" s="6"/>
      <c r="F86" s="3"/>
      <c r="G86" s="3"/>
    </row>
    <row r="87" spans="1:7">
      <c r="A87" s="104" t="s">
        <v>172</v>
      </c>
      <c r="B87" s="104"/>
      <c r="C87" s="104"/>
      <c r="D87" s="104"/>
      <c r="E87" s="104"/>
      <c r="F87" s="104"/>
      <c r="G87" s="50">
        <f>SUM(G86)</f>
        <v>0</v>
      </c>
    </row>
    <row r="88" spans="1:7">
      <c r="A88" s="51" t="s">
        <v>26</v>
      </c>
      <c r="B88" s="105" t="s">
        <v>27</v>
      </c>
      <c r="C88" s="105"/>
      <c r="D88" s="105"/>
      <c r="E88" s="105"/>
      <c r="F88" s="105"/>
      <c r="G88" s="52">
        <f>SUM(G78:G87)/2</f>
        <v>1480</v>
      </c>
    </row>
    <row r="89" spans="1:7">
      <c r="A89" s="51" t="s">
        <v>28</v>
      </c>
      <c r="B89" s="105" t="s">
        <v>29</v>
      </c>
      <c r="C89" s="105"/>
      <c r="D89" s="105"/>
      <c r="E89" s="105"/>
      <c r="F89" s="53">
        <v>0.1</v>
      </c>
      <c r="G89" s="52">
        <f>G88*F89</f>
        <v>148</v>
      </c>
    </row>
    <row r="90" spans="1:7">
      <c r="A90" s="51" t="s">
        <v>30</v>
      </c>
      <c r="B90" s="105" t="s">
        <v>31</v>
      </c>
      <c r="C90" s="105"/>
      <c r="D90" s="105"/>
      <c r="E90" s="105"/>
      <c r="F90" s="105"/>
      <c r="G90" s="52">
        <f>ROUNDDOWN(G88+G89,0)</f>
        <v>1628</v>
      </c>
    </row>
    <row r="91" spans="1:7">
      <c r="A91" s="13"/>
      <c r="B91" s="14"/>
      <c r="C91" s="14"/>
      <c r="D91" s="14"/>
      <c r="E91" s="14"/>
      <c r="F91" s="14"/>
      <c r="G91" s="14"/>
    </row>
    <row r="92" spans="1:7">
      <c r="A92" s="2" t="s">
        <v>147</v>
      </c>
      <c r="B92"/>
      <c r="C92"/>
      <c r="D92"/>
      <c r="E92"/>
      <c r="F92"/>
      <c r="G92"/>
    </row>
    <row r="93" spans="1:7" ht="30">
      <c r="A93" s="48" t="s">
        <v>71</v>
      </c>
      <c r="B93" s="48" t="s">
        <v>72</v>
      </c>
      <c r="C93" s="48" t="s">
        <v>73</v>
      </c>
      <c r="D93" s="48" t="s">
        <v>74</v>
      </c>
      <c r="E93" s="48" t="s">
        <v>75</v>
      </c>
      <c r="F93" s="48" t="s">
        <v>170</v>
      </c>
      <c r="G93" s="49" t="s">
        <v>171</v>
      </c>
    </row>
    <row r="94" spans="1:7">
      <c r="A94" s="6" t="s">
        <v>0</v>
      </c>
      <c r="B94" s="3" t="s">
        <v>1</v>
      </c>
      <c r="C94" s="6"/>
      <c r="D94" s="6"/>
      <c r="E94" s="6"/>
      <c r="F94" s="3"/>
      <c r="G94" s="3"/>
    </row>
    <row r="95" spans="1:7">
      <c r="A95" s="6">
        <v>1</v>
      </c>
      <c r="B95" s="3" t="s">
        <v>2</v>
      </c>
      <c r="C95" s="6" t="s">
        <v>3</v>
      </c>
      <c r="D95" s="6" t="s">
        <v>4</v>
      </c>
      <c r="E95" s="6" t="s">
        <v>42</v>
      </c>
      <c r="F95" s="86">
        <f>VLOOKUP(B95,'UPAH,BHN,ALAT'!$B$6:E328,4,FALSE)</f>
        <v>10000</v>
      </c>
      <c r="G95" s="52">
        <f t="shared" ref="G95:G97" si="13">E95*F95</f>
        <v>709.99999999999989</v>
      </c>
    </row>
    <row r="96" spans="1:7" ht="30">
      <c r="A96" s="6">
        <v>2</v>
      </c>
      <c r="B96" s="4" t="s">
        <v>76</v>
      </c>
      <c r="C96" s="6" t="s">
        <v>6</v>
      </c>
      <c r="D96" s="6" t="s">
        <v>4</v>
      </c>
      <c r="E96" s="6" t="s">
        <v>43</v>
      </c>
      <c r="F96" s="86">
        <f>VLOOKUP(B96,'UPAH,BHN,ALAT'!$B$6:E329,4,FALSE)</f>
        <v>10000</v>
      </c>
      <c r="G96" s="52">
        <f t="shared" si="13"/>
        <v>240</v>
      </c>
    </row>
    <row r="97" spans="1:7">
      <c r="A97" s="6">
        <v>3</v>
      </c>
      <c r="B97" s="3" t="s">
        <v>11</v>
      </c>
      <c r="C97" s="6" t="s">
        <v>12</v>
      </c>
      <c r="D97" s="6" t="s">
        <v>4</v>
      </c>
      <c r="E97" s="6" t="s">
        <v>44</v>
      </c>
      <c r="F97" s="86">
        <f>VLOOKUP(B97,'UPAH,BHN,ALAT'!$B$6:E330,4,FALSE)</f>
        <v>10000</v>
      </c>
      <c r="G97" s="52">
        <f t="shared" si="13"/>
        <v>50</v>
      </c>
    </row>
    <row r="98" spans="1:7">
      <c r="A98" s="103" t="s">
        <v>174</v>
      </c>
      <c r="B98" s="103"/>
      <c r="C98" s="103"/>
      <c r="D98" s="103"/>
      <c r="E98" s="103"/>
      <c r="F98" s="103"/>
      <c r="G98" s="50">
        <f>SUM(G94:G97)</f>
        <v>999.99999999999989</v>
      </c>
    </row>
    <row r="99" spans="1:7">
      <c r="A99" s="6" t="s">
        <v>14</v>
      </c>
      <c r="B99" s="3" t="s">
        <v>15</v>
      </c>
      <c r="C99" s="6"/>
      <c r="D99" s="6"/>
      <c r="E99" s="6"/>
      <c r="F99" s="3"/>
      <c r="G99" s="3"/>
    </row>
    <row r="100" spans="1:7">
      <c r="A100" s="6">
        <v>1</v>
      </c>
      <c r="B100" s="3" t="s">
        <v>45</v>
      </c>
      <c r="C100" s="6"/>
      <c r="D100" s="6" t="s">
        <v>46</v>
      </c>
      <c r="E100" s="6" t="s">
        <v>49</v>
      </c>
      <c r="F100" s="86">
        <f>VLOOKUP(B100,'UPAH,BHN,ALAT'!$B$6:E333,4,FALSE)</f>
        <v>10000</v>
      </c>
      <c r="G100" s="52">
        <f t="shared" ref="G100" si="14">E100*F100</f>
        <v>300</v>
      </c>
    </row>
    <row r="101" spans="1:7">
      <c r="A101" s="103" t="s">
        <v>173</v>
      </c>
      <c r="B101" s="103"/>
      <c r="C101" s="103"/>
      <c r="D101" s="103"/>
      <c r="E101" s="103"/>
      <c r="F101" s="103"/>
      <c r="G101" s="50">
        <f>SUM(G99:G100)</f>
        <v>300</v>
      </c>
    </row>
    <row r="102" spans="1:7">
      <c r="A102" s="6" t="s">
        <v>21</v>
      </c>
      <c r="B102" s="3" t="s">
        <v>22</v>
      </c>
      <c r="C102" s="6"/>
      <c r="D102" s="6"/>
      <c r="E102" s="6"/>
      <c r="F102" s="3"/>
      <c r="G102" s="3"/>
    </row>
    <row r="103" spans="1:7">
      <c r="A103" s="106" t="s">
        <v>172</v>
      </c>
      <c r="B103" s="107"/>
      <c r="C103" s="107"/>
      <c r="D103" s="107"/>
      <c r="E103" s="107"/>
      <c r="F103" s="108"/>
      <c r="G103" s="50">
        <f>SUM(G102)</f>
        <v>0</v>
      </c>
    </row>
    <row r="104" spans="1:7">
      <c r="A104" s="51" t="s">
        <v>26</v>
      </c>
      <c r="B104" s="105" t="s">
        <v>27</v>
      </c>
      <c r="C104" s="105"/>
      <c r="D104" s="105"/>
      <c r="E104" s="105"/>
      <c r="F104" s="105"/>
      <c r="G104" s="52">
        <f>SUM(G94:G103)/2</f>
        <v>1300</v>
      </c>
    </row>
    <row r="105" spans="1:7">
      <c r="A105" s="51" t="s">
        <v>28</v>
      </c>
      <c r="B105" s="105" t="s">
        <v>29</v>
      </c>
      <c r="C105" s="105"/>
      <c r="D105" s="105"/>
      <c r="E105" s="105"/>
      <c r="F105" s="53">
        <v>0.1</v>
      </c>
      <c r="G105" s="52">
        <f>G104*F105</f>
        <v>130</v>
      </c>
    </row>
    <row r="106" spans="1:7">
      <c r="A106" s="51" t="s">
        <v>30</v>
      </c>
      <c r="B106" s="105" t="s">
        <v>31</v>
      </c>
      <c r="C106" s="105"/>
      <c r="D106" s="105"/>
      <c r="E106" s="105"/>
      <c r="F106" s="105"/>
      <c r="G106" s="52">
        <f>ROUNDDOWN(G104+G105,0)</f>
        <v>1430</v>
      </c>
    </row>
    <row r="107" spans="1:7">
      <c r="A107" s="13"/>
      <c r="B107" s="14"/>
      <c r="C107" s="14"/>
      <c r="D107" s="14"/>
      <c r="E107" s="14"/>
      <c r="F107" s="14"/>
      <c r="G107" s="14"/>
    </row>
    <row r="108" spans="1:7">
      <c r="A108" s="2" t="s">
        <v>148</v>
      </c>
      <c r="B108"/>
      <c r="C108"/>
      <c r="D108"/>
      <c r="E108"/>
      <c r="F108"/>
      <c r="G108"/>
    </row>
    <row r="109" spans="1:7" ht="30">
      <c r="A109" s="48" t="s">
        <v>71</v>
      </c>
      <c r="B109" s="48" t="s">
        <v>72</v>
      </c>
      <c r="C109" s="48" t="s">
        <v>73</v>
      </c>
      <c r="D109" s="48" t="s">
        <v>74</v>
      </c>
      <c r="E109" s="48" t="s">
        <v>75</v>
      </c>
      <c r="F109" s="48" t="s">
        <v>170</v>
      </c>
      <c r="G109" s="49" t="s">
        <v>171</v>
      </c>
    </row>
    <row r="110" spans="1:7">
      <c r="A110" s="6" t="s">
        <v>0</v>
      </c>
      <c r="B110" s="3" t="s">
        <v>1</v>
      </c>
      <c r="C110" s="6"/>
      <c r="D110" s="6"/>
      <c r="E110" s="6"/>
      <c r="F110" s="3"/>
      <c r="G110" s="3"/>
    </row>
    <row r="111" spans="1:7">
      <c r="A111" s="103" t="s">
        <v>174</v>
      </c>
      <c r="B111" s="103"/>
      <c r="C111" s="103"/>
      <c r="D111" s="103"/>
      <c r="E111" s="103"/>
      <c r="F111" s="103"/>
      <c r="G111" s="50">
        <f>SUM(G110)</f>
        <v>0</v>
      </c>
    </row>
    <row r="112" spans="1:7">
      <c r="A112" s="6" t="s">
        <v>14</v>
      </c>
      <c r="B112" s="3" t="s">
        <v>15</v>
      </c>
      <c r="C112" s="6"/>
      <c r="D112" s="6"/>
      <c r="E112" s="6"/>
      <c r="F112" s="3"/>
      <c r="G112" s="3"/>
    </row>
    <row r="113" spans="1:10" ht="60">
      <c r="A113" s="6">
        <v>1</v>
      </c>
      <c r="B113" s="4" t="s">
        <v>77</v>
      </c>
      <c r="C113" s="4" t="s">
        <v>79</v>
      </c>
      <c r="D113" s="5" t="s">
        <v>17</v>
      </c>
      <c r="E113" s="5" t="s">
        <v>78</v>
      </c>
      <c r="F113" s="4"/>
      <c r="G113" s="6">
        <f>E113*F113</f>
        <v>0</v>
      </c>
      <c r="H113" s="101" t="s">
        <v>175</v>
      </c>
      <c r="I113" s="102"/>
      <c r="J113" s="102"/>
    </row>
    <row r="114" spans="1:10" ht="75">
      <c r="A114" s="6">
        <v>2</v>
      </c>
      <c r="B114" s="4" t="s">
        <v>128</v>
      </c>
      <c r="C114" s="4" t="s">
        <v>81</v>
      </c>
      <c r="D114" s="5" t="s">
        <v>129</v>
      </c>
      <c r="E114" s="5" t="s">
        <v>80</v>
      </c>
      <c r="F114" s="4"/>
      <c r="G114" s="6">
        <f t="shared" ref="G114:G118" si="15">E114*F114</f>
        <v>0</v>
      </c>
      <c r="H114" s="101" t="s">
        <v>175</v>
      </c>
      <c r="I114" s="102"/>
      <c r="J114" s="102"/>
    </row>
    <row r="115" spans="1:10" ht="45">
      <c r="A115" s="6">
        <v>3</v>
      </c>
      <c r="B115" s="4" t="s">
        <v>82</v>
      </c>
      <c r="C115" s="4" t="s">
        <v>84</v>
      </c>
      <c r="D115" s="5" t="s">
        <v>55</v>
      </c>
      <c r="E115" s="5" t="s">
        <v>83</v>
      </c>
      <c r="F115" s="4"/>
      <c r="G115" s="6">
        <f t="shared" si="15"/>
        <v>0</v>
      </c>
      <c r="H115" s="101" t="s">
        <v>175</v>
      </c>
      <c r="I115" s="102"/>
      <c r="J115" s="102"/>
    </row>
    <row r="116" spans="1:10" ht="60">
      <c r="A116" s="6">
        <v>4</v>
      </c>
      <c r="B116" s="4" t="s">
        <v>85</v>
      </c>
      <c r="C116" s="4" t="s">
        <v>88</v>
      </c>
      <c r="D116" s="5" t="s">
        <v>86</v>
      </c>
      <c r="E116" s="5" t="s">
        <v>87</v>
      </c>
      <c r="F116" s="4"/>
      <c r="G116" s="6">
        <f t="shared" si="15"/>
        <v>0</v>
      </c>
      <c r="H116" s="101" t="s">
        <v>175</v>
      </c>
      <c r="I116" s="102"/>
      <c r="J116" s="102"/>
    </row>
    <row r="117" spans="1:10" ht="60">
      <c r="A117" s="6">
        <v>5</v>
      </c>
      <c r="B117" s="4" t="s">
        <v>130</v>
      </c>
      <c r="C117" s="4" t="s">
        <v>90</v>
      </c>
      <c r="D117" s="5" t="s">
        <v>131</v>
      </c>
      <c r="E117" s="5" t="s">
        <v>89</v>
      </c>
      <c r="F117" s="4"/>
      <c r="G117" s="6">
        <f t="shared" si="15"/>
        <v>0</v>
      </c>
      <c r="H117" s="101" t="s">
        <v>175</v>
      </c>
      <c r="I117" s="102"/>
      <c r="J117" s="102"/>
    </row>
    <row r="118" spans="1:10" ht="45">
      <c r="A118" s="6">
        <v>6</v>
      </c>
      <c r="B118" s="4" t="s">
        <v>132</v>
      </c>
      <c r="C118" s="4" t="s">
        <v>91</v>
      </c>
      <c r="D118" s="5" t="s">
        <v>131</v>
      </c>
      <c r="E118" s="5" t="s">
        <v>89</v>
      </c>
      <c r="F118" s="4"/>
      <c r="G118" s="6">
        <f t="shared" si="15"/>
        <v>0</v>
      </c>
      <c r="H118" s="101" t="s">
        <v>175</v>
      </c>
      <c r="I118" s="102"/>
      <c r="J118" s="102"/>
    </row>
    <row r="119" spans="1:10">
      <c r="A119" s="103" t="s">
        <v>173</v>
      </c>
      <c r="B119" s="103"/>
      <c r="C119" s="103"/>
      <c r="D119" s="103"/>
      <c r="E119" s="103"/>
      <c r="F119" s="103"/>
      <c r="G119" s="50">
        <f>SUM(G113:G118)</f>
        <v>0</v>
      </c>
    </row>
    <row r="120" spans="1:10">
      <c r="A120" s="6" t="s">
        <v>21</v>
      </c>
      <c r="B120" s="3" t="s">
        <v>22</v>
      </c>
      <c r="C120" s="6"/>
      <c r="D120" s="6"/>
      <c r="E120" s="6"/>
      <c r="F120" s="3"/>
      <c r="G120" s="3"/>
    </row>
    <row r="121" spans="1:10">
      <c r="A121" s="104" t="s">
        <v>172</v>
      </c>
      <c r="B121" s="104"/>
      <c r="C121" s="104"/>
      <c r="D121" s="104"/>
      <c r="E121" s="104"/>
      <c r="F121" s="104"/>
      <c r="G121" s="50">
        <f>SUM(G120)</f>
        <v>0</v>
      </c>
    </row>
    <row r="122" spans="1:10">
      <c r="A122" s="51" t="s">
        <v>26</v>
      </c>
      <c r="B122" s="105" t="s">
        <v>27</v>
      </c>
      <c r="C122" s="105"/>
      <c r="D122" s="105"/>
      <c r="E122" s="105"/>
      <c r="F122" s="105"/>
      <c r="G122" s="52">
        <f>SUM(G112:G121)/2</f>
        <v>0</v>
      </c>
    </row>
    <row r="123" spans="1:10">
      <c r="A123" s="51" t="s">
        <v>28</v>
      </c>
      <c r="B123" s="105" t="s">
        <v>29</v>
      </c>
      <c r="C123" s="105"/>
      <c r="D123" s="105"/>
      <c r="E123" s="105"/>
      <c r="F123" s="53">
        <v>0.1</v>
      </c>
      <c r="G123" s="52">
        <f>G122*F123</f>
        <v>0</v>
      </c>
    </row>
    <row r="124" spans="1:10">
      <c r="A124" s="51" t="s">
        <v>30</v>
      </c>
      <c r="B124" s="105" t="s">
        <v>31</v>
      </c>
      <c r="C124" s="105"/>
      <c r="D124" s="105"/>
      <c r="E124" s="105"/>
      <c r="F124" s="105"/>
      <c r="G124" s="52">
        <f>ROUNDDOWN(G122+G123,0)</f>
        <v>0</v>
      </c>
    </row>
    <row r="125" spans="1:10">
      <c r="A125" s="13"/>
      <c r="B125" s="14"/>
      <c r="C125" s="14"/>
      <c r="D125" s="14"/>
      <c r="E125" s="14"/>
      <c r="F125" s="14"/>
      <c r="G125" s="14"/>
    </row>
    <row r="126" spans="1:10">
      <c r="A126" s="2" t="s">
        <v>149</v>
      </c>
      <c r="B126"/>
      <c r="C126"/>
      <c r="D126"/>
      <c r="E126"/>
      <c r="F126"/>
      <c r="G126"/>
    </row>
    <row r="127" spans="1:10" ht="30">
      <c r="A127" s="48" t="s">
        <v>71</v>
      </c>
      <c r="B127" s="48" t="s">
        <v>72</v>
      </c>
      <c r="C127" s="48" t="s">
        <v>73</v>
      </c>
      <c r="D127" s="48" t="s">
        <v>74</v>
      </c>
      <c r="E127" s="48" t="s">
        <v>75</v>
      </c>
      <c r="F127" s="48" t="s">
        <v>170</v>
      </c>
      <c r="G127" s="49" t="s">
        <v>171</v>
      </c>
    </row>
    <row r="128" spans="1:10">
      <c r="A128" s="6" t="s">
        <v>0</v>
      </c>
      <c r="B128" s="3" t="s">
        <v>1</v>
      </c>
      <c r="C128" s="6"/>
      <c r="D128" s="6"/>
      <c r="E128" s="6"/>
      <c r="F128" s="3"/>
      <c r="G128" s="3"/>
    </row>
    <row r="129" spans="1:10">
      <c r="A129" s="103" t="s">
        <v>174</v>
      </c>
      <c r="B129" s="103"/>
      <c r="C129" s="103"/>
      <c r="D129" s="103"/>
      <c r="E129" s="103"/>
      <c r="F129" s="103"/>
      <c r="G129" s="50">
        <f>SUM(G128)</f>
        <v>0</v>
      </c>
    </row>
    <row r="130" spans="1:10">
      <c r="A130" s="6" t="s">
        <v>14</v>
      </c>
      <c r="B130" s="3" t="s">
        <v>15</v>
      </c>
      <c r="C130" s="6"/>
      <c r="D130" s="6"/>
      <c r="E130" s="6"/>
      <c r="F130" s="3"/>
      <c r="G130" s="3"/>
    </row>
    <row r="131" spans="1:10" ht="60">
      <c r="A131" s="6">
        <v>1</v>
      </c>
      <c r="B131" s="4" t="s">
        <v>77</v>
      </c>
      <c r="C131" s="4" t="s">
        <v>79</v>
      </c>
      <c r="D131" s="5" t="s">
        <v>17</v>
      </c>
      <c r="E131" s="5" t="s">
        <v>92</v>
      </c>
      <c r="F131" s="4"/>
      <c r="G131" s="6">
        <f>E131*F131</f>
        <v>0</v>
      </c>
      <c r="H131" s="101" t="s">
        <v>175</v>
      </c>
      <c r="I131" s="102"/>
      <c r="J131" s="102"/>
    </row>
    <row r="132" spans="1:10" ht="75">
      <c r="A132" s="6">
        <v>2</v>
      </c>
      <c r="B132" s="4" t="s">
        <v>128</v>
      </c>
      <c r="C132" s="4" t="s">
        <v>81</v>
      </c>
      <c r="D132" s="5" t="s">
        <v>129</v>
      </c>
      <c r="E132" s="5" t="s">
        <v>93</v>
      </c>
      <c r="F132" s="4"/>
      <c r="G132" s="6">
        <f t="shared" ref="G132:G136" si="16">E132*F132</f>
        <v>0</v>
      </c>
      <c r="H132" s="101" t="s">
        <v>175</v>
      </c>
      <c r="I132" s="102"/>
      <c r="J132" s="102"/>
    </row>
    <row r="133" spans="1:10" ht="45">
      <c r="A133" s="6">
        <v>3</v>
      </c>
      <c r="B133" s="4" t="s">
        <v>94</v>
      </c>
      <c r="C133" s="4" t="s">
        <v>95</v>
      </c>
      <c r="D133" s="5" t="s">
        <v>55</v>
      </c>
      <c r="E133" s="5" t="s">
        <v>83</v>
      </c>
      <c r="F133" s="4"/>
      <c r="G133" s="6">
        <f t="shared" si="16"/>
        <v>0</v>
      </c>
      <c r="H133" s="101" t="s">
        <v>175</v>
      </c>
      <c r="I133" s="102"/>
      <c r="J133" s="102"/>
    </row>
    <row r="134" spans="1:10" ht="60">
      <c r="A134" s="6">
        <v>4</v>
      </c>
      <c r="B134" s="4" t="s">
        <v>96</v>
      </c>
      <c r="C134" s="4" t="s">
        <v>97</v>
      </c>
      <c r="D134" s="5" t="s">
        <v>86</v>
      </c>
      <c r="E134" s="5" t="s">
        <v>87</v>
      </c>
      <c r="F134" s="4"/>
      <c r="G134" s="6">
        <f t="shared" si="16"/>
        <v>0</v>
      </c>
      <c r="H134" s="101" t="s">
        <v>175</v>
      </c>
      <c r="I134" s="102"/>
      <c r="J134" s="102"/>
    </row>
    <row r="135" spans="1:10" ht="60">
      <c r="A135" s="6">
        <v>5</v>
      </c>
      <c r="B135" s="4" t="s">
        <v>130</v>
      </c>
      <c r="C135" s="4" t="s">
        <v>90</v>
      </c>
      <c r="D135" s="5" t="s">
        <v>131</v>
      </c>
      <c r="E135" s="5" t="s">
        <v>98</v>
      </c>
      <c r="F135" s="4"/>
      <c r="G135" s="6">
        <f t="shared" si="16"/>
        <v>0</v>
      </c>
      <c r="H135" s="101" t="s">
        <v>175</v>
      </c>
      <c r="I135" s="102"/>
      <c r="J135" s="102"/>
    </row>
    <row r="136" spans="1:10" ht="45">
      <c r="A136" s="6">
        <v>6</v>
      </c>
      <c r="B136" s="4" t="s">
        <v>132</v>
      </c>
      <c r="C136" s="4" t="s">
        <v>91</v>
      </c>
      <c r="D136" s="5" t="s">
        <v>131</v>
      </c>
      <c r="E136" s="5" t="s">
        <v>98</v>
      </c>
      <c r="F136" s="4"/>
      <c r="G136" s="6">
        <f t="shared" si="16"/>
        <v>0</v>
      </c>
      <c r="H136" s="101" t="s">
        <v>175</v>
      </c>
      <c r="I136" s="102"/>
      <c r="J136" s="102"/>
    </row>
    <row r="137" spans="1:10">
      <c r="A137" s="103" t="s">
        <v>173</v>
      </c>
      <c r="B137" s="103"/>
      <c r="C137" s="103"/>
      <c r="D137" s="103"/>
      <c r="E137" s="103"/>
      <c r="F137" s="103"/>
      <c r="G137" s="50">
        <f>SUM(G131:G136)</f>
        <v>0</v>
      </c>
    </row>
    <row r="138" spans="1:10">
      <c r="A138" s="6" t="s">
        <v>21</v>
      </c>
      <c r="B138" s="3" t="s">
        <v>22</v>
      </c>
      <c r="C138" s="6"/>
      <c r="D138" s="6"/>
      <c r="E138" s="6"/>
      <c r="F138" s="3"/>
      <c r="G138" s="3"/>
    </row>
    <row r="139" spans="1:10">
      <c r="A139" s="104" t="s">
        <v>172</v>
      </c>
      <c r="B139" s="104"/>
      <c r="C139" s="104"/>
      <c r="D139" s="104"/>
      <c r="E139" s="104"/>
      <c r="F139" s="104"/>
      <c r="G139" s="50">
        <f>SUM(G138)</f>
        <v>0</v>
      </c>
    </row>
    <row r="140" spans="1:10">
      <c r="A140" s="51" t="s">
        <v>26</v>
      </c>
      <c r="B140" s="105" t="s">
        <v>27</v>
      </c>
      <c r="C140" s="105"/>
      <c r="D140" s="105"/>
      <c r="E140" s="105"/>
      <c r="F140" s="105"/>
      <c r="G140" s="52">
        <f>SUM(G130:G139)/2</f>
        <v>0</v>
      </c>
    </row>
    <row r="141" spans="1:10">
      <c r="A141" s="51" t="s">
        <v>28</v>
      </c>
      <c r="B141" s="105" t="s">
        <v>29</v>
      </c>
      <c r="C141" s="105"/>
      <c r="D141" s="105"/>
      <c r="E141" s="105"/>
      <c r="F141" s="53">
        <v>0.1</v>
      </c>
      <c r="G141" s="52">
        <f>G140*F141</f>
        <v>0</v>
      </c>
    </row>
    <row r="142" spans="1:10">
      <c r="A142" s="51" t="s">
        <v>30</v>
      </c>
      <c r="B142" s="105" t="s">
        <v>31</v>
      </c>
      <c r="C142" s="105"/>
      <c r="D142" s="105"/>
      <c r="E142" s="105"/>
      <c r="F142" s="105"/>
      <c r="G142" s="52">
        <f>ROUNDDOWN(G140+G141,0)</f>
        <v>0</v>
      </c>
    </row>
    <row r="143" spans="1:10">
      <c r="A143" s="13"/>
      <c r="B143" s="14"/>
      <c r="C143" s="14"/>
      <c r="D143" s="14"/>
      <c r="E143" s="14"/>
      <c r="F143" s="14"/>
      <c r="G143" s="14"/>
    </row>
    <row r="144" spans="1:10">
      <c r="A144" s="2" t="s">
        <v>150</v>
      </c>
      <c r="B144"/>
      <c r="C144"/>
      <c r="D144"/>
      <c r="E144"/>
      <c r="F144"/>
      <c r="G144"/>
    </row>
    <row r="145" spans="1:10" ht="30">
      <c r="A145" s="48" t="s">
        <v>71</v>
      </c>
      <c r="B145" s="48" t="s">
        <v>72</v>
      </c>
      <c r="C145" s="48" t="s">
        <v>73</v>
      </c>
      <c r="D145" s="48" t="s">
        <v>74</v>
      </c>
      <c r="E145" s="48" t="s">
        <v>75</v>
      </c>
      <c r="F145" s="48" t="s">
        <v>170</v>
      </c>
      <c r="G145" s="49" t="s">
        <v>171</v>
      </c>
    </row>
    <row r="146" spans="1:10">
      <c r="A146" s="6" t="s">
        <v>0</v>
      </c>
      <c r="B146" s="3" t="s">
        <v>1</v>
      </c>
      <c r="C146" s="6"/>
      <c r="D146" s="6"/>
      <c r="E146" s="6"/>
      <c r="F146" s="3"/>
      <c r="G146" s="3"/>
    </row>
    <row r="147" spans="1:10">
      <c r="A147" s="103" t="s">
        <v>174</v>
      </c>
      <c r="B147" s="103"/>
      <c r="C147" s="103"/>
      <c r="D147" s="103"/>
      <c r="E147" s="103"/>
      <c r="F147" s="103"/>
      <c r="G147" s="50">
        <f>SUM(G146)</f>
        <v>0</v>
      </c>
    </row>
    <row r="148" spans="1:10">
      <c r="A148" s="6" t="s">
        <v>14</v>
      </c>
      <c r="B148" s="3" t="s">
        <v>15</v>
      </c>
      <c r="C148" s="6"/>
      <c r="D148" s="6"/>
      <c r="E148" s="6"/>
      <c r="F148" s="3"/>
      <c r="G148" s="3"/>
    </row>
    <row r="149" spans="1:10" ht="60">
      <c r="A149" s="6">
        <v>1</v>
      </c>
      <c r="B149" s="4" t="s">
        <v>77</v>
      </c>
      <c r="C149" s="4" t="s">
        <v>79</v>
      </c>
      <c r="D149" s="5" t="s">
        <v>17</v>
      </c>
      <c r="E149" s="5" t="s">
        <v>99</v>
      </c>
      <c r="G149" s="6">
        <f>E149*F149</f>
        <v>0</v>
      </c>
      <c r="H149" s="101" t="s">
        <v>175</v>
      </c>
      <c r="I149" s="102"/>
      <c r="J149" s="102"/>
    </row>
    <row r="150" spans="1:10" ht="45">
      <c r="A150" s="6">
        <v>2</v>
      </c>
      <c r="B150" s="4" t="s">
        <v>100</v>
      </c>
      <c r="C150" s="4" t="s">
        <v>101</v>
      </c>
      <c r="D150" s="5" t="s">
        <v>55</v>
      </c>
      <c r="E150" s="5" t="s">
        <v>83</v>
      </c>
      <c r="F150" s="87"/>
      <c r="G150" s="6">
        <f t="shared" ref="G150:G153" si="17">E150*F150</f>
        <v>0</v>
      </c>
      <c r="H150" s="101" t="s">
        <v>175</v>
      </c>
      <c r="I150" s="102"/>
      <c r="J150" s="102"/>
    </row>
    <row r="151" spans="1:10" ht="60">
      <c r="A151" s="6">
        <v>3</v>
      </c>
      <c r="B151" s="4" t="s">
        <v>102</v>
      </c>
      <c r="C151" s="4" t="s">
        <v>103</v>
      </c>
      <c r="D151" s="5" t="s">
        <v>86</v>
      </c>
      <c r="E151" s="5" t="s">
        <v>87</v>
      </c>
      <c r="F151" s="87"/>
      <c r="G151" s="6">
        <f t="shared" si="17"/>
        <v>0</v>
      </c>
      <c r="H151" s="101" t="s">
        <v>175</v>
      </c>
      <c r="I151" s="102"/>
      <c r="J151" s="102"/>
    </row>
    <row r="152" spans="1:10" ht="60">
      <c r="A152" s="6">
        <v>4</v>
      </c>
      <c r="B152" s="4" t="s">
        <v>130</v>
      </c>
      <c r="C152" s="4" t="s">
        <v>90</v>
      </c>
      <c r="D152" s="5" t="s">
        <v>131</v>
      </c>
      <c r="E152" s="5" t="s">
        <v>104</v>
      </c>
      <c r="F152" s="87"/>
      <c r="G152" s="6">
        <f t="shared" si="17"/>
        <v>0</v>
      </c>
      <c r="H152" s="101" t="s">
        <v>175</v>
      </c>
      <c r="I152" s="102"/>
      <c r="J152" s="102"/>
    </row>
    <row r="153" spans="1:10" ht="45">
      <c r="A153" s="6">
        <v>5</v>
      </c>
      <c r="B153" s="4" t="s">
        <v>132</v>
      </c>
      <c r="C153" s="4" t="s">
        <v>91</v>
      </c>
      <c r="D153" s="5" t="s">
        <v>131</v>
      </c>
      <c r="E153" s="5" t="s">
        <v>104</v>
      </c>
      <c r="F153" s="88"/>
      <c r="G153" s="6">
        <f t="shared" si="17"/>
        <v>0</v>
      </c>
      <c r="H153" s="101" t="s">
        <v>175</v>
      </c>
      <c r="I153" s="102"/>
      <c r="J153" s="102"/>
    </row>
    <row r="154" spans="1:10">
      <c r="A154" s="103" t="s">
        <v>173</v>
      </c>
      <c r="B154" s="103"/>
      <c r="C154" s="103"/>
      <c r="D154" s="103"/>
      <c r="E154" s="103"/>
      <c r="F154" s="103"/>
      <c r="G154" s="50">
        <f>SUM(G149:G153)</f>
        <v>0</v>
      </c>
    </row>
    <row r="155" spans="1:10">
      <c r="A155" s="6" t="s">
        <v>21</v>
      </c>
      <c r="B155" s="3" t="s">
        <v>22</v>
      </c>
      <c r="C155" s="6"/>
      <c r="D155" s="6"/>
      <c r="E155" s="6"/>
      <c r="F155" s="3"/>
      <c r="G155" s="3"/>
    </row>
    <row r="156" spans="1:10">
      <c r="A156" s="104" t="s">
        <v>172</v>
      </c>
      <c r="B156" s="104"/>
      <c r="C156" s="104"/>
      <c r="D156" s="104"/>
      <c r="E156" s="104"/>
      <c r="F156" s="104"/>
      <c r="G156" s="50">
        <f>SUM(G155)</f>
        <v>0</v>
      </c>
    </row>
    <row r="157" spans="1:10">
      <c r="A157" s="51" t="s">
        <v>26</v>
      </c>
      <c r="B157" s="105" t="s">
        <v>27</v>
      </c>
      <c r="C157" s="105"/>
      <c r="D157" s="105"/>
      <c r="E157" s="105"/>
      <c r="F157" s="105"/>
      <c r="G157" s="52">
        <f>SUM(G147:G156)/2</f>
        <v>0</v>
      </c>
    </row>
    <row r="158" spans="1:10">
      <c r="A158" s="51" t="s">
        <v>28</v>
      </c>
      <c r="B158" s="105" t="s">
        <v>29</v>
      </c>
      <c r="C158" s="105"/>
      <c r="D158" s="105"/>
      <c r="E158" s="105"/>
      <c r="F158" s="53">
        <v>0.1</v>
      </c>
      <c r="G158" s="52">
        <f>G157*F158</f>
        <v>0</v>
      </c>
    </row>
    <row r="159" spans="1:10">
      <c r="A159" s="51" t="s">
        <v>30</v>
      </c>
      <c r="B159" s="105" t="s">
        <v>31</v>
      </c>
      <c r="C159" s="105"/>
      <c r="D159" s="105"/>
      <c r="E159" s="105"/>
      <c r="F159" s="105"/>
      <c r="G159" s="52">
        <f>ROUNDDOWN(G157+G158,0)</f>
        <v>0</v>
      </c>
    </row>
    <row r="160" spans="1:10">
      <c r="A160" s="13"/>
      <c r="B160" s="14"/>
      <c r="C160" s="14"/>
      <c r="D160" s="14"/>
      <c r="E160" s="14"/>
      <c r="F160" s="14"/>
      <c r="G160" s="14"/>
    </row>
    <row r="161" spans="1:7">
      <c r="A161" s="2" t="s">
        <v>156</v>
      </c>
      <c r="B161"/>
      <c r="C161"/>
      <c r="D161"/>
      <c r="E161"/>
      <c r="F161"/>
      <c r="G161"/>
    </row>
    <row r="162" spans="1:7">
      <c r="A162" s="2" t="s">
        <v>151</v>
      </c>
      <c r="B162"/>
      <c r="C162"/>
      <c r="D162"/>
      <c r="E162"/>
      <c r="F162"/>
      <c r="G162"/>
    </row>
    <row r="163" spans="1:7" ht="30">
      <c r="A163" s="48" t="s">
        <v>71</v>
      </c>
      <c r="B163" s="48" t="s">
        <v>72</v>
      </c>
      <c r="C163" s="48" t="s">
        <v>73</v>
      </c>
      <c r="D163" s="48" t="s">
        <v>74</v>
      </c>
      <c r="E163" s="48" t="s">
        <v>75</v>
      </c>
      <c r="F163" s="48" t="s">
        <v>170</v>
      </c>
      <c r="G163" s="49" t="s">
        <v>171</v>
      </c>
    </row>
    <row r="164" spans="1:7">
      <c r="A164" s="6" t="s">
        <v>0</v>
      </c>
      <c r="B164" s="3" t="s">
        <v>1</v>
      </c>
      <c r="C164" s="6"/>
      <c r="D164" s="6"/>
      <c r="E164" s="6"/>
      <c r="F164" s="3"/>
      <c r="G164" s="3"/>
    </row>
    <row r="165" spans="1:7">
      <c r="A165" s="6">
        <v>1</v>
      </c>
      <c r="B165" s="3" t="s">
        <v>2</v>
      </c>
      <c r="C165" s="6" t="s">
        <v>3</v>
      </c>
      <c r="D165" s="6" t="s">
        <v>4</v>
      </c>
      <c r="E165" s="6" t="s">
        <v>50</v>
      </c>
      <c r="F165" s="86">
        <f>VLOOKUP(B165,'UPAH,BHN,ALAT'!$B$6:E398,4,FALSE)</f>
        <v>10000</v>
      </c>
      <c r="G165" s="52">
        <f t="shared" ref="G165:G166" si="18">E165*F165</f>
        <v>12569.999999999998</v>
      </c>
    </row>
    <row r="166" spans="1:7">
      <c r="A166" s="6">
        <v>2</v>
      </c>
      <c r="B166" s="3" t="s">
        <v>11</v>
      </c>
      <c r="C166" s="6" t="s">
        <v>12</v>
      </c>
      <c r="D166" s="6" t="s">
        <v>4</v>
      </c>
      <c r="E166" s="6" t="s">
        <v>51</v>
      </c>
      <c r="F166" s="86">
        <f>VLOOKUP(B166,'UPAH,BHN,ALAT'!$B$6:E399,4,FALSE)</f>
        <v>10000</v>
      </c>
      <c r="G166" s="52">
        <f t="shared" si="18"/>
        <v>630</v>
      </c>
    </row>
    <row r="167" spans="1:7">
      <c r="A167" s="103" t="s">
        <v>174</v>
      </c>
      <c r="B167" s="103"/>
      <c r="C167" s="103"/>
      <c r="D167" s="103"/>
      <c r="E167" s="103"/>
      <c r="F167" s="103"/>
      <c r="G167" s="50">
        <f>SUM(G164:G166)</f>
        <v>13199.999999999998</v>
      </c>
    </row>
    <row r="168" spans="1:7">
      <c r="A168" s="6" t="s">
        <v>14</v>
      </c>
      <c r="B168" s="3" t="s">
        <v>15</v>
      </c>
      <c r="C168" s="6"/>
      <c r="D168" s="6"/>
      <c r="E168" s="6"/>
      <c r="F168" s="3"/>
      <c r="G168" s="3"/>
    </row>
    <row r="169" spans="1:7" ht="30">
      <c r="A169" s="6">
        <v>1</v>
      </c>
      <c r="B169" s="7" t="s">
        <v>133</v>
      </c>
      <c r="C169" s="6"/>
      <c r="D169" s="5" t="s">
        <v>105</v>
      </c>
      <c r="E169" s="5" t="s">
        <v>106</v>
      </c>
      <c r="F169" s="86">
        <f>VLOOKUP(B169,'UPAH,BHN,ALAT'!$B$6:E402,4,FALSE)</f>
        <v>10000</v>
      </c>
      <c r="G169" s="52">
        <f t="shared" ref="G169:G173" si="19">E169*F169</f>
        <v>576000</v>
      </c>
    </row>
    <row r="170" spans="1:7" ht="30">
      <c r="A170" s="6">
        <v>2</v>
      </c>
      <c r="B170" s="4" t="s">
        <v>107</v>
      </c>
      <c r="C170" s="6"/>
      <c r="D170" s="5" t="s">
        <v>55</v>
      </c>
      <c r="E170" s="5" t="s">
        <v>108</v>
      </c>
      <c r="F170" s="86">
        <f>VLOOKUP(B170,'UPAH,BHN,ALAT'!$B$6:E403,4,FALSE)</f>
        <v>10000</v>
      </c>
      <c r="G170" s="52">
        <f t="shared" si="19"/>
        <v>30000</v>
      </c>
    </row>
    <row r="171" spans="1:7" ht="30">
      <c r="A171" s="6">
        <v>3</v>
      </c>
      <c r="B171" s="4" t="s">
        <v>109</v>
      </c>
      <c r="C171" s="6"/>
      <c r="D171" s="5" t="s">
        <v>131</v>
      </c>
      <c r="E171" s="5" t="s">
        <v>110</v>
      </c>
      <c r="F171" s="86">
        <f>VLOOKUP(B171,'UPAH,BHN,ALAT'!$B$6:E404,4,FALSE)</f>
        <v>10000</v>
      </c>
      <c r="G171" s="52">
        <f t="shared" si="19"/>
        <v>63</v>
      </c>
    </row>
    <row r="172" spans="1:7" ht="30">
      <c r="A172" s="6">
        <v>4</v>
      </c>
      <c r="B172" s="4" t="s">
        <v>111</v>
      </c>
      <c r="C172" s="6"/>
      <c r="D172" s="5" t="s">
        <v>131</v>
      </c>
      <c r="E172" s="5" t="s">
        <v>89</v>
      </c>
      <c r="F172" s="86">
        <f>VLOOKUP(B172,'UPAH,BHN,ALAT'!$B$6:E405,4,FALSE)</f>
        <v>10000</v>
      </c>
      <c r="G172" s="52">
        <f t="shared" si="19"/>
        <v>204.00000000000003</v>
      </c>
    </row>
    <row r="173" spans="1:7">
      <c r="A173" s="6">
        <v>5</v>
      </c>
      <c r="B173" s="3" t="s">
        <v>52</v>
      </c>
      <c r="C173" s="6"/>
      <c r="D173" s="6" t="s">
        <v>17</v>
      </c>
      <c r="E173" s="6" t="s">
        <v>53</v>
      </c>
      <c r="F173" s="86">
        <f>VLOOKUP(B173,'UPAH,BHN,ALAT'!$B$6:E406,4,FALSE)</f>
        <v>10000</v>
      </c>
      <c r="G173" s="52">
        <f t="shared" si="19"/>
        <v>5000</v>
      </c>
    </row>
    <row r="174" spans="1:7">
      <c r="A174" s="103" t="s">
        <v>173</v>
      </c>
      <c r="B174" s="103"/>
      <c r="C174" s="103"/>
      <c r="D174" s="103"/>
      <c r="E174" s="103"/>
      <c r="F174" s="103"/>
      <c r="G174" s="50">
        <f>SUM(G169:G173)</f>
        <v>611267</v>
      </c>
    </row>
    <row r="175" spans="1:7">
      <c r="A175" s="6" t="s">
        <v>21</v>
      </c>
      <c r="B175" s="3" t="s">
        <v>22</v>
      </c>
      <c r="C175" s="6"/>
      <c r="D175" s="6"/>
      <c r="E175" s="6"/>
      <c r="F175" s="3"/>
      <c r="G175" s="3"/>
    </row>
    <row r="176" spans="1:7">
      <c r="A176" s="104" t="s">
        <v>172</v>
      </c>
      <c r="B176" s="104"/>
      <c r="C176" s="104"/>
      <c r="D176" s="104"/>
      <c r="E176" s="104"/>
      <c r="F176" s="104"/>
      <c r="G176" s="50">
        <f>SUM(G175)</f>
        <v>0</v>
      </c>
    </row>
    <row r="177" spans="1:7">
      <c r="A177" s="51" t="s">
        <v>26</v>
      </c>
      <c r="B177" s="105" t="s">
        <v>27</v>
      </c>
      <c r="C177" s="105"/>
      <c r="D177" s="105"/>
      <c r="E177" s="105"/>
      <c r="F177" s="105"/>
      <c r="G177" s="52">
        <f>SUM(G165:G176)/2</f>
        <v>624467</v>
      </c>
    </row>
    <row r="178" spans="1:7">
      <c r="A178" s="51" t="s">
        <v>28</v>
      </c>
      <c r="B178" s="105" t="s">
        <v>29</v>
      </c>
      <c r="C178" s="105"/>
      <c r="D178" s="105"/>
      <c r="E178" s="105"/>
      <c r="F178" s="53">
        <v>0.1</v>
      </c>
      <c r="G178" s="52">
        <f>G177*F178</f>
        <v>62446.700000000004</v>
      </c>
    </row>
    <row r="179" spans="1:7">
      <c r="A179" s="51" t="s">
        <v>30</v>
      </c>
      <c r="B179" s="105" t="s">
        <v>31</v>
      </c>
      <c r="C179" s="105"/>
      <c r="D179" s="105"/>
      <c r="E179" s="105"/>
      <c r="F179" s="105"/>
      <c r="G179" s="52">
        <f>ROUNDDOWN(G177+G178,0)</f>
        <v>686913</v>
      </c>
    </row>
    <row r="180" spans="1:7">
      <c r="A180" s="13"/>
      <c r="B180" s="14"/>
      <c r="C180" s="14"/>
      <c r="D180" s="14"/>
      <c r="E180" s="14"/>
      <c r="F180" s="14"/>
      <c r="G180" s="14"/>
    </row>
    <row r="181" spans="1:7">
      <c r="A181" s="2" t="s">
        <v>152</v>
      </c>
      <c r="B181"/>
      <c r="C181"/>
      <c r="D181"/>
      <c r="E181"/>
      <c r="F181"/>
      <c r="G181"/>
    </row>
    <row r="182" spans="1:7" ht="30">
      <c r="A182" s="48" t="s">
        <v>71</v>
      </c>
      <c r="B182" s="48" t="s">
        <v>72</v>
      </c>
      <c r="C182" s="48" t="s">
        <v>73</v>
      </c>
      <c r="D182" s="48" t="s">
        <v>74</v>
      </c>
      <c r="E182" s="48" t="s">
        <v>75</v>
      </c>
      <c r="F182" s="48" t="s">
        <v>170</v>
      </c>
      <c r="G182" s="49" t="s">
        <v>171</v>
      </c>
    </row>
    <row r="183" spans="1:7">
      <c r="A183" s="6" t="s">
        <v>0</v>
      </c>
      <c r="B183" s="3" t="s">
        <v>1</v>
      </c>
      <c r="C183" s="6"/>
      <c r="D183" s="6"/>
      <c r="E183" s="6"/>
      <c r="F183" s="3"/>
      <c r="G183" s="3"/>
    </row>
    <row r="184" spans="1:7">
      <c r="A184" s="103" t="s">
        <v>174</v>
      </c>
      <c r="B184" s="103"/>
      <c r="C184" s="103"/>
      <c r="D184" s="103"/>
      <c r="E184" s="103"/>
      <c r="F184" s="103"/>
      <c r="G184" s="50">
        <f>SUM(G183)</f>
        <v>0</v>
      </c>
    </row>
    <row r="185" spans="1:7">
      <c r="A185" s="6" t="s">
        <v>14</v>
      </c>
      <c r="B185" s="3" t="s">
        <v>15</v>
      </c>
      <c r="C185" s="6"/>
      <c r="D185" s="6"/>
      <c r="E185" s="6"/>
      <c r="F185" s="3"/>
      <c r="G185" s="3"/>
    </row>
    <row r="186" spans="1:7">
      <c r="A186" s="6">
        <v>1</v>
      </c>
      <c r="B186" s="3" t="s">
        <v>54</v>
      </c>
      <c r="C186" s="6"/>
      <c r="D186" s="6" t="s">
        <v>55</v>
      </c>
      <c r="E186" s="6">
        <v>78</v>
      </c>
      <c r="F186" s="86">
        <f>VLOOKUP(B186,'UPAH,BHN,ALAT'!$B$6:E419,4,FALSE)</f>
        <v>10000</v>
      </c>
      <c r="G186" s="52">
        <f t="shared" ref="G186:G188" si="20">E186*F186</f>
        <v>780000</v>
      </c>
    </row>
    <row r="187" spans="1:7">
      <c r="A187" s="6">
        <v>2</v>
      </c>
      <c r="B187" s="3" t="s">
        <v>56</v>
      </c>
      <c r="C187" s="6"/>
      <c r="D187" s="6" t="s">
        <v>55</v>
      </c>
      <c r="E187" s="6">
        <v>30</v>
      </c>
      <c r="F187" s="86">
        <f>VLOOKUP(B187,'UPAH,BHN,ALAT'!$B$6:E420,4,FALSE)</f>
        <v>10000</v>
      </c>
      <c r="G187" s="52">
        <f t="shared" si="20"/>
        <v>300000</v>
      </c>
    </row>
    <row r="188" spans="1:7">
      <c r="A188" s="6">
        <v>3</v>
      </c>
      <c r="B188" s="3" t="s">
        <v>57</v>
      </c>
      <c r="C188" s="6"/>
      <c r="D188" s="6" t="s">
        <v>55</v>
      </c>
      <c r="E188" s="6">
        <v>30</v>
      </c>
      <c r="F188" s="86">
        <f>VLOOKUP(B188,'UPAH,BHN,ALAT'!$B$6:E421,4,FALSE)</f>
        <v>10000</v>
      </c>
      <c r="G188" s="52">
        <f t="shared" si="20"/>
        <v>300000</v>
      </c>
    </row>
    <row r="189" spans="1:7">
      <c r="A189" s="103" t="s">
        <v>173</v>
      </c>
      <c r="B189" s="103"/>
      <c r="C189" s="103"/>
      <c r="D189" s="103"/>
      <c r="E189" s="103"/>
      <c r="F189" s="103"/>
      <c r="G189" s="50">
        <f>SUM(G186:G188)</f>
        <v>1380000</v>
      </c>
    </row>
    <row r="190" spans="1:7">
      <c r="A190" s="6" t="s">
        <v>21</v>
      </c>
      <c r="B190" s="3" t="s">
        <v>22</v>
      </c>
      <c r="C190" s="6"/>
      <c r="D190" s="6"/>
      <c r="E190" s="6"/>
      <c r="F190" s="3"/>
      <c r="G190" s="3"/>
    </row>
    <row r="191" spans="1:7">
      <c r="A191" s="104" t="s">
        <v>172</v>
      </c>
      <c r="B191" s="104"/>
      <c r="C191" s="104"/>
      <c r="D191" s="104"/>
      <c r="E191" s="104"/>
      <c r="F191" s="104"/>
      <c r="G191" s="50">
        <f>SUM(G190)</f>
        <v>0</v>
      </c>
    </row>
    <row r="192" spans="1:7">
      <c r="A192" s="51" t="s">
        <v>26</v>
      </c>
      <c r="B192" s="105" t="s">
        <v>27</v>
      </c>
      <c r="C192" s="105"/>
      <c r="D192" s="105"/>
      <c r="E192" s="105"/>
      <c r="F192" s="105"/>
      <c r="G192" s="52">
        <f>SUM(G183:G191)/2</f>
        <v>1380000</v>
      </c>
    </row>
    <row r="193" spans="1:7">
      <c r="A193" s="51" t="s">
        <v>28</v>
      </c>
      <c r="B193" s="105" t="s">
        <v>29</v>
      </c>
      <c r="C193" s="105"/>
      <c r="D193" s="105"/>
      <c r="E193" s="105"/>
      <c r="F193" s="53">
        <v>0.1</v>
      </c>
      <c r="G193" s="52">
        <f>G192*F193</f>
        <v>138000</v>
      </c>
    </row>
    <row r="194" spans="1:7">
      <c r="A194" s="51" t="s">
        <v>30</v>
      </c>
      <c r="B194" s="105" t="s">
        <v>31</v>
      </c>
      <c r="C194" s="105"/>
      <c r="D194" s="105"/>
      <c r="E194" s="105"/>
      <c r="F194" s="105"/>
      <c r="G194" s="52">
        <f>ROUNDDOWN(G192+G193,0)</f>
        <v>1518000</v>
      </c>
    </row>
    <row r="195" spans="1:7">
      <c r="A195" s="13"/>
      <c r="B195" s="14"/>
      <c r="C195" s="14"/>
      <c r="D195" s="14"/>
      <c r="E195" s="14"/>
      <c r="F195" s="14"/>
      <c r="G195" s="14"/>
    </row>
    <row r="196" spans="1:7">
      <c r="A196" s="2" t="s">
        <v>153</v>
      </c>
      <c r="B196"/>
      <c r="C196"/>
      <c r="D196"/>
      <c r="E196"/>
      <c r="F196"/>
      <c r="G196"/>
    </row>
    <row r="197" spans="1:7">
      <c r="A197" s="2" t="s">
        <v>154</v>
      </c>
      <c r="B197"/>
      <c r="C197"/>
      <c r="D197"/>
      <c r="E197"/>
      <c r="F197"/>
      <c r="G197"/>
    </row>
    <row r="198" spans="1:7" ht="30">
      <c r="A198" s="48" t="s">
        <v>71</v>
      </c>
      <c r="B198" s="48" t="s">
        <v>72</v>
      </c>
      <c r="C198" s="48" t="s">
        <v>73</v>
      </c>
      <c r="D198" s="48" t="s">
        <v>74</v>
      </c>
      <c r="E198" s="48" t="s">
        <v>75</v>
      </c>
      <c r="F198" s="48" t="s">
        <v>170</v>
      </c>
      <c r="G198" s="49" t="s">
        <v>171</v>
      </c>
    </row>
    <row r="199" spans="1:7">
      <c r="A199" s="6" t="s">
        <v>0</v>
      </c>
      <c r="B199" s="3" t="s">
        <v>1</v>
      </c>
      <c r="C199" s="6"/>
      <c r="D199" s="6"/>
      <c r="E199" s="6"/>
      <c r="F199" s="3"/>
      <c r="G199" s="3"/>
    </row>
    <row r="200" spans="1:7">
      <c r="A200" s="6">
        <v>1</v>
      </c>
      <c r="B200" s="3" t="s">
        <v>58</v>
      </c>
      <c r="C200" s="6" t="s">
        <v>3</v>
      </c>
      <c r="D200" s="6" t="s">
        <v>4</v>
      </c>
      <c r="E200" s="6" t="s">
        <v>59</v>
      </c>
      <c r="F200" s="86">
        <f>VLOOKUP(B200,'UPAH,BHN,ALAT'!$B$6:E433,4,FALSE)</f>
        <v>10000</v>
      </c>
      <c r="G200" s="52">
        <f t="shared" ref="G200:G203" si="21">E200*F200</f>
        <v>80000</v>
      </c>
    </row>
    <row r="201" spans="1:7">
      <c r="A201" s="6">
        <v>2</v>
      </c>
      <c r="B201" s="3" t="s">
        <v>60</v>
      </c>
      <c r="C201" s="6" t="s">
        <v>6</v>
      </c>
      <c r="D201" s="6" t="s">
        <v>4</v>
      </c>
      <c r="E201" s="6" t="s">
        <v>61</v>
      </c>
      <c r="F201" s="86">
        <f>VLOOKUP(B201,'UPAH,BHN,ALAT'!$B$6:E434,4,FALSE)</f>
        <v>10000</v>
      </c>
      <c r="G201" s="52">
        <f t="shared" si="21"/>
        <v>20000</v>
      </c>
    </row>
    <row r="202" spans="1:7">
      <c r="A202" s="6">
        <v>3</v>
      </c>
      <c r="B202" s="3" t="s">
        <v>8</v>
      </c>
      <c r="C202" s="6" t="s">
        <v>9</v>
      </c>
      <c r="D202" s="6" t="s">
        <v>4</v>
      </c>
      <c r="E202" s="6" t="s">
        <v>62</v>
      </c>
      <c r="F202" s="86">
        <f>VLOOKUP(B202,'UPAH,BHN,ALAT'!$B$6:E435,4,FALSE)</f>
        <v>10000</v>
      </c>
      <c r="G202" s="52">
        <f t="shared" si="21"/>
        <v>2000</v>
      </c>
    </row>
    <row r="203" spans="1:7">
      <c r="A203" s="6">
        <v>4</v>
      </c>
      <c r="B203" s="3" t="s">
        <v>11</v>
      </c>
      <c r="C203" s="6" t="s">
        <v>12</v>
      </c>
      <c r="D203" s="6" t="s">
        <v>4</v>
      </c>
      <c r="E203" s="6" t="s">
        <v>63</v>
      </c>
      <c r="F203" s="86">
        <f>VLOOKUP(B203,'UPAH,BHN,ALAT'!$B$6:E436,4,FALSE)</f>
        <v>10000</v>
      </c>
      <c r="G203" s="52">
        <f t="shared" si="21"/>
        <v>400</v>
      </c>
    </row>
    <row r="204" spans="1:7">
      <c r="A204" s="103" t="s">
        <v>174</v>
      </c>
      <c r="B204" s="103"/>
      <c r="C204" s="103"/>
      <c r="D204" s="103"/>
      <c r="E204" s="103"/>
      <c r="F204" s="103"/>
      <c r="G204" s="50">
        <f>SUM(G200:G203)</f>
        <v>102400</v>
      </c>
    </row>
    <row r="205" spans="1:7">
      <c r="A205" s="6" t="s">
        <v>14</v>
      </c>
      <c r="B205" s="3" t="s">
        <v>15</v>
      </c>
      <c r="C205" s="6"/>
      <c r="D205" s="6"/>
      <c r="E205" s="6"/>
      <c r="F205" s="3"/>
      <c r="G205" s="3"/>
    </row>
    <row r="206" spans="1:7" ht="30">
      <c r="A206" s="3" t="s">
        <v>64</v>
      </c>
      <c r="B206" s="4" t="s">
        <v>112</v>
      </c>
      <c r="C206" s="6"/>
      <c r="D206" s="6"/>
      <c r="E206" s="6"/>
      <c r="F206" s="3"/>
      <c r="G206" s="3"/>
    </row>
    <row r="207" spans="1:7" ht="30">
      <c r="A207" s="6">
        <v>1</v>
      </c>
      <c r="B207" s="4" t="s">
        <v>113</v>
      </c>
      <c r="C207" s="6"/>
      <c r="D207" s="5" t="s">
        <v>55</v>
      </c>
      <c r="E207" s="5" t="s">
        <v>114</v>
      </c>
      <c r="F207" s="86">
        <f>VLOOKUP(B207,'UPAH,BHN,ALAT'!$B$6:E440,4,FALSE)</f>
        <v>10000</v>
      </c>
      <c r="G207" s="52">
        <f t="shared" ref="G207:G214" si="22">E207*F207</f>
        <v>1040000</v>
      </c>
    </row>
    <row r="208" spans="1:7" ht="30">
      <c r="A208" s="6">
        <v>2</v>
      </c>
      <c r="B208" s="4" t="s">
        <v>115</v>
      </c>
      <c r="C208" s="6"/>
      <c r="D208" s="5" t="s">
        <v>55</v>
      </c>
      <c r="E208" s="5" t="s">
        <v>116</v>
      </c>
      <c r="F208" s="86">
        <f>VLOOKUP(B208,'UPAH,BHN,ALAT'!$B$6:E441,4,FALSE)</f>
        <v>10000</v>
      </c>
      <c r="G208" s="52">
        <f t="shared" si="22"/>
        <v>1330000</v>
      </c>
    </row>
    <row r="209" spans="1:7" ht="30">
      <c r="A209" s="6">
        <v>3</v>
      </c>
      <c r="B209" s="4" t="s">
        <v>117</v>
      </c>
      <c r="C209" s="6"/>
      <c r="D209" s="5" t="s">
        <v>55</v>
      </c>
      <c r="E209" s="5" t="s">
        <v>118</v>
      </c>
      <c r="F209" s="86">
        <f>VLOOKUP(B209,'UPAH,BHN,ALAT'!$B$6:E442,4,FALSE)</f>
        <v>10000</v>
      </c>
      <c r="G209" s="52">
        <f t="shared" si="22"/>
        <v>1560000</v>
      </c>
    </row>
    <row r="210" spans="1:7">
      <c r="A210" s="6">
        <v>4</v>
      </c>
      <c r="B210" s="3" t="s">
        <v>65</v>
      </c>
      <c r="C210" s="6"/>
      <c r="D210" s="6" t="s">
        <v>55</v>
      </c>
      <c r="E210" s="6">
        <v>786</v>
      </c>
      <c r="F210" s="86">
        <f>VLOOKUP(B210,'UPAH,BHN,ALAT'!$B$6:E443,4,FALSE)</f>
        <v>10000</v>
      </c>
      <c r="G210" s="52">
        <f t="shared" si="22"/>
        <v>7860000</v>
      </c>
    </row>
    <row r="211" spans="1:7">
      <c r="A211" s="3" t="s">
        <v>66</v>
      </c>
      <c r="B211" s="3" t="s">
        <v>134</v>
      </c>
      <c r="C211" s="6"/>
      <c r="D211" s="6"/>
      <c r="E211" s="6"/>
      <c r="F211" s="86"/>
      <c r="G211" s="52">
        <f t="shared" si="22"/>
        <v>0</v>
      </c>
    </row>
    <row r="212" spans="1:7" ht="30">
      <c r="A212" s="6">
        <v>1</v>
      </c>
      <c r="B212" s="4" t="s">
        <v>135</v>
      </c>
      <c r="C212" s="6"/>
      <c r="D212" s="5" t="s">
        <v>55</v>
      </c>
      <c r="E212" s="5" t="s">
        <v>119</v>
      </c>
      <c r="F212" s="86">
        <f>VLOOKUP(B212,'UPAH,BHN,ALAT'!$B$6:E445,4,FALSE)</f>
        <v>10000</v>
      </c>
      <c r="G212" s="52">
        <f t="shared" si="22"/>
        <v>800000</v>
      </c>
    </row>
    <row r="213" spans="1:7" ht="30">
      <c r="A213" s="6">
        <v>2</v>
      </c>
      <c r="B213" s="4" t="s">
        <v>136</v>
      </c>
      <c r="C213" s="6"/>
      <c r="D213" s="5" t="s">
        <v>55</v>
      </c>
      <c r="E213" s="5" t="s">
        <v>120</v>
      </c>
      <c r="F213" s="86">
        <f>VLOOKUP(B213,'UPAH,BHN,ALAT'!$B$6:E446,4,FALSE)</f>
        <v>10000</v>
      </c>
      <c r="G213" s="52">
        <f t="shared" si="22"/>
        <v>240000</v>
      </c>
    </row>
    <row r="214" spans="1:7" ht="30">
      <c r="A214" s="6">
        <v>3</v>
      </c>
      <c r="B214" s="4" t="s">
        <v>137</v>
      </c>
      <c r="C214" s="6"/>
      <c r="D214" s="5" t="s">
        <v>55</v>
      </c>
      <c r="E214" s="5" t="s">
        <v>121</v>
      </c>
      <c r="F214" s="86">
        <f>VLOOKUP(B214,'UPAH,BHN,ALAT'!$B$6:E447,4,FALSE)</f>
        <v>10000</v>
      </c>
      <c r="G214" s="52">
        <f t="shared" si="22"/>
        <v>1740000</v>
      </c>
    </row>
    <row r="215" spans="1:7" ht="30">
      <c r="A215" s="6">
        <v>4</v>
      </c>
      <c r="B215" s="4" t="s">
        <v>138</v>
      </c>
      <c r="C215" s="6"/>
      <c r="D215" s="5" t="s">
        <v>55</v>
      </c>
      <c r="E215" s="5" t="s">
        <v>122</v>
      </c>
      <c r="F215" s="86">
        <f>VLOOKUP(B215,'UPAH,BHN,ALAT'!$B$6:E448,4,FALSE)</f>
        <v>10000</v>
      </c>
      <c r="G215" s="52">
        <f t="shared" ref="G215" si="23">E215*F215</f>
        <v>120000</v>
      </c>
    </row>
    <row r="216" spans="1:7" ht="30">
      <c r="A216" s="3" t="s">
        <v>67</v>
      </c>
      <c r="B216" s="4" t="s">
        <v>123</v>
      </c>
      <c r="C216" s="6"/>
      <c r="D216" s="6"/>
      <c r="E216" s="6"/>
      <c r="F216" s="3"/>
      <c r="G216" s="3"/>
    </row>
    <row r="217" spans="1:7" ht="45">
      <c r="A217" s="6">
        <v>1</v>
      </c>
      <c r="B217" s="4" t="s">
        <v>124</v>
      </c>
      <c r="C217" s="6"/>
      <c r="D217" s="5" t="s">
        <v>55</v>
      </c>
      <c r="E217" s="5" t="s">
        <v>125</v>
      </c>
      <c r="F217" s="86">
        <f>VLOOKUP(B217,'UPAH,BHN,ALAT'!$B$6:E450,4,FALSE)</f>
        <v>10000</v>
      </c>
      <c r="G217" s="52">
        <f t="shared" ref="G217:G218" si="24">E217*F217</f>
        <v>300000</v>
      </c>
    </row>
    <row r="218" spans="1:7" ht="45">
      <c r="A218" s="6">
        <v>2</v>
      </c>
      <c r="B218" s="4" t="s">
        <v>126</v>
      </c>
      <c r="C218" s="6"/>
      <c r="D218" s="5" t="s">
        <v>55</v>
      </c>
      <c r="E218" s="5" t="s">
        <v>127</v>
      </c>
      <c r="F218" s="86">
        <f>VLOOKUP(B218,'UPAH,BHN,ALAT'!$B$6:E451,4,FALSE)</f>
        <v>10000</v>
      </c>
      <c r="G218" s="52">
        <f t="shared" si="24"/>
        <v>150000</v>
      </c>
    </row>
    <row r="219" spans="1:7">
      <c r="A219" s="103" t="s">
        <v>173</v>
      </c>
      <c r="B219" s="103"/>
      <c r="C219" s="103"/>
      <c r="D219" s="103"/>
      <c r="E219" s="103"/>
      <c r="F219" s="103"/>
      <c r="G219" s="50">
        <f>SUM(G206:G218)</f>
        <v>15140000</v>
      </c>
    </row>
    <row r="220" spans="1:7">
      <c r="A220" s="6" t="s">
        <v>21</v>
      </c>
      <c r="B220" s="3" t="s">
        <v>22</v>
      </c>
      <c r="C220" s="6"/>
      <c r="D220" s="6"/>
      <c r="E220" s="6"/>
      <c r="F220" s="3"/>
      <c r="G220" s="3"/>
    </row>
    <row r="221" spans="1:7">
      <c r="A221" s="104" t="s">
        <v>172</v>
      </c>
      <c r="B221" s="104"/>
      <c r="C221" s="104"/>
      <c r="D221" s="104"/>
      <c r="E221" s="104"/>
      <c r="F221" s="104"/>
      <c r="G221" s="50">
        <f>SUM(G220)</f>
        <v>0</v>
      </c>
    </row>
    <row r="222" spans="1:7">
      <c r="A222" s="51" t="s">
        <v>26</v>
      </c>
      <c r="B222" s="105" t="s">
        <v>27</v>
      </c>
      <c r="C222" s="105"/>
      <c r="D222" s="105"/>
      <c r="E222" s="105"/>
      <c r="F222" s="105"/>
      <c r="G222" s="52">
        <f>SUM(G200:G221)/2</f>
        <v>15242400</v>
      </c>
    </row>
    <row r="223" spans="1:7">
      <c r="A223" s="51" t="s">
        <v>28</v>
      </c>
      <c r="B223" s="105" t="s">
        <v>29</v>
      </c>
      <c r="C223" s="105"/>
      <c r="D223" s="105"/>
      <c r="E223" s="105"/>
      <c r="F223" s="53">
        <v>0.1</v>
      </c>
      <c r="G223" s="52">
        <f>G222*F223</f>
        <v>1524240</v>
      </c>
    </row>
    <row r="224" spans="1:7">
      <c r="A224" s="51" t="s">
        <v>30</v>
      </c>
      <c r="B224" s="105" t="s">
        <v>31</v>
      </c>
      <c r="C224" s="105"/>
      <c r="D224" s="105"/>
      <c r="E224" s="105"/>
      <c r="F224" s="105"/>
      <c r="G224" s="52">
        <f>ROUNDDOWN(G222+G223,0)</f>
        <v>16766640</v>
      </c>
    </row>
    <row r="225" spans="1:7">
      <c r="A225" s="13"/>
      <c r="B225" s="14"/>
      <c r="C225" s="14"/>
      <c r="D225" s="14"/>
      <c r="E225" s="14"/>
      <c r="F225" s="14"/>
      <c r="G225" s="14"/>
    </row>
    <row r="226" spans="1:7">
      <c r="A226" s="2" t="s">
        <v>155</v>
      </c>
      <c r="B226"/>
      <c r="C226"/>
      <c r="D226"/>
      <c r="E226"/>
      <c r="F226"/>
      <c r="G226"/>
    </row>
    <row r="227" spans="1:7" ht="30">
      <c r="A227" s="48" t="s">
        <v>71</v>
      </c>
      <c r="B227" s="48" t="s">
        <v>72</v>
      </c>
      <c r="C227" s="48" t="s">
        <v>73</v>
      </c>
      <c r="D227" s="48" t="s">
        <v>74</v>
      </c>
      <c r="E227" s="48" t="s">
        <v>75</v>
      </c>
      <c r="F227" s="48" t="s">
        <v>170</v>
      </c>
      <c r="G227" s="49" t="s">
        <v>171</v>
      </c>
    </row>
    <row r="228" spans="1:7">
      <c r="A228" s="6">
        <v>1</v>
      </c>
      <c r="B228" s="3" t="s">
        <v>58</v>
      </c>
      <c r="C228" s="6" t="s">
        <v>3</v>
      </c>
      <c r="D228" s="6" t="s">
        <v>4</v>
      </c>
      <c r="E228" s="6" t="s">
        <v>59</v>
      </c>
      <c r="F228" s="86">
        <f>VLOOKUP(B228,'UPAH,BHN,ALAT'!$B$6:E461,4,FALSE)</f>
        <v>10000</v>
      </c>
      <c r="G228" s="52">
        <f t="shared" ref="G228:G231" si="25">E228*F228</f>
        <v>80000</v>
      </c>
    </row>
    <row r="229" spans="1:7">
      <c r="A229" s="6">
        <v>2</v>
      </c>
      <c r="B229" s="3" t="s">
        <v>60</v>
      </c>
      <c r="C229" s="6" t="s">
        <v>6</v>
      </c>
      <c r="D229" s="6" t="s">
        <v>4</v>
      </c>
      <c r="E229" s="6" t="s">
        <v>61</v>
      </c>
      <c r="F229" s="86">
        <f>VLOOKUP(B229,'UPAH,BHN,ALAT'!$B$6:E462,4,FALSE)</f>
        <v>10000</v>
      </c>
      <c r="G229" s="52">
        <f t="shared" si="25"/>
        <v>20000</v>
      </c>
    </row>
    <row r="230" spans="1:7">
      <c r="A230" s="6">
        <v>3</v>
      </c>
      <c r="B230" s="3" t="s">
        <v>8</v>
      </c>
      <c r="C230" s="6" t="s">
        <v>9</v>
      </c>
      <c r="D230" s="6" t="s">
        <v>4</v>
      </c>
      <c r="E230" s="6" t="s">
        <v>62</v>
      </c>
      <c r="F230" s="86">
        <f>VLOOKUP(B230,'UPAH,BHN,ALAT'!$B$6:E463,4,FALSE)</f>
        <v>10000</v>
      </c>
      <c r="G230" s="52">
        <f t="shared" si="25"/>
        <v>2000</v>
      </c>
    </row>
    <row r="231" spans="1:7">
      <c r="A231" s="6">
        <v>4</v>
      </c>
      <c r="B231" s="3" t="s">
        <v>11</v>
      </c>
      <c r="C231" s="6" t="s">
        <v>12</v>
      </c>
      <c r="D231" s="6" t="s">
        <v>4</v>
      </c>
      <c r="E231" s="6" t="s">
        <v>63</v>
      </c>
      <c r="F231" s="86">
        <f>VLOOKUP(B231,'UPAH,BHN,ALAT'!$B$6:E464,4,FALSE)</f>
        <v>10000</v>
      </c>
      <c r="G231" s="52">
        <f t="shared" si="25"/>
        <v>400</v>
      </c>
    </row>
    <row r="232" spans="1:7">
      <c r="A232" s="103" t="s">
        <v>174</v>
      </c>
      <c r="B232" s="103"/>
      <c r="C232" s="103"/>
      <c r="D232" s="103"/>
      <c r="E232" s="103"/>
      <c r="F232" s="103"/>
      <c r="G232" s="50">
        <f>SUM(G228:G231)</f>
        <v>102400</v>
      </c>
    </row>
    <row r="233" spans="1:7">
      <c r="A233" s="6" t="s">
        <v>14</v>
      </c>
      <c r="B233" s="3" t="s">
        <v>15</v>
      </c>
      <c r="C233" s="6"/>
      <c r="D233" s="6"/>
      <c r="E233" s="6"/>
      <c r="F233" s="3"/>
      <c r="G233" s="3"/>
    </row>
    <row r="234" spans="1:7">
      <c r="A234" s="3"/>
      <c r="B234" s="3"/>
      <c r="C234" s="6"/>
      <c r="D234" s="6"/>
      <c r="E234" s="6"/>
      <c r="F234" s="3"/>
      <c r="G234" s="3"/>
    </row>
    <row r="235" spans="1:7">
      <c r="A235" s="103" t="s">
        <v>173</v>
      </c>
      <c r="B235" s="103"/>
      <c r="C235" s="103"/>
      <c r="D235" s="103"/>
      <c r="E235" s="103"/>
      <c r="F235" s="103"/>
      <c r="G235" s="50">
        <f>SUM(G233:G234)</f>
        <v>0</v>
      </c>
    </row>
    <row r="236" spans="1:7">
      <c r="A236" s="6" t="s">
        <v>21</v>
      </c>
      <c r="B236" s="3" t="s">
        <v>22</v>
      </c>
      <c r="C236" s="6"/>
      <c r="D236" s="6"/>
      <c r="E236" s="6"/>
      <c r="F236" s="3"/>
      <c r="G236" s="3"/>
    </row>
    <row r="237" spans="1:7">
      <c r="A237" s="104" t="s">
        <v>172</v>
      </c>
      <c r="B237" s="104"/>
      <c r="C237" s="104"/>
      <c r="D237" s="104"/>
      <c r="E237" s="104"/>
      <c r="F237" s="104"/>
      <c r="G237" s="50">
        <f>SUM(G236)</f>
        <v>0</v>
      </c>
    </row>
    <row r="238" spans="1:7">
      <c r="A238" s="51" t="s">
        <v>26</v>
      </c>
      <c r="B238" s="105" t="s">
        <v>27</v>
      </c>
      <c r="C238" s="105"/>
      <c r="D238" s="105"/>
      <c r="E238" s="105"/>
      <c r="F238" s="105"/>
      <c r="G238" s="52">
        <f>SUM(G228:G237)/2</f>
        <v>102400</v>
      </c>
    </row>
    <row r="239" spans="1:7">
      <c r="A239" s="51" t="s">
        <v>28</v>
      </c>
      <c r="B239" s="105" t="s">
        <v>29</v>
      </c>
      <c r="C239" s="105"/>
      <c r="D239" s="105"/>
      <c r="E239" s="105"/>
      <c r="F239" s="53">
        <v>0.1</v>
      </c>
      <c r="G239" s="52">
        <f>G238*F239</f>
        <v>10240</v>
      </c>
    </row>
    <row r="240" spans="1:7">
      <c r="A240" s="51" t="s">
        <v>30</v>
      </c>
      <c r="B240" s="105" t="s">
        <v>31</v>
      </c>
      <c r="C240" s="105"/>
      <c r="D240" s="105"/>
      <c r="E240" s="105"/>
      <c r="F240" s="105"/>
      <c r="G240" s="52">
        <f>ROUNDDOWN(G238+G239,0)</f>
        <v>112640</v>
      </c>
    </row>
  </sheetData>
  <mergeCells count="95">
    <mergeCell ref="B239:E239"/>
    <mergeCell ref="B240:F240"/>
    <mergeCell ref="A235:F235"/>
    <mergeCell ref="A237:F237"/>
    <mergeCell ref="B238:F238"/>
    <mergeCell ref="A232:F232"/>
    <mergeCell ref="A221:F221"/>
    <mergeCell ref="B222:F222"/>
    <mergeCell ref="B223:E223"/>
    <mergeCell ref="B224:F224"/>
    <mergeCell ref="A219:F219"/>
    <mergeCell ref="A204:F204"/>
    <mergeCell ref="B194:F194"/>
    <mergeCell ref="A191:F191"/>
    <mergeCell ref="B192:F192"/>
    <mergeCell ref="B193:E193"/>
    <mergeCell ref="A189:F189"/>
    <mergeCell ref="A184:F184"/>
    <mergeCell ref="B179:F179"/>
    <mergeCell ref="A176:F176"/>
    <mergeCell ref="B177:F177"/>
    <mergeCell ref="B178:E178"/>
    <mergeCell ref="A174:F174"/>
    <mergeCell ref="A167:F167"/>
    <mergeCell ref="A156:F156"/>
    <mergeCell ref="B157:F157"/>
    <mergeCell ref="B158:E158"/>
    <mergeCell ref="B159:F159"/>
    <mergeCell ref="A154:F154"/>
    <mergeCell ref="A147:F147"/>
    <mergeCell ref="B142:F142"/>
    <mergeCell ref="A139:F139"/>
    <mergeCell ref="B140:F140"/>
    <mergeCell ref="B141:E141"/>
    <mergeCell ref="A137:F137"/>
    <mergeCell ref="A129:F129"/>
    <mergeCell ref="B124:F124"/>
    <mergeCell ref="A121:F121"/>
    <mergeCell ref="B122:F122"/>
    <mergeCell ref="B123:E123"/>
    <mergeCell ref="A119:F119"/>
    <mergeCell ref="A111:F111"/>
    <mergeCell ref="A103:F103"/>
    <mergeCell ref="B104:F104"/>
    <mergeCell ref="B105:E105"/>
    <mergeCell ref="B106:F106"/>
    <mergeCell ref="A101:F101"/>
    <mergeCell ref="A98:F98"/>
    <mergeCell ref="B89:E89"/>
    <mergeCell ref="B90:F90"/>
    <mergeCell ref="A85:F85"/>
    <mergeCell ref="A87:F87"/>
    <mergeCell ref="B88:F88"/>
    <mergeCell ref="A82:F82"/>
    <mergeCell ref="B74:F74"/>
    <mergeCell ref="A71:F71"/>
    <mergeCell ref="B72:F72"/>
    <mergeCell ref="B73:E73"/>
    <mergeCell ref="B39:F39"/>
    <mergeCell ref="A69:F69"/>
    <mergeCell ref="A66:F66"/>
    <mergeCell ref="A55:F55"/>
    <mergeCell ref="B56:F56"/>
    <mergeCell ref="B57:E57"/>
    <mergeCell ref="B58:F58"/>
    <mergeCell ref="A14:F14"/>
    <mergeCell ref="A10:F10"/>
    <mergeCell ref="H113:J113"/>
    <mergeCell ref="H114:J114"/>
    <mergeCell ref="H115:J115"/>
    <mergeCell ref="A36:F36"/>
    <mergeCell ref="A33:F33"/>
    <mergeCell ref="A29:F29"/>
    <mergeCell ref="B20:F20"/>
    <mergeCell ref="A17:F17"/>
    <mergeCell ref="B18:F18"/>
    <mergeCell ref="B19:E19"/>
    <mergeCell ref="A52:F52"/>
    <mergeCell ref="A48:F48"/>
    <mergeCell ref="B37:F37"/>
    <mergeCell ref="B38:E38"/>
    <mergeCell ref="H116:J116"/>
    <mergeCell ref="H117:J117"/>
    <mergeCell ref="H118:J118"/>
    <mergeCell ref="H131:J131"/>
    <mergeCell ref="H132:J132"/>
    <mergeCell ref="H150:J150"/>
    <mergeCell ref="H151:J151"/>
    <mergeCell ref="H152:J152"/>
    <mergeCell ref="H153:J153"/>
    <mergeCell ref="H133:J133"/>
    <mergeCell ref="H134:J134"/>
    <mergeCell ref="H135:J135"/>
    <mergeCell ref="H136:J136"/>
    <mergeCell ref="H149:J14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F40"/>
  <sheetViews>
    <sheetView topLeftCell="A13" workbookViewId="0">
      <selection activeCell="B9" sqref="B9"/>
    </sheetView>
  </sheetViews>
  <sheetFormatPr defaultRowHeight="15"/>
  <cols>
    <col min="2" max="2" width="65.85546875" customWidth="1"/>
    <col min="5" max="5" width="18.140625" customWidth="1"/>
  </cols>
  <sheetData>
    <row r="1" spans="1:6" ht="14.25" customHeight="1">
      <c r="A1" s="120" t="s">
        <v>189</v>
      </c>
      <c r="B1" s="121"/>
      <c r="C1" s="120"/>
      <c r="D1" s="120"/>
      <c r="E1" s="120"/>
      <c r="F1" s="120"/>
    </row>
    <row r="2" spans="1:6" ht="14.25" customHeight="1">
      <c r="A2" s="120" t="s">
        <v>188</v>
      </c>
      <c r="B2" s="120"/>
      <c r="C2" s="120"/>
      <c r="D2" s="120"/>
      <c r="E2" s="120"/>
      <c r="F2" s="120"/>
    </row>
    <row r="3" spans="1:6" ht="14.25" customHeight="1" thickBot="1">
      <c r="A3" s="31"/>
      <c r="B3" s="32"/>
      <c r="C3" s="32"/>
      <c r="D3" s="31"/>
      <c r="E3" s="32"/>
      <c r="F3" s="32"/>
    </row>
    <row r="4" spans="1:6" ht="14.25" customHeight="1" thickBot="1">
      <c r="A4" s="112" t="s">
        <v>163</v>
      </c>
      <c r="B4" s="113" t="s">
        <v>164</v>
      </c>
      <c r="C4" s="113" t="s">
        <v>165</v>
      </c>
      <c r="D4" s="114" t="s">
        <v>160</v>
      </c>
      <c r="E4" s="115" t="s">
        <v>166</v>
      </c>
      <c r="F4" s="116" t="s">
        <v>167</v>
      </c>
    </row>
    <row r="5" spans="1:6" ht="14.25" customHeight="1" thickBot="1">
      <c r="A5" s="33" t="s">
        <v>168</v>
      </c>
      <c r="B5" s="34" t="s">
        <v>1</v>
      </c>
      <c r="C5" s="35"/>
      <c r="D5" s="36"/>
      <c r="E5" s="35"/>
      <c r="F5" s="37"/>
    </row>
    <row r="6" spans="1:6" ht="14.25" customHeight="1">
      <c r="A6" s="79"/>
      <c r="B6" s="80" t="s">
        <v>2</v>
      </c>
      <c r="C6" s="81"/>
      <c r="D6" s="82" t="s">
        <v>4</v>
      </c>
      <c r="E6" s="83">
        <v>10000</v>
      </c>
      <c r="F6" s="84"/>
    </row>
    <row r="7" spans="1:6" ht="39.75" customHeight="1">
      <c r="A7" s="46"/>
      <c r="B7" s="72" t="s">
        <v>76</v>
      </c>
      <c r="C7" s="45"/>
      <c r="D7" s="71" t="s">
        <v>4</v>
      </c>
      <c r="E7" s="42">
        <v>10000</v>
      </c>
      <c r="F7" s="43"/>
    </row>
    <row r="8" spans="1:6" ht="14.25" customHeight="1">
      <c r="A8" s="46"/>
      <c r="B8" s="70" t="s">
        <v>2</v>
      </c>
      <c r="C8" s="45"/>
      <c r="D8" s="71" t="s">
        <v>4</v>
      </c>
      <c r="E8" s="42">
        <v>10000</v>
      </c>
      <c r="F8" s="43"/>
    </row>
    <row r="9" spans="1:6" ht="14.25" customHeight="1">
      <c r="A9" s="46"/>
      <c r="B9" s="70" t="s">
        <v>11</v>
      </c>
      <c r="C9" s="45"/>
      <c r="D9" s="71" t="s">
        <v>4</v>
      </c>
      <c r="E9" s="42">
        <v>10000</v>
      </c>
      <c r="F9" s="43"/>
    </row>
    <row r="10" spans="1:6" ht="14.25" customHeight="1">
      <c r="A10" s="46"/>
      <c r="B10" s="70" t="s">
        <v>58</v>
      </c>
      <c r="C10" s="45"/>
      <c r="D10" s="71" t="s">
        <v>4</v>
      </c>
      <c r="E10" s="42">
        <v>10000</v>
      </c>
      <c r="F10" s="43"/>
    </row>
    <row r="11" spans="1:6" ht="14.25" customHeight="1">
      <c r="A11" s="46"/>
      <c r="B11" s="44" t="s">
        <v>60</v>
      </c>
      <c r="C11" s="45"/>
      <c r="D11" s="85" t="s">
        <v>4</v>
      </c>
      <c r="E11" s="42">
        <v>10000</v>
      </c>
      <c r="F11" s="43"/>
    </row>
    <row r="12" spans="1:6" ht="14.25" customHeight="1">
      <c r="A12" s="46"/>
      <c r="B12" s="70" t="s">
        <v>8</v>
      </c>
      <c r="C12" s="41"/>
      <c r="D12" s="85" t="s">
        <v>4</v>
      </c>
      <c r="E12" s="42">
        <v>10000</v>
      </c>
      <c r="F12" s="43"/>
    </row>
    <row r="13" spans="1:6" ht="14.25" customHeight="1" thickBot="1">
      <c r="A13" s="38"/>
      <c r="B13" s="39"/>
      <c r="C13" s="39"/>
      <c r="D13" s="117"/>
      <c r="E13" s="118"/>
      <c r="F13" s="119"/>
    </row>
    <row r="14" spans="1:6" ht="14.25" customHeight="1" thickBot="1">
      <c r="A14" s="33" t="s">
        <v>169</v>
      </c>
      <c r="B14" s="34" t="s">
        <v>15</v>
      </c>
      <c r="C14" s="35"/>
      <c r="D14" s="36"/>
      <c r="E14" s="35"/>
      <c r="F14" s="37"/>
    </row>
    <row r="15" spans="1:6" ht="14.25" customHeight="1">
      <c r="A15" s="62">
        <v>1</v>
      </c>
      <c r="B15" s="63" t="s">
        <v>16</v>
      </c>
      <c r="C15" s="64"/>
      <c r="D15" s="65" t="s">
        <v>17</v>
      </c>
      <c r="E15" s="66">
        <v>10000</v>
      </c>
      <c r="F15" s="67"/>
    </row>
    <row r="16" spans="1:6" ht="14.25" customHeight="1">
      <c r="A16" s="46">
        <v>2</v>
      </c>
      <c r="B16" s="70" t="s">
        <v>19</v>
      </c>
      <c r="C16" s="45"/>
      <c r="D16" s="71" t="s">
        <v>17</v>
      </c>
      <c r="E16" s="42">
        <v>10000</v>
      </c>
      <c r="F16" s="47"/>
    </row>
    <row r="17" spans="1:6" ht="14.25" customHeight="1">
      <c r="A17" s="46">
        <v>3</v>
      </c>
      <c r="B17" s="70" t="s">
        <v>45</v>
      </c>
      <c r="C17" s="45"/>
      <c r="D17" s="71" t="s">
        <v>46</v>
      </c>
      <c r="E17" s="42">
        <v>10000</v>
      </c>
      <c r="F17" s="47"/>
    </row>
    <row r="18" spans="1:6" ht="58.5" customHeight="1">
      <c r="A18" s="46">
        <v>4</v>
      </c>
      <c r="B18" s="72" t="s">
        <v>77</v>
      </c>
      <c r="C18" s="45"/>
      <c r="D18" s="73" t="s">
        <v>17</v>
      </c>
      <c r="E18" s="42">
        <v>10000</v>
      </c>
      <c r="F18" s="47"/>
    </row>
    <row r="19" spans="1:6" ht="55.5" customHeight="1">
      <c r="A19" s="46">
        <v>5</v>
      </c>
      <c r="B19" s="72" t="s">
        <v>128</v>
      </c>
      <c r="C19" s="45"/>
      <c r="D19" s="73" t="s">
        <v>129</v>
      </c>
      <c r="E19" s="42">
        <v>10000</v>
      </c>
      <c r="F19" s="47"/>
    </row>
    <row r="20" spans="1:6" ht="56.25" customHeight="1">
      <c r="A20" s="46">
        <v>6</v>
      </c>
      <c r="B20" s="72" t="s">
        <v>130</v>
      </c>
      <c r="C20" s="45"/>
      <c r="D20" s="73" t="s">
        <v>131</v>
      </c>
      <c r="E20" s="42">
        <v>10000</v>
      </c>
      <c r="F20" s="47"/>
    </row>
    <row r="21" spans="1:6" ht="40.5" customHeight="1">
      <c r="A21" s="46">
        <v>7</v>
      </c>
      <c r="B21" s="74" t="s">
        <v>133</v>
      </c>
      <c r="C21" s="45"/>
      <c r="D21" s="75" t="s">
        <v>105</v>
      </c>
      <c r="E21" s="42">
        <v>10000</v>
      </c>
      <c r="F21" s="47"/>
    </row>
    <row r="22" spans="1:6" ht="14.25" customHeight="1">
      <c r="A22" s="46">
        <v>8</v>
      </c>
      <c r="B22" s="72" t="s">
        <v>107</v>
      </c>
      <c r="C22" s="45"/>
      <c r="D22" s="73" t="s">
        <v>55</v>
      </c>
      <c r="E22" s="42">
        <v>10000</v>
      </c>
      <c r="F22" s="47"/>
    </row>
    <row r="23" spans="1:6" ht="14.25" customHeight="1">
      <c r="A23" s="46">
        <v>9</v>
      </c>
      <c r="B23" s="72" t="s">
        <v>109</v>
      </c>
      <c r="C23" s="45"/>
      <c r="D23" s="73" t="s">
        <v>131</v>
      </c>
      <c r="E23" s="42">
        <v>10000</v>
      </c>
      <c r="F23" s="47"/>
    </row>
    <row r="24" spans="1:6" ht="14.25" customHeight="1">
      <c r="A24" s="46">
        <v>10</v>
      </c>
      <c r="B24" s="72" t="s">
        <v>111</v>
      </c>
      <c r="C24" s="45"/>
      <c r="D24" s="73" t="s">
        <v>131</v>
      </c>
      <c r="E24" s="42">
        <v>10000</v>
      </c>
      <c r="F24" s="47"/>
    </row>
    <row r="25" spans="1:6" ht="14.25" customHeight="1">
      <c r="A25" s="46">
        <v>11</v>
      </c>
      <c r="B25" s="70" t="s">
        <v>52</v>
      </c>
      <c r="C25" s="45"/>
      <c r="D25" s="71" t="s">
        <v>17</v>
      </c>
      <c r="E25" s="42">
        <v>10000</v>
      </c>
      <c r="F25" s="47"/>
    </row>
    <row r="26" spans="1:6" ht="14.25" customHeight="1">
      <c r="A26" s="46">
        <v>12</v>
      </c>
      <c r="B26" s="70" t="s">
        <v>54</v>
      </c>
      <c r="C26" s="45"/>
      <c r="D26" s="71" t="s">
        <v>55</v>
      </c>
      <c r="E26" s="42">
        <v>10000</v>
      </c>
      <c r="F26" s="47"/>
    </row>
    <row r="27" spans="1:6" ht="14.25" customHeight="1">
      <c r="A27" s="46">
        <v>13</v>
      </c>
      <c r="B27" s="70" t="s">
        <v>56</v>
      </c>
      <c r="C27" s="45"/>
      <c r="D27" s="71" t="s">
        <v>55</v>
      </c>
      <c r="E27" s="42">
        <v>10000</v>
      </c>
      <c r="F27" s="47"/>
    </row>
    <row r="28" spans="1:6" ht="14.25" customHeight="1">
      <c r="A28" s="46">
        <v>14</v>
      </c>
      <c r="B28" s="70" t="s">
        <v>57</v>
      </c>
      <c r="C28" s="45"/>
      <c r="D28" s="71" t="s">
        <v>55</v>
      </c>
      <c r="E28" s="42">
        <v>10000</v>
      </c>
      <c r="F28" s="47"/>
    </row>
    <row r="29" spans="1:6" ht="14.25" customHeight="1">
      <c r="A29" s="46">
        <v>15</v>
      </c>
      <c r="B29" s="72" t="s">
        <v>113</v>
      </c>
      <c r="C29" s="45"/>
      <c r="D29" s="73" t="s">
        <v>55</v>
      </c>
      <c r="E29" s="42">
        <v>10000</v>
      </c>
      <c r="F29" s="47"/>
    </row>
    <row r="30" spans="1:6" ht="14.25" customHeight="1">
      <c r="A30" s="46">
        <v>16</v>
      </c>
      <c r="B30" s="72" t="s">
        <v>115</v>
      </c>
      <c r="C30" s="45"/>
      <c r="D30" s="73" t="s">
        <v>55</v>
      </c>
      <c r="E30" s="42">
        <v>10000</v>
      </c>
      <c r="F30" s="47"/>
    </row>
    <row r="31" spans="1:6" ht="14.25" customHeight="1">
      <c r="A31" s="46">
        <v>17</v>
      </c>
      <c r="B31" s="72" t="s">
        <v>117</v>
      </c>
      <c r="C31" s="45"/>
      <c r="D31" s="73" t="s">
        <v>55</v>
      </c>
      <c r="E31" s="42">
        <v>10000</v>
      </c>
      <c r="F31" s="47"/>
    </row>
    <row r="32" spans="1:6" ht="14.25" customHeight="1">
      <c r="A32" s="46">
        <v>18</v>
      </c>
      <c r="B32" s="70" t="s">
        <v>65</v>
      </c>
      <c r="C32" s="45"/>
      <c r="D32" s="71" t="s">
        <v>55</v>
      </c>
      <c r="E32" s="42">
        <v>10000</v>
      </c>
      <c r="F32" s="47"/>
    </row>
    <row r="33" spans="1:6" ht="14.25" customHeight="1">
      <c r="A33" s="46">
        <v>19</v>
      </c>
      <c r="B33" s="76" t="s">
        <v>135</v>
      </c>
      <c r="C33" s="45"/>
      <c r="D33" s="75" t="s">
        <v>55</v>
      </c>
      <c r="E33" s="42">
        <v>10000</v>
      </c>
      <c r="F33" s="47"/>
    </row>
    <row r="34" spans="1:6" ht="14.25" customHeight="1">
      <c r="A34" s="46">
        <v>20</v>
      </c>
      <c r="B34" s="72" t="s">
        <v>136</v>
      </c>
      <c r="C34" s="45"/>
      <c r="D34" s="73" t="s">
        <v>55</v>
      </c>
      <c r="E34" s="42">
        <v>10000</v>
      </c>
      <c r="F34" s="47"/>
    </row>
    <row r="35" spans="1:6" ht="30">
      <c r="A35" s="46">
        <v>21</v>
      </c>
      <c r="B35" s="72" t="s">
        <v>137</v>
      </c>
      <c r="C35" s="77"/>
      <c r="D35" s="73" t="s">
        <v>55</v>
      </c>
      <c r="E35" s="42">
        <v>10000</v>
      </c>
      <c r="F35" s="78"/>
    </row>
    <row r="36" spans="1:6" ht="30">
      <c r="A36" s="46">
        <v>22</v>
      </c>
      <c r="B36" s="72" t="s">
        <v>138</v>
      </c>
      <c r="C36" s="77"/>
      <c r="D36" s="73" t="s">
        <v>55</v>
      </c>
      <c r="E36" s="42">
        <v>10000</v>
      </c>
      <c r="F36" s="78"/>
    </row>
    <row r="37" spans="1:6" ht="30">
      <c r="A37" s="46">
        <v>23</v>
      </c>
      <c r="B37" s="72" t="s">
        <v>124</v>
      </c>
      <c r="C37" s="77"/>
      <c r="D37" s="73" t="s">
        <v>55</v>
      </c>
      <c r="E37" s="42">
        <v>10000</v>
      </c>
      <c r="F37" s="78"/>
    </row>
    <row r="38" spans="1:6" ht="30.75" thickBot="1">
      <c r="A38" s="38">
        <v>24</v>
      </c>
      <c r="B38" s="68" t="s">
        <v>126</v>
      </c>
      <c r="C38" s="54"/>
      <c r="D38" s="69" t="s">
        <v>55</v>
      </c>
      <c r="E38" s="40">
        <v>10000</v>
      </c>
      <c r="F38" s="55"/>
    </row>
    <row r="39" spans="1:6" ht="14.25" customHeight="1" thickBot="1">
      <c r="A39" s="33" t="s">
        <v>169</v>
      </c>
      <c r="B39" s="34" t="s">
        <v>15</v>
      </c>
      <c r="C39" s="35"/>
      <c r="D39" s="36"/>
      <c r="E39" s="35"/>
      <c r="F39" s="37"/>
    </row>
    <row r="40" spans="1:6" ht="15.75" thickBot="1">
      <c r="A40" s="56"/>
      <c r="B40" s="57" t="s">
        <v>23</v>
      </c>
      <c r="C40" s="58"/>
      <c r="D40" s="59" t="s">
        <v>24</v>
      </c>
      <c r="E40" s="60">
        <v>10000</v>
      </c>
      <c r="F40" s="61"/>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INFORMASI</vt:lpstr>
      <vt:lpstr>HSP</vt:lpstr>
      <vt:lpstr>AHS</vt:lpstr>
      <vt:lpstr>UPAH,BHN,ALAT</vt:lpstr>
      <vt:lpstr>AHS!Print_Area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2006-10-23T00:44:34Z</dcterms:created>
  <dcterms:modified xsi:type="dcterms:W3CDTF">2025-10-11T23:17:59Z</dcterms:modified>
</cp:coreProperties>
</file>